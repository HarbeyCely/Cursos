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ecm-\Desktop\"/>
    </mc:Choice>
  </mc:AlternateContent>
  <xr:revisionPtr revIDLastSave="0" documentId="13_ncr:1_{64566759-2940-4CC1-BBD2-2333E36F565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to 1" sheetId="12" r:id="rId1"/>
    <sheet name="Hoja1" sheetId="1" r:id="rId2"/>
    <sheet name="Reto3" sheetId="9" r:id="rId3"/>
    <sheet name="Reto 4" sheetId="8" r:id="rId4"/>
    <sheet name="Reto final" sheetId="11" r:id="rId5"/>
    <sheet name="Hoja2" sheetId="2" state="hidden" r:id="rId6"/>
    <sheet name="Hoja3" sheetId="3" state="hidden" r:id="rId7"/>
    <sheet name="Hoja4" sheetId="5" state="hidden" r:id="rId8"/>
    <sheet name="Hoja5" sheetId="6" state="hidden" r:id="rId9"/>
    <sheet name="rta" sheetId="4" state="hidden" r:id="rId10"/>
  </sheets>
  <externalReferences>
    <externalReference r:id="rId11"/>
    <externalReference r:id="rId12"/>
  </externalReferences>
  <definedNames>
    <definedName name="__123Graph_A" localSheetId="4" hidden="1">#REF!</definedName>
    <definedName name="__123Graph_A" localSheetId="2" hidden="1">#REF!</definedName>
    <definedName name="__123Graph_A" hidden="1">#REF!</definedName>
    <definedName name="__123Graph_AGRAF" localSheetId="4" hidden="1">#REF!</definedName>
    <definedName name="__123Graph_AGRAF" localSheetId="2" hidden="1">#REF!</definedName>
    <definedName name="__123Graph_AGRAF" hidden="1">#REF!</definedName>
    <definedName name="__123Graph_B" localSheetId="4" hidden="1">#REF!</definedName>
    <definedName name="__123Graph_B" localSheetId="2" hidden="1">#REF!</definedName>
    <definedName name="__123Graph_B" hidden="1">#REF!</definedName>
    <definedName name="__123Graph_BGRAF" localSheetId="4" hidden="1">#REF!</definedName>
    <definedName name="__123Graph_BGRAF" localSheetId="2" hidden="1">#REF!</definedName>
    <definedName name="__123Graph_BGRAF" hidden="1">#REF!</definedName>
    <definedName name="__123Graph_C" localSheetId="4" hidden="1">#REF!</definedName>
    <definedName name="__123Graph_C" localSheetId="2" hidden="1">#REF!</definedName>
    <definedName name="__123Graph_C" hidden="1">#REF!</definedName>
    <definedName name="__123Graph_CGRAF" localSheetId="4" hidden="1">#REF!</definedName>
    <definedName name="__123Graph_CGRAF" localSheetId="2" hidden="1">#REF!</definedName>
    <definedName name="__123Graph_CGRAF" hidden="1">#REF!</definedName>
    <definedName name="__123Graph_D" localSheetId="4" hidden="1">#REF!</definedName>
    <definedName name="__123Graph_D" localSheetId="2" hidden="1">#REF!</definedName>
    <definedName name="__123Graph_D" hidden="1">#REF!</definedName>
    <definedName name="__123Graph_DGRAF" localSheetId="4" hidden="1">#REF!</definedName>
    <definedName name="__123Graph_DGRAF" localSheetId="2" hidden="1">#REF!</definedName>
    <definedName name="__123Graph_DGRAF" hidden="1">#REF!</definedName>
    <definedName name="__123Graph_E" localSheetId="4" hidden="1">#REF!</definedName>
    <definedName name="__123Graph_E" localSheetId="2" hidden="1">#REF!</definedName>
    <definedName name="__123Graph_E" hidden="1">#REF!</definedName>
    <definedName name="__123Graph_EGRAF" localSheetId="4" hidden="1">#REF!</definedName>
    <definedName name="__123Graph_EGRAF" localSheetId="2" hidden="1">#REF!</definedName>
    <definedName name="__123Graph_EGRAF" hidden="1">#REF!</definedName>
    <definedName name="__123Graph_F" localSheetId="4" hidden="1">#REF!</definedName>
    <definedName name="__123Graph_F" localSheetId="2" hidden="1">#REF!</definedName>
    <definedName name="__123Graph_F" hidden="1">#REF!</definedName>
    <definedName name="__123Graph_FGRAF" localSheetId="4" hidden="1">#REF!</definedName>
    <definedName name="__123Graph_FGRAF" localSheetId="2" hidden="1">#REF!</definedName>
    <definedName name="__123Graph_FGRAF" hidden="1">#REF!</definedName>
    <definedName name="__123Graph_X" localSheetId="4" hidden="1">#REF!</definedName>
    <definedName name="__123Graph_X" localSheetId="2" hidden="1">#REF!</definedName>
    <definedName name="__123Graph_X" hidden="1">#REF!</definedName>
    <definedName name="__123Graph_XGRAF" localSheetId="4" hidden="1">#REF!</definedName>
    <definedName name="__123Graph_XGRAF" localSheetId="2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aa" hidden="1">1</definedName>
    <definedName name="anscount" hidden="1">1</definedName>
    <definedName name="as">Hoja1!$AL$39</definedName>
    <definedName name="base">[2]Granja!$A$1:$F$25</definedName>
    <definedName name="limcount" hidden="1">1</definedName>
    <definedName name="sencount" hidden="1">1</definedName>
    <definedName name="sencount2" hidden="1">3</definedName>
    <definedName name="SUMATORIA">Hoja1!$A$4:$A$12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" i="12" l="1"/>
  <c r="T36" i="12" s="1"/>
  <c r="S35" i="12"/>
  <c r="T35" i="12" s="1"/>
  <c r="S34" i="12"/>
  <c r="T34" i="12" s="1"/>
  <c r="S33" i="12"/>
  <c r="T33" i="12" s="1"/>
  <c r="S32" i="12"/>
  <c r="T32" i="12" s="1"/>
  <c r="S31" i="12"/>
  <c r="T31" i="12" s="1"/>
  <c r="S30" i="12"/>
  <c r="T30" i="12" s="1"/>
  <c r="S29" i="12"/>
  <c r="T29" i="12" s="1"/>
  <c r="S28" i="12"/>
  <c r="T28" i="12" s="1"/>
  <c r="S27" i="12"/>
  <c r="T27" i="12" s="1"/>
  <c r="S26" i="12"/>
  <c r="T26" i="12" s="1"/>
  <c r="S25" i="12"/>
  <c r="T25" i="12" s="1"/>
  <c r="S24" i="12"/>
  <c r="T24" i="12" s="1"/>
  <c r="S23" i="12"/>
  <c r="T23" i="12" s="1"/>
  <c r="S22" i="12"/>
  <c r="T22" i="12" s="1"/>
  <c r="S21" i="12"/>
  <c r="T21" i="12" s="1"/>
  <c r="S20" i="12"/>
  <c r="T20" i="12" s="1"/>
  <c r="S19" i="12"/>
  <c r="T19" i="12" s="1"/>
  <c r="S18" i="12"/>
  <c r="T18" i="12" s="1"/>
  <c r="S17" i="12"/>
  <c r="T17" i="12" s="1"/>
  <c r="S16" i="12"/>
  <c r="T16" i="12" s="1"/>
  <c r="S15" i="12"/>
  <c r="T15" i="12" s="1"/>
  <c r="S14" i="12"/>
  <c r="T14" i="12" s="1"/>
  <c r="S13" i="12"/>
  <c r="T13" i="12" s="1"/>
  <c r="S12" i="12"/>
  <c r="T12" i="12" s="1"/>
  <c r="S11" i="12"/>
  <c r="T11" i="12" s="1"/>
  <c r="T10" i="12"/>
  <c r="T9" i="12"/>
  <c r="S8" i="12"/>
  <c r="T8" i="12" s="1"/>
  <c r="S7" i="12"/>
  <c r="T7" i="12" s="1"/>
  <c r="AU3" i="1"/>
  <c r="AU2" i="1"/>
  <c r="Q1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Jota Jota</author>
    <author>USUARIO</author>
    <author>INSTRUCTORES</author>
    <author>Laura</author>
  </authors>
  <commentList>
    <comment ref="AU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Jota Jota: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28"/>
            <color indexed="81"/>
            <rFont val="Tahoma"/>
            <family val="2"/>
          </rPr>
          <t>AJ7</t>
        </r>
      </text>
    </comment>
    <comment ref="A27" authorId="1" shapeId="0" xr:uid="{00000000-0006-0000-0000-000002000000}">
      <text>
        <r>
          <rPr>
            <sz val="14"/>
            <color indexed="81"/>
            <rFont val="Arial"/>
            <family val="2"/>
          </rPr>
          <t>1. ENCONTRAR LAS PALABRAS ABAJO NUMERADAS  EN LA SOPA DE LETRAS
2. SE DEBEN SEGUIR LAS PISTAS QUE APARECEN EN LOS COMENTARIOS DE CADA PALABRA A BUSCAR
3. AL ENCONTRAR LA PALABRA COLOQUELE EL MISMO COLOR DE FUENTE Y DE RELLENO. 
4, APLIQUE EL MISMO ESTILO DE BORDE  QUE TIENE LA PALABRA A BUSCAR 
5. OBSERVE EL EJEMPLO DEL PUNTO 1 CON LA PALABRA EXCEL</t>
        </r>
      </text>
    </comment>
    <comment ref="C29" authorId="2" shapeId="0" xr:uid="{00000000-0006-0000-0000-000003000000}">
      <text>
        <r>
          <rPr>
            <b/>
            <sz val="12"/>
            <color indexed="81"/>
            <rFont val="Arial"/>
            <family val="2"/>
          </rPr>
          <t>AH9</t>
        </r>
      </text>
    </comment>
    <comment ref="C31" authorId="1" shapeId="0" xr:uid="{00000000-0006-0000-0000-000004000000}">
      <text>
        <r>
          <rPr>
            <b/>
            <sz val="12"/>
            <color indexed="81"/>
            <rFont val="Arial"/>
            <family val="2"/>
          </rPr>
          <t>AE18</t>
        </r>
      </text>
    </comment>
    <comment ref="K31" authorId="1" shapeId="0" xr:uid="{00000000-0006-0000-0000-000005000000}">
      <text>
        <r>
          <rPr>
            <b/>
            <sz val="12"/>
            <color indexed="81"/>
            <rFont val="Arial"/>
            <family val="2"/>
          </rPr>
          <t>PISTA EN
HOJA3!AA25</t>
        </r>
      </text>
    </comment>
    <comment ref="S31" authorId="1" shapeId="0" xr:uid="{00000000-0006-0000-0000-000006000000}">
      <text>
        <r>
          <rPr>
            <b/>
            <sz val="12"/>
            <color indexed="81"/>
            <rFont val="Arial"/>
            <family val="2"/>
          </rPr>
          <t>NO ESTA EN EL RANGO A1:AS23 NI EN LA FILA 25</t>
        </r>
      </text>
    </comment>
    <comment ref="AA31" authorId="1" shapeId="0" xr:uid="{00000000-0006-0000-0000-000007000000}">
      <text>
        <r>
          <rPr>
            <b/>
            <sz val="12"/>
            <color indexed="81"/>
            <rFont val="Arial"/>
            <family val="2"/>
          </rPr>
          <t>Calcule cuantas celdas tiene una hoja de calculo en version 2010. Cuando tenga el resultado muestrelo al INSTRUCTOR y obtendra la pista</t>
        </r>
      </text>
    </comment>
    <comment ref="C33" authorId="1" shapeId="0" xr:uid="{00000000-0006-0000-0000-000008000000}">
      <text>
        <r>
          <rPr>
            <b/>
            <sz val="12"/>
            <color indexed="81"/>
            <rFont val="Arial"/>
            <family val="2"/>
          </rPr>
          <t>HAGA CLIC EN LA CELDA T4 Y MIRE LA BARRA DE FORMULAS</t>
        </r>
      </text>
    </comment>
    <comment ref="K33" authorId="1" shapeId="0" xr:uid="{00000000-0006-0000-0000-000009000000}">
      <text>
        <r>
          <rPr>
            <b/>
            <sz val="12"/>
            <color indexed="81"/>
            <rFont val="Arial"/>
            <family val="2"/>
          </rPr>
          <t xml:space="preserve">PISTA EN HOJA1!AJ77
</t>
        </r>
      </text>
    </comment>
    <comment ref="S33" authorId="1" shapeId="0" xr:uid="{00000000-0006-0000-0000-00000A000000}">
      <text>
        <r>
          <rPr>
            <b/>
            <sz val="12"/>
            <color indexed="81"/>
            <rFont val="Arial"/>
            <family val="2"/>
          </rPr>
          <t>PISTA EN LA ULTIMA CELDA DE LA FILA 30</t>
        </r>
      </text>
    </comment>
    <comment ref="AA33" authorId="1" shapeId="0" xr:uid="{00000000-0006-0000-0000-00000B000000}">
      <text>
        <r>
          <rPr>
            <b/>
            <sz val="12"/>
            <color indexed="81"/>
            <rFont val="Arial"/>
            <family val="2"/>
          </rPr>
          <t>PISTA EN HOJA3!HV28</t>
        </r>
      </text>
    </comment>
    <comment ref="C35" authorId="1" shapeId="0" xr:uid="{00000000-0006-0000-0000-00000C000000}">
      <text>
        <r>
          <rPr>
            <b/>
            <sz val="12"/>
            <color indexed="81"/>
            <rFont val="Arial"/>
            <family val="2"/>
          </rPr>
          <t>Q18:S22</t>
        </r>
      </text>
    </comment>
    <comment ref="K35" authorId="1" shapeId="0" xr:uid="{00000000-0006-0000-0000-00000D000000}">
      <text>
        <r>
          <rPr>
            <b/>
            <sz val="12"/>
            <color indexed="81"/>
            <rFont val="Arial"/>
            <family val="2"/>
          </rPr>
          <t>LA QUINTA COLUMNA Y DECIMA FILA</t>
        </r>
      </text>
    </comment>
    <comment ref="S35" authorId="1" shapeId="0" xr:uid="{00000000-0006-0000-0000-00000E000000}">
      <text>
        <r>
          <rPr>
            <b/>
            <sz val="12"/>
            <color indexed="81"/>
            <rFont val="Arial"/>
            <family val="2"/>
          </rPr>
          <t xml:space="preserve">BAJE A LA CELDA A122
</t>
        </r>
      </text>
    </comment>
    <comment ref="AA35" authorId="1" shapeId="0" xr:uid="{00000000-0006-0000-0000-00000F000000}">
      <text>
        <r>
          <rPr>
            <b/>
            <sz val="12"/>
            <color indexed="81"/>
            <rFont val="Arial"/>
            <family val="2"/>
          </rPr>
          <t>VAYA AL CUADRO DE NOMBRES O REFERENCIA, DESPLIEGUE LA FLECHITA QUE APUNTA HACIA ABAJO Y HAGA CLIC EN SUMATORIA.</t>
        </r>
      </text>
    </comment>
    <comment ref="C37" authorId="1" shapeId="0" xr:uid="{00000000-0006-0000-0000-000010000000}">
      <text>
        <r>
          <rPr>
            <b/>
            <sz val="12"/>
            <color indexed="81"/>
            <rFont val="Tahoma"/>
            <family val="2"/>
          </rPr>
          <t>FILA 2</t>
        </r>
      </text>
    </comment>
    <comment ref="K37" authorId="1" shapeId="0" xr:uid="{00000000-0006-0000-0000-000011000000}">
      <text>
        <r>
          <rPr>
            <b/>
            <sz val="12"/>
            <color indexed="81"/>
            <rFont val="Arial"/>
            <family val="2"/>
          </rPr>
          <t>Y3</t>
        </r>
      </text>
    </comment>
    <comment ref="S37" authorId="1" shapeId="0" xr:uid="{00000000-0006-0000-0000-000012000000}">
      <text>
        <r>
          <rPr>
            <b/>
            <sz val="12"/>
            <color indexed="81"/>
            <rFont val="Arial"/>
            <family val="2"/>
          </rPr>
          <t>ESTA EN COLUMNA AS</t>
        </r>
      </text>
    </comment>
    <comment ref="AA37" authorId="1" shapeId="0" xr:uid="{00000000-0006-0000-0000-000013000000}">
      <text>
        <r>
          <rPr>
            <b/>
            <sz val="12"/>
            <color indexed="81"/>
            <rFont val="Arial"/>
            <family val="2"/>
          </rPr>
          <t>PISTA EN LA HOJA 5 QUE SE ENCUENTRA OCULTA, MIRE LA INSTRUCCIONES EN LA HOJA 4 PARA MOSTRAR  UNA HOJA OCULTA</t>
        </r>
      </text>
    </comment>
    <comment ref="C39" authorId="1" shapeId="0" xr:uid="{00000000-0006-0000-0000-000014000000}">
      <text>
        <r>
          <rPr>
            <b/>
            <sz val="12"/>
            <color indexed="81"/>
            <rFont val="Arial"/>
            <family val="2"/>
          </rPr>
          <t>COLUMNA X</t>
        </r>
      </text>
    </comment>
    <comment ref="K39" authorId="1" shapeId="0" xr:uid="{00000000-0006-0000-0000-000015000000}">
      <text>
        <r>
          <rPr>
            <b/>
            <sz val="12"/>
            <color indexed="81"/>
            <rFont val="Arial"/>
            <family val="2"/>
          </rPr>
          <t>SELECCIONE LA CELDA B3 EN HOJA 2 Y MIRE LA BARRA DE FORMULAS</t>
        </r>
      </text>
    </comment>
    <comment ref="S39" authorId="1" shapeId="0" xr:uid="{00000000-0006-0000-0000-000016000000}">
      <text>
        <r>
          <rPr>
            <b/>
            <sz val="12"/>
            <color indexed="81"/>
            <rFont val="Arial"/>
            <family val="2"/>
          </rPr>
          <t>S16</t>
        </r>
      </text>
    </comment>
    <comment ref="AA39" authorId="1" shapeId="0" xr:uid="{00000000-0006-0000-0000-000017000000}">
      <text>
        <r>
          <rPr>
            <b/>
            <sz val="12"/>
            <color indexed="81"/>
            <rFont val="Arial"/>
            <family val="2"/>
          </rPr>
          <t>SE ENCUENTRA EN LA OCTAVA FILA</t>
        </r>
      </text>
    </comment>
    <comment ref="C41" authorId="1" shapeId="0" xr:uid="{00000000-0006-0000-0000-000018000000}">
      <text>
        <r>
          <rPr>
            <b/>
            <sz val="12"/>
            <color indexed="81"/>
            <rFont val="Arial"/>
            <family val="2"/>
          </rPr>
          <t>AM20:AS25</t>
        </r>
      </text>
    </comment>
    <comment ref="K41" authorId="1" shapeId="0" xr:uid="{00000000-0006-0000-0000-000019000000}">
      <text>
        <r>
          <rPr>
            <b/>
            <sz val="12"/>
            <color indexed="81"/>
            <rFont val="Arial"/>
            <family val="2"/>
          </rPr>
          <t>NO ESTA EN EL RANGO A2:AS25</t>
        </r>
      </text>
    </comment>
    <comment ref="S41" authorId="1" shapeId="0" xr:uid="{00000000-0006-0000-0000-00001A000000}">
      <text>
        <r>
          <rPr>
            <b/>
            <sz val="12"/>
            <color indexed="81"/>
            <rFont val="Arial"/>
            <family val="2"/>
          </rPr>
          <t>ESTA EN LA TERCERA COLUMNA DEL RANGO AE20:AR23
O BUSQUE EL UNICO PUNTO QUE HAY EN LA SOPA DE LETRAS</t>
        </r>
      </text>
    </comment>
    <comment ref="AA41" authorId="1" shapeId="0" xr:uid="{00000000-0006-0000-0000-00001B000000}">
      <text>
        <r>
          <rPr>
            <b/>
            <sz val="12"/>
            <color indexed="81"/>
            <rFont val="Arial"/>
            <family val="2"/>
          </rPr>
          <t>LA PISTA ESTA EN LA FILA 104 DE LA HOJA 4</t>
        </r>
      </text>
    </comment>
    <comment ref="C43" authorId="1" shapeId="0" xr:uid="{00000000-0006-0000-0000-00001C000000}">
      <text>
        <r>
          <rPr>
            <b/>
            <sz val="12"/>
            <color indexed="81"/>
            <rFont val="Arial"/>
            <family val="2"/>
          </rPr>
          <t>PISTA EN HOJA2!xfd1048576</t>
        </r>
      </text>
    </comment>
    <comment ref="K43" authorId="1" shapeId="0" xr:uid="{00000000-0006-0000-0000-00001D000000}">
      <text>
        <r>
          <rPr>
            <b/>
            <sz val="12"/>
            <color indexed="81"/>
            <rFont val="Arial"/>
            <family val="2"/>
          </rPr>
          <t>EMPIEZA DONDE TERMINA LA PALABRA TABLA</t>
        </r>
      </text>
    </comment>
    <comment ref="S43" authorId="1" shapeId="0" xr:uid="{00000000-0006-0000-0000-00001E000000}">
      <text>
        <r>
          <rPr>
            <b/>
            <sz val="12"/>
            <color indexed="81"/>
            <rFont val="Arial"/>
            <family val="2"/>
          </rPr>
          <t>ESTA EN LA SEGUNDA FILA DEL RANGO D4:R24</t>
        </r>
      </text>
    </comment>
    <comment ref="AF43" authorId="3" shapeId="0" xr:uid="{00000000-0006-0000-0000-00001F000000}">
      <text>
        <r>
          <rPr>
            <b/>
            <sz val="9"/>
            <color indexed="81"/>
            <rFont val="Tahoma"/>
            <family val="2"/>
          </rPr>
          <t>BUSQUE LA COLUMNA T, DE LA HOJA 4</t>
        </r>
      </text>
    </comment>
    <comment ref="AA45" authorId="1" shapeId="0" xr:uid="{00000000-0006-0000-0000-000020000000}">
      <text>
        <r>
          <rPr>
            <b/>
            <sz val="12"/>
            <color indexed="81"/>
            <rFont val="Arial"/>
            <family val="2"/>
          </rPr>
          <t>NO TIENE PISTA, PERO DEBE HALLARLA.</t>
        </r>
      </text>
    </comment>
    <comment ref="AJ77" authorId="1" shapeId="0" xr:uid="{00000000-0006-0000-0000-000021000000}">
      <text>
        <r>
          <rPr>
            <b/>
            <sz val="12"/>
            <color indexed="81"/>
            <rFont val="Arial"/>
            <family val="2"/>
          </rPr>
          <t>SI NO ALCANZA A VER CAMBIA EL TAMAÑO DE LA FUENTE DE ESTA CELDA A 12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A25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SI QUIERE VER ESTA PISTA CAMBIE  EL COLOR DE RELLENO DE  LA CELDA A 
 NEGRO
</t>
        </r>
      </text>
    </comment>
  </commentList>
</comments>
</file>

<file path=xl/sharedStrings.xml><?xml version="1.0" encoding="utf-8"?>
<sst xmlns="http://schemas.openxmlformats.org/spreadsheetml/2006/main" count="1987" uniqueCount="322">
  <si>
    <t>G</t>
  </si>
  <si>
    <t>A</t>
  </si>
  <si>
    <t>D</t>
  </si>
  <si>
    <t>M</t>
  </si>
  <si>
    <t>I</t>
  </si>
  <si>
    <t>N</t>
  </si>
  <si>
    <t>S</t>
  </si>
  <si>
    <t>T</t>
  </si>
  <si>
    <t>R</t>
  </si>
  <si>
    <t>C</t>
  </si>
  <si>
    <t>O</t>
  </si>
  <si>
    <t>U</t>
  </si>
  <si>
    <t>L</t>
  </si>
  <si>
    <t>E</t>
  </si>
  <si>
    <t>V</t>
  </si>
  <si>
    <t>F</t>
  </si>
  <si>
    <t>K</t>
  </si>
  <si>
    <t>H</t>
  </si>
  <si>
    <t>Y</t>
  </si>
  <si>
    <t>B</t>
  </si>
  <si>
    <t>J</t>
  </si>
  <si>
    <t>Q</t>
  </si>
  <si>
    <t>P</t>
  </si>
  <si>
    <t>Ñ</t>
  </si>
  <si>
    <t>Z</t>
  </si>
  <si>
    <t>X</t>
  </si>
  <si>
    <t>W</t>
  </si>
  <si>
    <t>CELDA</t>
  </si>
  <si>
    <t>RANGO</t>
  </si>
  <si>
    <t>COLUMNA</t>
  </si>
  <si>
    <t>FILA</t>
  </si>
  <si>
    <t>CALCULO</t>
  </si>
  <si>
    <t>LIBRO</t>
  </si>
  <si>
    <t>HOJA</t>
  </si>
  <si>
    <t>GRAFICO</t>
  </si>
  <si>
    <t>TABLA</t>
  </si>
  <si>
    <t>NUMERICO</t>
  </si>
  <si>
    <t>DATO</t>
  </si>
  <si>
    <t>ORDENAR</t>
  </si>
  <si>
    <t>FILTRAR</t>
  </si>
  <si>
    <t>ANALIZAR</t>
  </si>
  <si>
    <t>FORMULA</t>
  </si>
  <si>
    <t>FUNCION</t>
  </si>
  <si>
    <t>OFFICE</t>
  </si>
  <si>
    <t>REFERENCIA</t>
  </si>
  <si>
    <t>DIRECCION</t>
  </si>
  <si>
    <t>INTERSECCION</t>
  </si>
  <si>
    <t>CUADRO</t>
  </si>
  <si>
    <t>LISTA</t>
  </si>
  <si>
    <t>SUMATORIA</t>
  </si>
  <si>
    <t>W16:AC18</t>
  </si>
  <si>
    <t>AN14</t>
  </si>
  <si>
    <t>D16</t>
  </si>
  <si>
    <t>LA PALABRA EMPIEZA EN AC7</t>
  </si>
  <si>
    <t>ESTA EN W12</t>
  </si>
  <si>
    <t>N19</t>
  </si>
  <si>
    <t>.</t>
  </si>
  <si>
    <t>.XLS</t>
  </si>
  <si>
    <t>MACRO</t>
  </si>
  <si>
    <t>La ñapa</t>
  </si>
  <si>
    <t>La palabra LIBRO empieza en la celda P3</t>
  </si>
  <si>
    <t>1. INFORMACION QUE EXCEL MANEJA PARA REALIZAR CALCULOS</t>
  </si>
  <si>
    <t>3. UNA SUITE DE MICROSOFT DONDE VIENEN INTEGRADOS PROGRAMAS OFIMATICOS</t>
  </si>
  <si>
    <t>4. ES UN SISTEMA OPERATIVO QUE ME PERMITE TRABAJAR CON DIVERSOS PROGRAMAS</t>
  </si>
  <si>
    <t>5. NINGUNA DE LAS ANTERIORES</t>
  </si>
  <si>
    <t>DE LAS SIGUIENTES AFIRMACIONES CUAL CONSIDERA ES VERDADERA CON RESPECTO AL OFFICE:</t>
  </si>
  <si>
    <t>Si esta correcto obtendra la pista</t>
  </si>
  <si>
    <t>2. FUNCION QUE ME PERMITE TRABAJAR EFICIENTEMENTE CON EXCEL</t>
  </si>
  <si>
    <t>CORRECTO - LA PISTA ES E22</t>
  </si>
  <si>
    <t>COLOQUE SU RESPUESTA</t>
  </si>
  <si>
    <t>EN EL RECUADRO Y ENTER</t>
  </si>
  <si>
    <t>HAGA CLIC ACA PARA VER LAS INSTRUCCIONES</t>
  </si>
  <si>
    <t>OPERACIÓN</t>
  </si>
  <si>
    <t>LOGICA</t>
  </si>
  <si>
    <t>DINAMICO</t>
  </si>
  <si>
    <t>MATEMATICO</t>
  </si>
  <si>
    <t>LA PISTA PARA ENCONTRAR LA PALABRA OPERACIÓN ES AP2</t>
  </si>
  <si>
    <t>pista en AF17</t>
  </si>
  <si>
    <t>LA FILA 104 SE ENCUENTRA OCULTA</t>
  </si>
  <si>
    <t>LA PISTA ESTA EN X6</t>
  </si>
  <si>
    <t>RECUERDE SELECCIONAR LAS 2 COLUMNAS QUE CONTIENEN</t>
  </si>
  <si>
    <t xml:space="preserve"> LA COLUMNA OCULTA Y LUEGO CLIC DERECHO MOSTRAR</t>
  </si>
  <si>
    <t>EXCEL</t>
  </si>
  <si>
    <t>Ej.</t>
  </si>
  <si>
    <t>COMO MOSTRAR UNA HOJA:</t>
  </si>
  <si>
    <t>Pulse clic contrario en cualquier etiqueta del libro, seleccione mostrar y luego la hoja que quiere volver a ver</t>
  </si>
  <si>
    <t>PERO NO SE PREOCUPE ACA ESTAN LAS INSTRUCCIONES PARA MOSTRAR UNA FILA:</t>
  </si>
  <si>
    <t>Seleccione las 2 filas que estan encima y debajo de la fila oculta, (en este caso 103 y 105) luego clic derecho mostrar y aparecerá la fila oculta</t>
  </si>
  <si>
    <t>También puede utilizar el puntero de doble linea con flechas a los lados que aparece en el sitio donde debería estar la fila oculta</t>
  </si>
  <si>
    <t>Nombre</t>
  </si>
  <si>
    <t>Prueba inicial</t>
  </si>
  <si>
    <t>% nota 1</t>
  </si>
  <si>
    <t>Acumulado</t>
  </si>
  <si>
    <t>prueba técnica</t>
  </si>
  <si>
    <t>% nota 2</t>
  </si>
  <si>
    <t>Entervista</t>
  </si>
  <si>
    <t>% nota 3</t>
  </si>
  <si>
    <t>Puntaje Final</t>
  </si>
  <si>
    <t>SANDIA</t>
  </si>
  <si>
    <t>UVA</t>
  </si>
  <si>
    <t>GUANABANA</t>
  </si>
  <si>
    <t>MANDARINA</t>
  </si>
  <si>
    <t>MANZANA</t>
  </si>
  <si>
    <t>DURAZNO</t>
  </si>
  <si>
    <t>PIÑA</t>
  </si>
  <si>
    <t>MANGO</t>
  </si>
  <si>
    <t>ARANDANO</t>
  </si>
  <si>
    <t>FRESA</t>
  </si>
  <si>
    <t>BANANO</t>
  </si>
  <si>
    <t>KIWI</t>
  </si>
  <si>
    <t>TOROMBOLO</t>
  </si>
  <si>
    <t>MORA</t>
  </si>
  <si>
    <t>PERA</t>
  </si>
  <si>
    <t>Impuesto</t>
  </si>
  <si>
    <t>Casa</t>
  </si>
  <si>
    <t>Apartamento</t>
  </si>
  <si>
    <t>Local comercial</t>
  </si>
  <si>
    <t>Fecha</t>
  </si>
  <si>
    <t>OperacÃ³n</t>
  </si>
  <si>
    <t>Propiedad</t>
  </si>
  <si>
    <t>Ciudad</t>
  </si>
  <si>
    <t>Precio (USD)</t>
  </si>
  <si>
    <t>TOTAL</t>
  </si>
  <si>
    <t>Venta</t>
  </si>
  <si>
    <t>ParÃ­s</t>
  </si>
  <si>
    <t>Alquiler</t>
  </si>
  <si>
    <t>Londres</t>
  </si>
  <si>
    <t>BerlÃ­n</t>
  </si>
  <si>
    <t>Barcelona</t>
  </si>
  <si>
    <t>Roma</t>
  </si>
  <si>
    <t>Ãmsterdam</t>
  </si>
  <si>
    <t>Madrid</t>
  </si>
  <si>
    <t>Hay varios errores de ortografía, su reto es escribirlos bien y no necesita que sea de uno en uno.</t>
  </si>
  <si>
    <t>AYUDA:
1. Seleccione  la columna propiedad
2. Vaya a Datos Ordenar A-Z
3. Que lindo es Excel….</t>
  </si>
  <si>
    <t>MES</t>
  </si>
  <si>
    <t>PRODUCTO VENDIDO</t>
  </si>
  <si>
    <t>PRODUCTO DEFECTUOSO</t>
  </si>
  <si>
    <t>PRODUCTO DAÑADO</t>
  </si>
  <si>
    <t>VALOR VENTA</t>
  </si>
  <si>
    <t>VALOR PROVEEDOR</t>
  </si>
  <si>
    <t>INGRESO</t>
  </si>
  <si>
    <t>PERDIDA</t>
  </si>
  <si>
    <t>GASTO ADICIONAL</t>
  </si>
  <si>
    <t>GASTO DE MERCANCIA</t>
  </si>
  <si>
    <t>UTILIDAD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</si>
  <si>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</si>
  <si>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</si>
  <si>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</si>
  <si>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</si>
  <si>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</si>
  <si>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</si>
  <si>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</si>
  <si>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</si>
  <si>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</si>
  <si>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</si>
  <si>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</si>
  <si>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</si>
  <si>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Comando</t>
  </si>
  <si>
    <t>Descripción</t>
  </si>
  <si>
    <t>¿Lo conocías?</t>
  </si>
  <si>
    <t>¿Lo usaste hoy?</t>
  </si>
  <si>
    <t>Ctrl + C</t>
  </si>
  <si>
    <t>Ctrl + V</t>
  </si>
  <si>
    <t>Ctrl + X</t>
  </si>
  <si>
    <t>Ctrl + Z</t>
  </si>
  <si>
    <t>Ctrl + Y</t>
  </si>
  <si>
    <t>Ctrl + B</t>
  </si>
  <si>
    <t>Ctrl + I</t>
  </si>
  <si>
    <t>Ctrl + U</t>
  </si>
  <si>
    <t>Ctrl + P</t>
  </si>
  <si>
    <t>Ctrl + S</t>
  </si>
  <si>
    <t>Ctrl + O</t>
  </si>
  <si>
    <t>Ctrl + N</t>
  </si>
  <si>
    <t>Ctrl + Shift + L</t>
  </si>
  <si>
    <t>Ctrl + 1</t>
  </si>
  <si>
    <t>Ctrl + T</t>
  </si>
  <si>
    <t>Ctrl + Barra espaciadora</t>
  </si>
  <si>
    <t>Shift + Barra espaciadora</t>
  </si>
  <si>
    <t>Ctrl + A</t>
  </si>
  <si>
    <t>Ctrl + K</t>
  </si>
  <si>
    <t>Ctrl + ;</t>
  </si>
  <si>
    <t>Ctrl + :</t>
  </si>
  <si>
    <t>Ctrl + 9</t>
  </si>
  <si>
    <t>Ctrl + 0</t>
  </si>
  <si>
    <t>Ctrl + Tab</t>
  </si>
  <si>
    <t>Ctrl + Page Up</t>
  </si>
  <si>
    <t>Ctrl + Page Down</t>
  </si>
  <si>
    <t>Alt + =</t>
  </si>
  <si>
    <t>F2</t>
  </si>
  <si>
    <t>F4</t>
  </si>
  <si>
    <t>Alt + Enter</t>
  </si>
  <si>
    <t>Permite Seleccionar todos los datos de una columna en una tabla</t>
  </si>
  <si>
    <t>Seleccionar varias celdas consecutivas</t>
  </si>
  <si>
    <t>Seleccionar celdas diferentes que no son continuas</t>
  </si>
  <si>
    <t>Comando para activar Referencias en Excel</t>
  </si>
  <si>
    <t>Comando para buscar o reemplazar un valor en Excel</t>
  </si>
  <si>
    <t>Comando para aplicar filtros a una Tabla</t>
  </si>
  <si>
    <t>Comando para seleccionar una tabla en Excel</t>
  </si>
  <si>
    <t>Comando para agregar una nueva fila o columna</t>
  </si>
  <si>
    <t>Busque un comando que considere importante y lo escribe aquí.</t>
  </si>
  <si>
    <t>APELLIDO PATERNO</t>
  </si>
  <si>
    <t>APELLIDO MATERNO</t>
  </si>
  <si>
    <t>NOMBRE</t>
  </si>
  <si>
    <t>ÁREA</t>
  </si>
  <si>
    <t>Sueldo</t>
  </si>
  <si>
    <t>Descuento</t>
  </si>
  <si>
    <t>Total a Pagar</t>
  </si>
  <si>
    <t>Abalos</t>
  </si>
  <si>
    <t>Rochon</t>
  </si>
  <si>
    <t>Roberto Guzman</t>
  </si>
  <si>
    <t>Almacén</t>
  </si>
  <si>
    <t>Abreu</t>
  </si>
  <si>
    <t>Hernandez</t>
  </si>
  <si>
    <t>Administración</t>
  </si>
  <si>
    <t>Aguiar</t>
  </si>
  <si>
    <t xml:space="preserve">Aguilar </t>
  </si>
  <si>
    <t>Gerencia</t>
  </si>
  <si>
    <t>Jose Pedro</t>
  </si>
  <si>
    <t>Contabilidad</t>
  </si>
  <si>
    <t>Abel Cesar</t>
  </si>
  <si>
    <t>Alboa</t>
  </si>
  <si>
    <t>Abilio Hugo</t>
  </si>
  <si>
    <t>Almiron</t>
  </si>
  <si>
    <t>Belen</t>
  </si>
  <si>
    <t>Lucia</t>
  </si>
  <si>
    <t>Alvarez</t>
  </si>
  <si>
    <t>Acido Arcangel</t>
  </si>
  <si>
    <t>Alonzo</t>
  </si>
  <si>
    <t>Gerardo Celso</t>
  </si>
  <si>
    <t xml:space="preserve">Izetta </t>
  </si>
  <si>
    <t>Nelida</t>
  </si>
  <si>
    <t>Alvez</t>
  </si>
  <si>
    <t>Ada Cristina</t>
  </si>
  <si>
    <t>Amado</t>
  </si>
  <si>
    <t>Jorge William</t>
  </si>
  <si>
    <t>Amir</t>
  </si>
  <si>
    <t>Irma Isabel</t>
  </si>
  <si>
    <t>Andrade</t>
  </si>
  <si>
    <t>Valdez</t>
  </si>
  <si>
    <t>Victor Hugo</t>
  </si>
  <si>
    <t>Andujar</t>
  </si>
  <si>
    <t>Alvarez De Ron</t>
  </si>
  <si>
    <t>Heber Dario</t>
  </si>
  <si>
    <t>Antonelli</t>
  </si>
  <si>
    <t>Corbi</t>
  </si>
  <si>
    <t>Maria Elvira</t>
  </si>
  <si>
    <t>Marketing</t>
  </si>
  <si>
    <t>Antonio</t>
  </si>
  <si>
    <t>Albino</t>
  </si>
  <si>
    <t>Elsa</t>
  </si>
  <si>
    <t>Aramburu</t>
  </si>
  <si>
    <t>Adan</t>
  </si>
  <si>
    <t>Arbiza</t>
  </si>
  <si>
    <t>Adel</t>
  </si>
  <si>
    <t>Arbulo</t>
  </si>
  <si>
    <t>Adela Isabel</t>
  </si>
  <si>
    <t>Arenas</t>
  </si>
  <si>
    <t>Barreiro</t>
  </si>
  <si>
    <t>Leonardo Cesar</t>
  </si>
  <si>
    <t>Arturo</t>
  </si>
  <si>
    <t>Loureiro</t>
  </si>
  <si>
    <t>Nestor Orfilio</t>
  </si>
  <si>
    <t>Astori</t>
  </si>
  <si>
    <t>Aviaga</t>
  </si>
  <si>
    <t>Adelio Fernando</t>
  </si>
  <si>
    <t>Azambuya</t>
  </si>
  <si>
    <t>Aguerre</t>
  </si>
  <si>
    <t>Cesar Tulio</t>
  </si>
  <si>
    <t>Azcue</t>
  </si>
  <si>
    <t>Aizpun</t>
  </si>
  <si>
    <t>Edgardo</t>
  </si>
  <si>
    <t>Bachmann</t>
  </si>
  <si>
    <t>Ademar Danubio</t>
  </si>
  <si>
    <t>Balcarcel</t>
  </si>
  <si>
    <t>Nicoletti</t>
  </si>
  <si>
    <t>Rafael Mario</t>
  </si>
  <si>
    <t>Balostro</t>
  </si>
  <si>
    <t xml:space="preserve">Campos </t>
  </si>
  <si>
    <t>Maria Cristina</t>
  </si>
  <si>
    <t>Ctrl + Flecha (derecha)</t>
  </si>
  <si>
    <t>Ctrl + Shift + flecha (abajo)</t>
  </si>
  <si>
    <t>copiar la informacion de la celda</t>
  </si>
  <si>
    <t>pegar todo incluyendo formulas</t>
  </si>
  <si>
    <t>cortar quitando la informacion de la celda</t>
  </si>
  <si>
    <t>Regresar una accion</t>
  </si>
  <si>
    <t>SI</t>
  </si>
  <si>
    <t>Cambia el estilo del texto con negrita</t>
  </si>
  <si>
    <t>Cambia el estilo del texto a italico</t>
  </si>
  <si>
    <t>Cambia el estilo del texto subrayando</t>
  </si>
  <si>
    <t>|</t>
  </si>
  <si>
    <t>Imprimir</t>
  </si>
  <si>
    <t>NO</t>
  </si>
  <si>
    <t>1,1</t>
  </si>
  <si>
    <t>N/A</t>
  </si>
  <si>
    <t>Guardar</t>
  </si>
  <si>
    <t>Abrir un archivo</t>
  </si>
  <si>
    <t>Abrir un libro nuevo</t>
  </si>
  <si>
    <t>Avanzar hasta la siguiente celda con contenido</t>
  </si>
  <si>
    <t>Pone filtros en los encabezados</t>
  </si>
  <si>
    <t>selecciona todo el contenido de golpe hacia abajo</t>
  </si>
  <si>
    <t>Formato de celdas</t>
  </si>
  <si>
    <t>Crea tabla nueva</t>
  </si>
  <si>
    <t>Selecciona todas las celdas de la columna con contenido</t>
  </si>
  <si>
    <t>Selecciona todas las celdas de la fila con contenido</t>
  </si>
  <si>
    <t>selecciona toda la tabla</t>
  </si>
  <si>
    <t>Inserta hipervinculo</t>
  </si>
  <si>
    <t>Escribe la fecha de hoy</t>
  </si>
  <si>
    <t>Escribe la hora actual</t>
  </si>
  <si>
    <t>Quita la fila completa</t>
  </si>
  <si>
    <t>sadasd</t>
  </si>
  <si>
    <t>asd</t>
  </si>
  <si>
    <t>ad</t>
  </si>
  <si>
    <t>bbb</t>
  </si>
  <si>
    <t>ccc</t>
  </si>
  <si>
    <t>ddd</t>
  </si>
  <si>
    <t>Quita la columna completa</t>
  </si>
  <si>
    <t>Cambia de libro a la derecha</t>
  </si>
  <si>
    <t>Mueve a la izquierda la hoja</t>
  </si>
  <si>
    <t>Mueve a la derecha la hoja</t>
  </si>
  <si>
    <t>Sumatoria con los valores superiores de la column</t>
  </si>
  <si>
    <t>edita la formula de la celda</t>
  </si>
  <si>
    <t>ctrl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</si>
</sst>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[$$-409]#,##0.00"/>
    <numFmt numFmtId="167" formatCode="[$$-240A]\ #,##0"/>
    <numFmt numFmtId="168" formatCode="[$S/-280A]\ #,##0.00"/>
  </numFmts>
  <fonts count="8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color indexed="81"/>
      <name val="Tahoma"/>
      <family val="2"/>
    </font>
    <font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2"/>
      <color indexed="12"/>
      <name val="Arial"/>
      <family val="2"/>
    </font>
    <font>
      <b/>
      <sz val="12"/>
      <color indexed="10"/>
      <name val="Arial"/>
      <family val="2"/>
    </font>
    <font>
      <b/>
      <sz val="12"/>
      <color indexed="53"/>
      <name val="Arial"/>
      <family val="2"/>
    </font>
    <font>
      <b/>
      <sz val="12"/>
      <color indexed="43"/>
      <name val="Arial"/>
      <family val="2"/>
    </font>
    <font>
      <b/>
      <sz val="12"/>
      <color indexed="46"/>
      <name val="Arial"/>
      <family val="2"/>
    </font>
    <font>
      <b/>
      <sz val="12"/>
      <color indexed="57"/>
      <name val="Arial"/>
      <family val="2"/>
    </font>
    <font>
      <b/>
      <sz val="12"/>
      <color indexed="61"/>
      <name val="Arial"/>
      <family val="2"/>
    </font>
    <font>
      <b/>
      <sz val="12"/>
      <color indexed="14"/>
      <name val="Arial"/>
      <family val="2"/>
    </font>
    <font>
      <b/>
      <sz val="12"/>
      <color indexed="22"/>
      <name val="Arial"/>
      <family val="2"/>
    </font>
    <font>
      <b/>
      <sz val="12"/>
      <color indexed="18"/>
      <name val="Arial"/>
      <family val="2"/>
    </font>
    <font>
      <b/>
      <sz val="12"/>
      <color indexed="63"/>
      <name val="Arial"/>
      <family val="2"/>
    </font>
    <font>
      <b/>
      <sz val="12"/>
      <color indexed="8"/>
      <name val="Arial"/>
      <family val="2"/>
    </font>
    <font>
      <b/>
      <sz val="12"/>
      <color indexed="40"/>
      <name val="Arial"/>
      <family val="2"/>
    </font>
    <font>
      <b/>
      <sz val="12"/>
      <color indexed="13"/>
      <name val="Arial"/>
      <family val="2"/>
    </font>
    <font>
      <sz val="22"/>
      <name val="Arial"/>
      <family val="2"/>
    </font>
    <font>
      <sz val="12"/>
      <color indexed="10"/>
      <name val="Arial"/>
      <family val="2"/>
    </font>
    <font>
      <b/>
      <sz val="12"/>
      <color indexed="81"/>
      <name val="Arial"/>
      <family val="2"/>
    </font>
    <font>
      <b/>
      <sz val="12"/>
      <color indexed="81"/>
      <name val="Tahoma"/>
      <family val="2"/>
    </font>
    <font>
      <b/>
      <u/>
      <sz val="12"/>
      <color indexed="10"/>
      <name val="Arial"/>
      <family val="2"/>
    </font>
    <font>
      <sz val="11"/>
      <name val="Arial"/>
      <family val="2"/>
    </font>
    <font>
      <sz val="4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b/>
      <sz val="14"/>
      <color rgb="FF00B0F0"/>
      <name val="Arial"/>
      <family val="2"/>
    </font>
    <font>
      <b/>
      <sz val="14"/>
      <color theme="3" tint="-0.249977111117893"/>
      <name val="Arial"/>
      <family val="2"/>
    </font>
    <font>
      <b/>
      <sz val="14"/>
      <color rgb="FFFF0000"/>
      <name val="Arial"/>
      <family val="2"/>
    </font>
    <font>
      <b/>
      <sz val="14"/>
      <color rgb="FF660033"/>
      <name val="Arial"/>
      <family val="2"/>
    </font>
    <font>
      <b/>
      <sz val="14"/>
      <name val="Arial"/>
      <family val="2"/>
    </font>
    <font>
      <b/>
      <sz val="14"/>
      <color indexed="61"/>
      <name val="Arial"/>
      <family val="2"/>
    </font>
    <font>
      <b/>
      <sz val="14"/>
      <color rgb="FFFFFF00"/>
      <name val="Arial"/>
      <family val="2"/>
    </font>
    <font>
      <b/>
      <sz val="14"/>
      <color theme="3" tint="-0.499984740745262"/>
      <name val="Arial"/>
      <family val="2"/>
    </font>
    <font>
      <b/>
      <sz val="14"/>
      <color theme="0"/>
      <name val="Arial"/>
      <family val="2"/>
    </font>
    <font>
      <b/>
      <sz val="14"/>
      <color rgb="FFFFC000"/>
      <name val="Arial"/>
      <family val="2"/>
    </font>
    <font>
      <b/>
      <sz val="14"/>
      <color theme="7" tint="0.39997558519241921"/>
      <name val="Arial"/>
      <family val="2"/>
    </font>
    <font>
      <b/>
      <sz val="14"/>
      <color rgb="FF00B050"/>
      <name val="Arial"/>
      <family val="2"/>
    </font>
    <font>
      <b/>
      <sz val="14"/>
      <color rgb="FFFF6600"/>
      <name val="Arial"/>
      <family val="2"/>
    </font>
    <font>
      <b/>
      <sz val="14"/>
      <color rgb="FF000000"/>
      <name val="Arial"/>
      <family val="2"/>
    </font>
    <font>
      <b/>
      <sz val="14"/>
      <color rgb="FFFF5050"/>
      <name val="Arial"/>
      <family val="2"/>
    </font>
    <font>
      <b/>
      <sz val="14"/>
      <color rgb="FF000099"/>
      <name val="Arial"/>
      <family val="2"/>
    </font>
    <font>
      <b/>
      <sz val="14"/>
      <color rgb="FF008080"/>
      <name val="Arial"/>
      <family val="2"/>
    </font>
    <font>
      <b/>
      <sz val="14"/>
      <color rgb="FF993366"/>
      <name val="Arial"/>
      <family val="2"/>
    </font>
    <font>
      <b/>
      <sz val="14"/>
      <color rgb="FF990033"/>
      <name val="Arial"/>
      <family val="2"/>
    </font>
    <font>
      <b/>
      <sz val="14"/>
      <color rgb="FF009900"/>
      <name val="Arial"/>
      <family val="2"/>
    </font>
    <font>
      <b/>
      <sz val="14"/>
      <color rgb="FF66FF33"/>
      <name val="Arial"/>
      <family val="2"/>
    </font>
    <font>
      <b/>
      <sz val="14"/>
      <color rgb="FF0000FF"/>
      <name val="Arial"/>
      <family val="2"/>
    </font>
    <font>
      <sz val="10"/>
      <name val="Arial"/>
      <family val="2"/>
    </font>
    <font>
      <b/>
      <sz val="14"/>
      <color rgb="FF008000"/>
      <name val="Arial"/>
      <family val="2"/>
    </font>
    <font>
      <b/>
      <sz val="14"/>
      <color rgb="FF800000"/>
      <name val="Arial"/>
      <family val="2"/>
    </font>
    <font>
      <sz val="10"/>
      <color rgb="FF0000FF"/>
      <name val="Arial"/>
      <family val="2"/>
    </font>
    <font>
      <b/>
      <sz val="14"/>
      <color rgb="FF003399"/>
      <name val="Arial"/>
      <family val="2"/>
    </font>
    <font>
      <b/>
      <sz val="14"/>
      <color rgb="FFFF9900"/>
      <name val="Arial"/>
      <family val="2"/>
    </font>
    <font>
      <b/>
      <sz val="12"/>
      <color rgb="FF008080"/>
      <name val="Arial"/>
      <family val="2"/>
    </font>
    <font>
      <b/>
      <sz val="11"/>
      <color rgb="FF990033"/>
      <name val="Arial"/>
      <family val="2"/>
    </font>
    <font>
      <b/>
      <sz val="9"/>
      <color indexed="81"/>
      <name val="Tahoma"/>
      <family val="2"/>
    </font>
    <font>
      <sz val="14"/>
      <color indexed="81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9"/>
      <color indexed="81"/>
      <name val="Tahoma"/>
      <family val="2"/>
    </font>
    <font>
      <b/>
      <sz val="28"/>
      <color indexed="81"/>
      <name val="Tahoma"/>
      <family val="2"/>
    </font>
    <font>
      <sz val="10"/>
      <name val="Arial"/>
      <family val="2"/>
    </font>
    <font>
      <sz val="12"/>
      <color theme="7" tint="-0.499984740745262"/>
      <name val="Arial"/>
      <family val="2"/>
    </font>
    <font>
      <sz val="12"/>
      <color rgb="FF0070C0"/>
      <name val="Arial"/>
      <family val="2"/>
    </font>
    <font>
      <b/>
      <i/>
      <sz val="8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10"/>
      <name val="Arial"/>
      <family val="2"/>
    </font>
    <font>
      <i/>
      <u/>
      <sz val="10"/>
      <name val="Arial"/>
      <family val="2"/>
    </font>
    <font>
      <u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rgb="FF0000FF"/>
      </left>
      <right/>
      <top style="double">
        <color rgb="FF0000FF"/>
      </top>
      <bottom style="double">
        <color rgb="FF0000FF"/>
      </bottom>
      <diagonal/>
    </border>
    <border>
      <left/>
      <right/>
      <top style="double">
        <color rgb="FF0000FF"/>
      </top>
      <bottom style="double">
        <color rgb="FF0000FF"/>
      </bottom>
      <diagonal/>
    </border>
    <border>
      <left/>
      <right style="double">
        <color rgb="FF0000FF"/>
      </right>
      <top style="double">
        <color rgb="FF0000FF"/>
      </top>
      <bottom style="double">
        <color rgb="FF0000FF"/>
      </bottom>
      <diagonal/>
    </border>
    <border>
      <left style="mediumDashed">
        <color rgb="FFFF33CC"/>
      </left>
      <right/>
      <top style="mediumDashed">
        <color rgb="FFFF33CC"/>
      </top>
      <bottom style="mediumDashed">
        <color rgb="FFFF33CC"/>
      </bottom>
      <diagonal/>
    </border>
    <border>
      <left/>
      <right/>
      <top style="mediumDashed">
        <color rgb="FFFF33CC"/>
      </top>
      <bottom style="mediumDashed">
        <color rgb="FFFF33CC"/>
      </bottom>
      <diagonal/>
    </border>
    <border>
      <left/>
      <right style="mediumDashed">
        <color rgb="FFFF33CC"/>
      </right>
      <top style="mediumDashed">
        <color rgb="FFFF33CC"/>
      </top>
      <bottom style="mediumDashed">
        <color rgb="FFFF33CC"/>
      </bottom>
      <diagonal/>
    </border>
    <border>
      <left style="dotted">
        <color rgb="FF7030A0"/>
      </left>
      <right/>
      <top style="dotted">
        <color rgb="FF7030A0"/>
      </top>
      <bottom style="dotted">
        <color rgb="FF7030A0"/>
      </bottom>
      <diagonal/>
    </border>
    <border>
      <left/>
      <right/>
      <top style="dotted">
        <color rgb="FF7030A0"/>
      </top>
      <bottom style="dotted">
        <color rgb="FF7030A0"/>
      </bottom>
      <diagonal/>
    </border>
    <border>
      <left/>
      <right style="dotted">
        <color rgb="FF7030A0"/>
      </right>
      <top style="dotted">
        <color rgb="FF7030A0"/>
      </top>
      <bottom style="dotted">
        <color rgb="FF7030A0"/>
      </bottom>
      <diagonal/>
    </border>
    <border>
      <left style="thick">
        <color rgb="FF99FF66"/>
      </left>
      <right/>
      <top style="thick">
        <color rgb="FF99FF66"/>
      </top>
      <bottom style="thick">
        <color rgb="FF99FF66"/>
      </bottom>
      <diagonal/>
    </border>
    <border>
      <left/>
      <right/>
      <top style="thick">
        <color rgb="FF99FF66"/>
      </top>
      <bottom style="thick">
        <color rgb="FF99FF66"/>
      </bottom>
      <diagonal/>
    </border>
    <border>
      <left/>
      <right style="thick">
        <color rgb="FF99FF66"/>
      </right>
      <top style="thick">
        <color rgb="FF99FF66"/>
      </top>
      <bottom style="thick">
        <color rgb="FF99FF66"/>
      </bottom>
      <diagonal/>
    </border>
    <border>
      <left style="mediumDashDot">
        <color rgb="FFFFFF00"/>
      </left>
      <right/>
      <top style="mediumDashDot">
        <color rgb="FFFFFF00"/>
      </top>
      <bottom style="mediumDashDot">
        <color rgb="FFFFFF00"/>
      </bottom>
      <diagonal/>
    </border>
    <border>
      <left/>
      <right/>
      <top style="mediumDashDot">
        <color rgb="FFFFFF00"/>
      </top>
      <bottom style="mediumDashDot">
        <color rgb="FFFFFF00"/>
      </bottom>
      <diagonal/>
    </border>
    <border>
      <left/>
      <right style="mediumDashDot">
        <color rgb="FFFFFF00"/>
      </right>
      <top style="mediumDashDot">
        <color rgb="FFFFFF00"/>
      </top>
      <bottom style="mediumDashDot">
        <color rgb="FFFFFF00"/>
      </bottom>
      <diagonal/>
    </border>
    <border>
      <left style="double">
        <color rgb="FF00FFFF"/>
      </left>
      <right/>
      <top style="double">
        <color rgb="FF00FFFF"/>
      </top>
      <bottom style="double">
        <color rgb="FF00FFFF"/>
      </bottom>
      <diagonal/>
    </border>
    <border>
      <left/>
      <right/>
      <top style="double">
        <color rgb="FF00FFFF"/>
      </top>
      <bottom style="double">
        <color rgb="FF00FFFF"/>
      </bottom>
      <diagonal/>
    </border>
    <border>
      <left/>
      <right style="double">
        <color rgb="FF00FFFF"/>
      </right>
      <top style="double">
        <color rgb="FF00FFFF"/>
      </top>
      <bottom style="double">
        <color rgb="FF00FFFF"/>
      </bottom>
      <diagonal/>
    </border>
    <border>
      <left style="slantDashDot">
        <color rgb="FF3366FF"/>
      </left>
      <right style="thin">
        <color indexed="64"/>
      </right>
      <top style="slantDashDot">
        <color rgb="FF3366FF"/>
      </top>
      <bottom style="slantDashDot">
        <color rgb="FF3366FF"/>
      </bottom>
      <diagonal/>
    </border>
    <border>
      <left style="thin">
        <color indexed="64"/>
      </left>
      <right style="thin">
        <color indexed="64"/>
      </right>
      <top style="slantDashDot">
        <color rgb="FF3366FF"/>
      </top>
      <bottom style="slantDashDot">
        <color rgb="FF3366FF"/>
      </bottom>
      <diagonal/>
    </border>
    <border>
      <left style="thin">
        <color indexed="64"/>
      </left>
      <right style="slantDashDot">
        <color rgb="FF3366FF"/>
      </right>
      <top style="slantDashDot">
        <color rgb="FF3366FF"/>
      </top>
      <bottom style="slantDashDot">
        <color rgb="FF3366FF"/>
      </bottom>
      <diagonal/>
    </border>
    <border>
      <left style="double">
        <color rgb="FF008080"/>
      </left>
      <right style="thin">
        <color indexed="64"/>
      </right>
      <top style="double">
        <color rgb="FF008080"/>
      </top>
      <bottom style="double">
        <color rgb="FF008080"/>
      </bottom>
      <diagonal/>
    </border>
    <border>
      <left style="thin">
        <color indexed="64"/>
      </left>
      <right style="thin">
        <color indexed="64"/>
      </right>
      <top style="double">
        <color rgb="FF008080"/>
      </top>
      <bottom style="double">
        <color rgb="FF008080"/>
      </bottom>
      <diagonal/>
    </border>
    <border>
      <left style="thin">
        <color indexed="64"/>
      </left>
      <right style="double">
        <color rgb="FF008080"/>
      </right>
      <top style="double">
        <color rgb="FF008080"/>
      </top>
      <bottom style="double">
        <color rgb="FF008080"/>
      </bottom>
      <diagonal/>
    </border>
    <border>
      <left style="thick">
        <color theme="5" tint="-0.24994659260841701"/>
      </left>
      <right style="thin">
        <color indexed="64"/>
      </right>
      <top style="thick">
        <color theme="5" tint="-0.24994659260841701"/>
      </top>
      <bottom style="thick">
        <color theme="5" tint="-0.24994659260841701"/>
      </bottom>
      <diagonal/>
    </border>
    <border>
      <left style="thin">
        <color indexed="64"/>
      </left>
      <right style="thin">
        <color indexed="64"/>
      </right>
      <top style="thick">
        <color theme="5" tint="-0.24994659260841701"/>
      </top>
      <bottom style="thick">
        <color theme="5" tint="-0.24994659260841701"/>
      </bottom>
      <diagonal/>
    </border>
    <border>
      <left style="thin">
        <color indexed="64"/>
      </left>
      <right style="thick">
        <color theme="5" tint="-0.24994659260841701"/>
      </right>
      <top style="thick">
        <color theme="5" tint="-0.24994659260841701"/>
      </top>
      <bottom style="thick">
        <color theme="5" tint="-0.24994659260841701"/>
      </bottom>
      <diagonal/>
    </border>
    <border>
      <left style="medium">
        <color rgb="FFFFFF00"/>
      </left>
      <right style="thin">
        <color indexed="64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 style="thin">
        <color indexed="64"/>
      </right>
      <top style="medium">
        <color rgb="FFFFFF00"/>
      </top>
      <bottom style="medium">
        <color rgb="FFFFFF00"/>
      </bottom>
      <diagonal/>
    </border>
    <border>
      <left style="thin">
        <color indexed="64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thick">
        <color theme="9" tint="-0.24994659260841701"/>
      </left>
      <right style="thin">
        <color indexed="64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n">
        <color indexed="64"/>
      </left>
      <right style="thin">
        <color indexed="64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n">
        <color indexed="64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DashDot">
        <color theme="6" tint="-0.24994659260841701"/>
      </left>
      <right/>
      <top style="mediumDashDot">
        <color theme="6" tint="-0.24994659260841701"/>
      </top>
      <bottom style="mediumDashDot">
        <color theme="6" tint="-0.24994659260841701"/>
      </bottom>
      <diagonal/>
    </border>
    <border>
      <left/>
      <right/>
      <top style="mediumDashDot">
        <color theme="6" tint="-0.24994659260841701"/>
      </top>
      <bottom style="mediumDashDot">
        <color theme="6" tint="-0.24994659260841701"/>
      </bottom>
      <diagonal/>
    </border>
    <border>
      <left/>
      <right style="mediumDashDot">
        <color theme="6" tint="-0.24994659260841701"/>
      </right>
      <top style="mediumDashDot">
        <color theme="6" tint="-0.24994659260841701"/>
      </top>
      <bottom style="mediumDashDot">
        <color theme="6" tint="-0.24994659260841701"/>
      </bottom>
      <diagonal/>
    </border>
    <border>
      <left style="thick">
        <color theme="9" tint="0.39994506668294322"/>
      </left>
      <right style="thin">
        <color indexed="64"/>
      </right>
      <top style="thick">
        <color theme="9" tint="0.39994506668294322"/>
      </top>
      <bottom style="thick">
        <color theme="9" tint="0.39994506668294322"/>
      </bottom>
      <diagonal/>
    </border>
    <border>
      <left style="thin">
        <color indexed="64"/>
      </left>
      <right style="thin">
        <color indexed="64"/>
      </right>
      <top style="thick">
        <color theme="9" tint="0.39994506668294322"/>
      </top>
      <bottom style="thick">
        <color theme="9" tint="0.39994506668294322"/>
      </bottom>
      <diagonal/>
    </border>
    <border>
      <left style="thin">
        <color indexed="64"/>
      </left>
      <right style="thick">
        <color theme="9" tint="0.39994506668294322"/>
      </right>
      <top style="thick">
        <color theme="9" tint="0.39994506668294322"/>
      </top>
      <bottom style="thick">
        <color theme="9" tint="0.39994506668294322"/>
      </bottom>
      <diagonal/>
    </border>
    <border>
      <left style="thick">
        <color theme="9" tint="-0.499984740745262"/>
      </left>
      <right style="thin">
        <color indexed="64"/>
      </right>
      <top style="thick">
        <color theme="9" tint="-0.499984740745262"/>
      </top>
      <bottom style="thick">
        <color theme="9" tint="-0.499984740745262"/>
      </bottom>
      <diagonal/>
    </border>
    <border>
      <left style="thin">
        <color indexed="64"/>
      </left>
      <right style="thin">
        <color indexed="64"/>
      </right>
      <top style="thick">
        <color theme="9" tint="-0.499984740745262"/>
      </top>
      <bottom style="thick">
        <color theme="9" tint="-0.499984740745262"/>
      </bottom>
      <diagonal/>
    </border>
    <border>
      <left style="thin">
        <color indexed="64"/>
      </left>
      <right style="thick">
        <color theme="9" tint="-0.499984740745262"/>
      </right>
      <top style="thick">
        <color theme="9" tint="-0.499984740745262"/>
      </top>
      <bottom style="thick">
        <color theme="9" tint="-0.499984740745262"/>
      </bottom>
      <diagonal/>
    </border>
    <border>
      <left style="thick">
        <color theme="0" tint="-0.499984740745262"/>
      </left>
      <right style="thin">
        <color indexed="64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indexed="64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slantDashDot">
        <color rgb="FFFF99CC"/>
      </left>
      <right style="thin">
        <color indexed="64"/>
      </right>
      <top style="slantDashDot">
        <color rgb="FFFF99CC"/>
      </top>
      <bottom style="slantDashDot">
        <color rgb="FFFF99CC"/>
      </bottom>
      <diagonal/>
    </border>
    <border>
      <left style="thin">
        <color indexed="64"/>
      </left>
      <right style="thin">
        <color indexed="64"/>
      </right>
      <top style="slantDashDot">
        <color rgb="FFFF99CC"/>
      </top>
      <bottom style="slantDashDot">
        <color rgb="FFFF99CC"/>
      </bottom>
      <diagonal/>
    </border>
    <border>
      <left style="thin">
        <color indexed="64"/>
      </left>
      <right style="slantDashDot">
        <color rgb="FFFF99CC"/>
      </right>
      <top style="slantDashDot">
        <color rgb="FFFF99CC"/>
      </top>
      <bottom style="slantDashDot">
        <color rgb="FFFF99CC"/>
      </bottom>
      <diagonal/>
    </border>
    <border>
      <left style="thick">
        <color theme="7" tint="-0.24994659260841701"/>
      </left>
      <right style="thin">
        <color indexed="64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n">
        <color indexed="64"/>
      </left>
      <right style="thin">
        <color indexed="64"/>
      </right>
      <top style="thick">
        <color theme="7" tint="-0.24994659260841701"/>
      </top>
      <bottom style="thick">
        <color theme="7" tint="-0.24994659260841701"/>
      </bottom>
      <diagonal/>
    </border>
    <border>
      <left style="thin">
        <color indexed="64"/>
      </left>
      <right style="thick">
        <color theme="7" tint="-0.24994659260841701"/>
      </right>
      <top style="thick">
        <color theme="7" tint="-0.24994659260841701"/>
      </top>
      <bottom style="thick">
        <color theme="7" tint="-0.24994659260841701"/>
      </bottom>
      <diagonal/>
    </border>
    <border>
      <left style="double">
        <color rgb="FF006600"/>
      </left>
      <right/>
      <top style="double">
        <color rgb="FF006600"/>
      </top>
      <bottom style="double">
        <color rgb="FF006600"/>
      </bottom>
      <diagonal/>
    </border>
    <border>
      <left/>
      <right/>
      <top style="double">
        <color rgb="FF006600"/>
      </top>
      <bottom style="double">
        <color rgb="FF006600"/>
      </bottom>
      <diagonal/>
    </border>
    <border>
      <left/>
      <right style="double">
        <color rgb="FF006600"/>
      </right>
      <top style="double">
        <color rgb="FF006600"/>
      </top>
      <bottom style="double">
        <color rgb="FF006600"/>
      </bottom>
      <diagonal/>
    </border>
    <border>
      <left style="thick">
        <color rgb="FF99FF66"/>
      </left>
      <right style="thin">
        <color indexed="64"/>
      </right>
      <top style="thick">
        <color rgb="FF99FF66"/>
      </top>
      <bottom style="thick">
        <color rgb="FF99FF66"/>
      </bottom>
      <diagonal/>
    </border>
    <border>
      <left style="thin">
        <color indexed="64"/>
      </left>
      <right style="thin">
        <color indexed="64"/>
      </right>
      <top style="thick">
        <color rgb="FF99FF66"/>
      </top>
      <bottom style="thick">
        <color rgb="FF99FF66"/>
      </bottom>
      <diagonal/>
    </border>
    <border>
      <left style="thin">
        <color indexed="64"/>
      </left>
      <right style="thick">
        <color rgb="FF99FF66"/>
      </right>
      <top style="thick">
        <color rgb="FF99FF66"/>
      </top>
      <bottom style="thick">
        <color rgb="FF99FF66"/>
      </bottom>
      <diagonal/>
    </border>
    <border>
      <left style="thick">
        <color theme="8" tint="-0.24994659260841701"/>
      </left>
      <right style="thin">
        <color indexed="64"/>
      </right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indexed="64"/>
      </left>
      <right style="thin">
        <color indexed="64"/>
      </right>
      <top style="thick">
        <color theme="8" tint="-0.24994659260841701"/>
      </top>
      <bottom style="thick">
        <color theme="8" tint="-0.24994659260841701"/>
      </bottom>
      <diagonal/>
    </border>
    <border>
      <left style="thin">
        <color indexed="64"/>
      </left>
      <right style="thick">
        <color theme="8" tint="-0.24994659260841701"/>
      </right>
      <top style="thick">
        <color theme="8" tint="-0.24994659260841701"/>
      </top>
      <bottom style="thick">
        <color theme="8" tint="-0.24994659260841701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6600"/>
      </left>
      <right style="thin">
        <color indexed="64"/>
      </right>
      <top style="thick">
        <color rgb="FFFF6600"/>
      </top>
      <bottom style="thick">
        <color rgb="FFFF6600"/>
      </bottom>
      <diagonal/>
    </border>
    <border>
      <left style="thin">
        <color indexed="64"/>
      </left>
      <right style="thin">
        <color indexed="64"/>
      </right>
      <top style="thick">
        <color rgb="FFFF6600"/>
      </top>
      <bottom style="thick">
        <color rgb="FFFF6600"/>
      </bottom>
      <diagonal/>
    </border>
    <border>
      <left style="thin">
        <color indexed="64"/>
      </left>
      <right style="thick">
        <color rgb="FFFF6600"/>
      </right>
      <top style="thick">
        <color rgb="FFFF6600"/>
      </top>
      <bottom style="thick">
        <color rgb="FFFF6600"/>
      </bottom>
      <diagonal/>
    </border>
    <border>
      <left style="thick">
        <color rgb="FF00FFFF"/>
      </left>
      <right/>
      <top style="thick">
        <color rgb="FF00FFFF"/>
      </top>
      <bottom style="thick">
        <color rgb="FF00FFFF"/>
      </bottom>
      <diagonal/>
    </border>
    <border>
      <left/>
      <right/>
      <top style="thick">
        <color rgb="FF00FFFF"/>
      </top>
      <bottom style="thick">
        <color rgb="FF00FFFF"/>
      </bottom>
      <diagonal/>
    </border>
    <border>
      <left/>
      <right style="thick">
        <color rgb="FF00FFFF"/>
      </right>
      <top style="thick">
        <color rgb="FF00FFFF"/>
      </top>
      <bottom style="thick">
        <color rgb="FF00FFFF"/>
      </bottom>
      <diagonal/>
    </border>
    <border>
      <left style="thick">
        <color rgb="FFFFFF00"/>
      </left>
      <right style="thin">
        <color indexed="64"/>
      </right>
      <top style="thick">
        <color rgb="FFFFFF00"/>
      </top>
      <bottom style="thick">
        <color rgb="FFFFFF00"/>
      </bottom>
      <diagonal/>
    </border>
    <border>
      <left style="thin">
        <color indexed="64"/>
      </left>
      <right style="thin">
        <color indexed="64"/>
      </right>
      <top style="thick">
        <color rgb="FFFFFF00"/>
      </top>
      <bottom style="thick">
        <color rgb="FFFFFF00"/>
      </bottom>
      <diagonal/>
    </border>
    <border>
      <left style="thin">
        <color indexed="64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mediumDashed">
        <color theme="5" tint="-0.24994659260841701"/>
      </left>
      <right style="thin">
        <color indexed="64"/>
      </right>
      <top style="mediumDashed">
        <color theme="5" tint="-0.24994659260841701"/>
      </top>
      <bottom style="mediumDashed">
        <color theme="5" tint="-0.24994659260841701"/>
      </bottom>
      <diagonal/>
    </border>
    <border>
      <left style="thin">
        <color indexed="64"/>
      </left>
      <right style="thin">
        <color indexed="64"/>
      </right>
      <top style="mediumDashed">
        <color theme="5" tint="-0.24994659260841701"/>
      </top>
      <bottom style="mediumDashed">
        <color theme="5" tint="-0.24994659260841701"/>
      </bottom>
      <diagonal/>
    </border>
    <border>
      <left style="thin">
        <color indexed="64"/>
      </left>
      <right style="mediumDashed">
        <color theme="5" tint="-0.24994659260841701"/>
      </right>
      <top style="mediumDashed">
        <color theme="5" tint="-0.24994659260841701"/>
      </top>
      <bottom style="mediumDashed">
        <color theme="5" tint="-0.24994659260841701"/>
      </bottom>
      <diagonal/>
    </border>
    <border>
      <left style="mediumDashed">
        <color rgb="FF00B050"/>
      </left>
      <right style="thin">
        <color indexed="64"/>
      </right>
      <top style="mediumDashed">
        <color rgb="FF00B050"/>
      </top>
      <bottom style="mediumDashed">
        <color rgb="FF00B050"/>
      </bottom>
      <diagonal/>
    </border>
    <border>
      <left style="thin">
        <color indexed="64"/>
      </left>
      <right style="thin">
        <color indexed="64"/>
      </right>
      <top style="mediumDashed">
        <color rgb="FF00B050"/>
      </top>
      <bottom style="mediumDashed">
        <color rgb="FF00B050"/>
      </bottom>
      <diagonal/>
    </border>
    <border>
      <left style="thin">
        <color indexed="64"/>
      </left>
      <right style="mediumDashed">
        <color rgb="FF00B050"/>
      </right>
      <top style="mediumDashed">
        <color rgb="FF00B050"/>
      </top>
      <bottom style="mediumDashed">
        <color rgb="FF00B050"/>
      </bottom>
      <diagonal/>
    </border>
    <border>
      <left style="mediumDashDotDot">
        <color rgb="FF0070C0"/>
      </left>
      <right style="mediumDashDotDot">
        <color rgb="FF0070C0"/>
      </right>
      <top style="mediumDashDotDot">
        <color rgb="FF0070C0"/>
      </top>
      <bottom style="mediumDashDotDot">
        <color rgb="FF0070C0"/>
      </bottom>
      <diagonal/>
    </border>
    <border>
      <left style="medium">
        <color rgb="FF99FF66"/>
      </left>
      <right style="medium">
        <color rgb="FF99FF66"/>
      </right>
      <top style="medium">
        <color rgb="FF99FF66"/>
      </top>
      <bottom style="medium">
        <color rgb="FF99FF66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Dashed">
        <color rgb="FFFF33CC"/>
      </left>
      <right style="mediumDashed">
        <color rgb="FFFF33CC"/>
      </right>
      <top style="mediumDashed">
        <color rgb="FFFF33CC"/>
      </top>
      <bottom style="mediumDashed">
        <color rgb="FFFF33CC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</borders>
  <cellStyleXfs count="6">
    <xf numFmtId="0" fontId="0" fillId="0" borderId="0"/>
    <xf numFmtId="164" fontId="66" fillId="0" borderId="0" applyFont="0" applyFill="0" applyBorder="0" applyAlignment="0" applyProtection="0"/>
    <xf numFmtId="41" fontId="70" fillId="0" borderId="0" applyFont="0" applyFill="0" applyBorder="0" applyAlignment="0" applyProtection="0"/>
    <xf numFmtId="0" fontId="5" fillId="32" borderId="94">
      <alignment horizontal="center" vertical="center"/>
    </xf>
    <xf numFmtId="0" fontId="76" fillId="0" borderId="0"/>
    <xf numFmtId="0" fontId="4" fillId="0" borderId="0"/>
  </cellStyleXfs>
  <cellXfs count="245">
    <xf numFmtId="0" fontId="0" fillId="0" borderId="0" xfId="0"/>
    <xf numFmtId="0" fontId="5" fillId="0" borderId="0" xfId="0" applyFont="1"/>
    <xf numFmtId="0" fontId="9" fillId="0" borderId="0" xfId="0" applyFont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0" xfId="0" applyFont="1" applyFill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26" fillId="2" borderId="0" xfId="0" applyFont="1" applyFill="1"/>
    <xf numFmtId="0" fontId="12" fillId="2" borderId="0" xfId="0" applyFont="1" applyFill="1"/>
    <xf numFmtId="0" fontId="11" fillId="2" borderId="0" xfId="0" applyFont="1" applyFill="1"/>
    <xf numFmtId="0" fontId="6" fillId="2" borderId="0" xfId="0" applyFont="1" applyFill="1"/>
    <xf numFmtId="0" fontId="10" fillId="2" borderId="0" xfId="0" applyFont="1" applyFill="1"/>
    <xf numFmtId="0" fontId="13" fillId="2" borderId="0" xfId="0" applyFont="1" applyFill="1"/>
    <xf numFmtId="0" fontId="15" fillId="2" borderId="0" xfId="0" applyFont="1" applyFill="1"/>
    <xf numFmtId="0" fontId="16" fillId="2" borderId="0" xfId="0" applyFont="1" applyFill="1"/>
    <xf numFmtId="0" fontId="17" fillId="2" borderId="0" xfId="0" applyFont="1" applyFill="1"/>
    <xf numFmtId="0" fontId="18" fillId="2" borderId="0" xfId="0" applyFont="1" applyFill="1"/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29" fillId="2" borderId="0" xfId="0" applyFont="1" applyFill="1"/>
    <xf numFmtId="0" fontId="0" fillId="2" borderId="0" xfId="0" applyFill="1"/>
    <xf numFmtId="0" fontId="30" fillId="2" borderId="0" xfId="0" applyFont="1" applyFill="1"/>
    <xf numFmtId="0" fontId="30" fillId="2" borderId="0" xfId="0" applyFont="1" applyFill="1" applyAlignment="1">
      <alignment horizontal="right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11" fillId="2" borderId="0" xfId="0" applyFont="1" applyFill="1" applyAlignment="1">
      <alignment horizontal="left"/>
    </xf>
    <xf numFmtId="0" fontId="7" fillId="0" borderId="0" xfId="0" applyFont="1"/>
    <xf numFmtId="0" fontId="56" fillId="0" borderId="0" xfId="0" applyFont="1"/>
    <xf numFmtId="0" fontId="59" fillId="0" borderId="0" xfId="0" applyFont="1"/>
    <xf numFmtId="0" fontId="34" fillId="30" borderId="0" xfId="0" applyFont="1" applyFill="1" applyAlignment="1">
      <alignment horizontal="left" vertical="center"/>
    </xf>
    <xf numFmtId="0" fontId="5" fillId="30" borderId="0" xfId="0" applyFont="1" applyFill="1"/>
    <xf numFmtId="0" fontId="30" fillId="30" borderId="0" xfId="0" applyFont="1" applyFill="1"/>
    <xf numFmtId="0" fontId="35" fillId="30" borderId="0" xfId="0" applyFont="1" applyFill="1" applyAlignment="1">
      <alignment horizontal="left"/>
    </xf>
    <xf numFmtId="0" fontId="40" fillId="30" borderId="0" xfId="0" applyFont="1" applyFill="1" applyAlignment="1">
      <alignment horizontal="left"/>
    </xf>
    <xf numFmtId="0" fontId="44" fillId="30" borderId="0" xfId="0" applyFont="1" applyFill="1" applyAlignment="1">
      <alignment horizontal="left"/>
    </xf>
    <xf numFmtId="0" fontId="30" fillId="30" borderId="0" xfId="0" applyFont="1" applyFill="1" applyAlignment="1">
      <alignment horizontal="right"/>
    </xf>
    <xf numFmtId="0" fontId="53" fillId="30" borderId="0" xfId="0" applyFont="1" applyFill="1" applyAlignment="1">
      <alignment horizontal="left"/>
    </xf>
    <xf numFmtId="0" fontId="7" fillId="30" borderId="0" xfId="0" applyFont="1" applyFill="1"/>
    <xf numFmtId="0" fontId="43" fillId="30" borderId="0" xfId="0" applyFont="1" applyFill="1" applyAlignment="1">
      <alignment horizontal="left"/>
    </xf>
    <xf numFmtId="0" fontId="47" fillId="30" borderId="0" xfId="0" applyFont="1" applyFill="1" applyAlignment="1">
      <alignment horizontal="left"/>
    </xf>
    <xf numFmtId="0" fontId="37" fillId="30" borderId="0" xfId="0" applyFont="1" applyFill="1" applyAlignment="1">
      <alignment horizontal="left"/>
    </xf>
    <xf numFmtId="0" fontId="60" fillId="30" borderId="0" xfId="0" applyFont="1" applyFill="1" applyAlignment="1">
      <alignment horizontal="left"/>
    </xf>
    <xf numFmtId="0" fontId="42" fillId="30" borderId="0" xfId="0" applyFont="1" applyFill="1" applyAlignment="1">
      <alignment horizontal="left"/>
    </xf>
    <xf numFmtId="0" fontId="46" fillId="30" borderId="0" xfId="0" applyFont="1" applyFill="1" applyAlignment="1">
      <alignment horizontal="left"/>
    </xf>
    <xf numFmtId="0" fontId="51" fillId="30" borderId="0" xfId="0" applyFont="1" applyFill="1" applyAlignment="1">
      <alignment horizontal="left"/>
    </xf>
    <xf numFmtId="0" fontId="58" fillId="30" borderId="0" xfId="0" applyFont="1" applyFill="1" applyAlignment="1">
      <alignment horizontal="left"/>
    </xf>
    <xf numFmtId="0" fontId="29" fillId="30" borderId="0" xfId="0" applyFont="1" applyFill="1"/>
    <xf numFmtId="0" fontId="0" fillId="30" borderId="0" xfId="0" applyFill="1"/>
    <xf numFmtId="0" fontId="41" fillId="30" borderId="0" xfId="0" applyFont="1" applyFill="1" applyAlignment="1">
      <alignment horizontal="left"/>
    </xf>
    <xf numFmtId="0" fontId="39" fillId="30" borderId="0" xfId="0" applyFont="1" applyFill="1" applyAlignment="1">
      <alignment horizontal="left"/>
    </xf>
    <xf numFmtId="0" fontId="50" fillId="30" borderId="0" xfId="0" applyFont="1" applyFill="1" applyAlignment="1">
      <alignment horizontal="left"/>
    </xf>
    <xf numFmtId="0" fontId="57" fillId="30" borderId="0" xfId="0" applyFont="1" applyFill="1" applyAlignment="1">
      <alignment horizontal="left"/>
    </xf>
    <xf numFmtId="0" fontId="38" fillId="30" borderId="0" xfId="0" applyFont="1" applyFill="1" applyAlignment="1">
      <alignment horizontal="left"/>
    </xf>
    <xf numFmtId="0" fontId="49" fillId="30" borderId="0" xfId="0" applyFont="1" applyFill="1" applyAlignment="1">
      <alignment horizontal="left"/>
    </xf>
    <xf numFmtId="0" fontId="55" fillId="30" borderId="0" xfId="0" applyFont="1" applyFill="1" applyAlignment="1">
      <alignment horizontal="left"/>
    </xf>
    <xf numFmtId="0" fontId="36" fillId="30" borderId="0" xfId="0" applyFont="1" applyFill="1" applyAlignment="1">
      <alignment horizontal="left"/>
    </xf>
    <xf numFmtId="0" fontId="45" fillId="30" borderId="0" xfId="0" applyFont="1" applyFill="1" applyAlignment="1">
      <alignment horizontal="left"/>
    </xf>
    <xf numFmtId="0" fontId="54" fillId="30" borderId="0" xfId="0" applyFont="1" applyFill="1" applyAlignment="1">
      <alignment horizontal="left"/>
    </xf>
    <xf numFmtId="0" fontId="44" fillId="30" borderId="0" xfId="0" applyFont="1" applyFill="1"/>
    <xf numFmtId="0" fontId="48" fillId="30" borderId="0" xfId="0" applyFont="1" applyFill="1" applyAlignment="1">
      <alignment horizontal="left"/>
    </xf>
    <xf numFmtId="0" fontId="52" fillId="30" borderId="0" xfId="0" applyFont="1" applyFill="1" applyAlignment="1">
      <alignment horizontal="left"/>
    </xf>
    <xf numFmtId="0" fontId="61" fillId="30" borderId="0" xfId="0" applyFont="1" applyFill="1" applyAlignment="1">
      <alignment horizontal="left"/>
    </xf>
    <xf numFmtId="0" fontId="61" fillId="28" borderId="78" xfId="0" applyFont="1" applyFill="1" applyBorder="1"/>
    <xf numFmtId="0" fontId="61" fillId="28" borderId="79" xfId="0" applyFont="1" applyFill="1" applyBorder="1"/>
    <xf numFmtId="0" fontId="61" fillId="28" borderId="80" xfId="0" applyFont="1" applyFill="1" applyBorder="1"/>
    <xf numFmtId="0" fontId="5" fillId="28" borderId="80" xfId="0" applyFont="1" applyFill="1" applyBorder="1"/>
    <xf numFmtId="0" fontId="34" fillId="5" borderId="9" xfId="0" applyFont="1" applyFill="1" applyBorder="1" applyAlignment="1">
      <alignment vertical="center"/>
    </xf>
    <xf numFmtId="0" fontId="34" fillId="5" borderId="10" xfId="0" applyFont="1" applyFill="1" applyBorder="1" applyAlignment="1">
      <alignment vertical="center"/>
    </xf>
    <xf numFmtId="0" fontId="34" fillId="5" borderId="11" xfId="0" applyFont="1" applyFill="1" applyBorder="1" applyAlignment="1">
      <alignment vertical="center"/>
    </xf>
    <xf numFmtId="0" fontId="35" fillId="9" borderId="12" xfId="0" applyFont="1" applyFill="1" applyBorder="1"/>
    <xf numFmtId="0" fontId="35" fillId="9" borderId="13" xfId="0" applyFont="1" applyFill="1" applyBorder="1"/>
    <xf numFmtId="0" fontId="35" fillId="9" borderId="14" xfId="0" applyFont="1" applyFill="1" applyBorder="1"/>
    <xf numFmtId="0" fontId="36" fillId="4" borderId="15" xfId="0" applyFont="1" applyFill="1" applyBorder="1"/>
    <xf numFmtId="0" fontId="36" fillId="4" borderId="16" xfId="0" applyFont="1" applyFill="1" applyBorder="1"/>
    <xf numFmtId="0" fontId="36" fillId="4" borderId="17" xfId="0" applyFont="1" applyFill="1" applyBorder="1"/>
    <xf numFmtId="41" fontId="67" fillId="2" borderId="0" xfId="2" applyFont="1" applyFill="1" applyBorder="1"/>
    <xf numFmtId="165" fontId="67" fillId="2" borderId="0" xfId="1" applyNumberFormat="1" applyFont="1" applyFill="1" applyBorder="1"/>
    <xf numFmtId="0" fontId="14" fillId="2" borderId="90" xfId="0" applyFont="1" applyFill="1" applyBorder="1"/>
    <xf numFmtId="0" fontId="71" fillId="2" borderId="91" xfId="0" applyFont="1" applyFill="1" applyBorder="1"/>
    <xf numFmtId="0" fontId="72" fillId="14" borderId="92" xfId="0" applyFont="1" applyFill="1" applyBorder="1"/>
    <xf numFmtId="0" fontId="5" fillId="2" borderId="93" xfId="0" applyFont="1" applyFill="1" applyBorder="1"/>
    <xf numFmtId="0" fontId="9" fillId="8" borderId="0" xfId="0" applyFont="1" applyFill="1"/>
    <xf numFmtId="0" fontId="7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0" fillId="33" borderId="0" xfId="0" applyFill="1"/>
    <xf numFmtId="18" fontId="0" fillId="0" borderId="0" xfId="0" applyNumberFormat="1"/>
    <xf numFmtId="0" fontId="74" fillId="0" borderId="0" xfId="0" applyFont="1" applyAlignment="1">
      <alignment horizontal="center" vertical="center"/>
    </xf>
    <xf numFmtId="0" fontId="76" fillId="0" borderId="0" xfId="4"/>
    <xf numFmtId="0" fontId="76" fillId="34" borderId="95" xfId="4" applyFill="1" applyBorder="1" applyAlignment="1">
      <alignment horizontal="center" wrapText="1"/>
    </xf>
    <xf numFmtId="0" fontId="76" fillId="34" borderId="97" xfId="4" applyFill="1" applyBorder="1" applyAlignment="1">
      <alignment horizontal="center" wrapText="1"/>
    </xf>
    <xf numFmtId="166" fontId="76" fillId="34" borderId="97" xfId="4" applyNumberFormat="1" applyFill="1" applyBorder="1" applyAlignment="1">
      <alignment horizontal="center" wrapText="1"/>
    </xf>
    <xf numFmtId="0" fontId="76" fillId="35" borderId="99" xfId="4" applyFill="1" applyBorder="1" applyAlignment="1">
      <alignment wrapText="1"/>
    </xf>
    <xf numFmtId="0" fontId="76" fillId="0" borderId="99" xfId="4" applyBorder="1" applyAlignment="1">
      <alignment wrapText="1"/>
    </xf>
    <xf numFmtId="166" fontId="76" fillId="0" borderId="0" xfId="4" applyNumberFormat="1"/>
    <xf numFmtId="9" fontId="76" fillId="0" borderId="0" xfId="4" applyNumberFormat="1"/>
    <xf numFmtId="0" fontId="76" fillId="36" borderId="102" xfId="4" applyFill="1" applyBorder="1"/>
    <xf numFmtId="14" fontId="76" fillId="0" borderId="102" xfId="4" applyNumberFormat="1" applyBorder="1"/>
    <xf numFmtId="0" fontId="76" fillId="0" borderId="102" xfId="4" applyBorder="1"/>
    <xf numFmtId="0" fontId="4" fillId="0" borderId="0" xfId="5"/>
    <xf numFmtId="0" fontId="4" fillId="37" borderId="103" xfId="5" applyFill="1" applyBorder="1" applyAlignment="1">
      <alignment horizontal="center" wrapText="1"/>
    </xf>
    <xf numFmtId="0" fontId="4" fillId="37" borderId="104" xfId="5" applyFill="1" applyBorder="1" applyAlignment="1">
      <alignment horizontal="center" wrapText="1"/>
    </xf>
    <xf numFmtId="0" fontId="4" fillId="37" borderId="104" xfId="5" applyFill="1" applyBorder="1" applyAlignment="1">
      <alignment horizontal="center"/>
    </xf>
    <xf numFmtId="0" fontId="4" fillId="37" borderId="105" xfId="5" applyFill="1" applyBorder="1" applyAlignment="1">
      <alignment horizontal="center" wrapText="1"/>
    </xf>
    <xf numFmtId="0" fontId="4" fillId="0" borderId="106" xfId="5" applyBorder="1" applyAlignment="1">
      <alignment horizontal="center" wrapText="1"/>
    </xf>
    <xf numFmtId="0" fontId="4" fillId="0" borderId="102" xfId="5" applyBorder="1" applyAlignment="1">
      <alignment horizontal="center" wrapText="1"/>
    </xf>
    <xf numFmtId="0" fontId="4" fillId="38" borderId="102" xfId="5" applyFill="1" applyBorder="1" applyAlignment="1">
      <alignment horizontal="center" wrapText="1"/>
    </xf>
    <xf numFmtId="0" fontId="4" fillId="0" borderId="107" xfId="5" applyBorder="1" applyAlignment="1">
      <alignment horizontal="center" wrapText="1"/>
    </xf>
    <xf numFmtId="167" fontId="4" fillId="0" borderId="102" xfId="5" applyNumberFormat="1" applyBorder="1" applyAlignment="1">
      <alignment horizontal="center" wrapText="1"/>
    </xf>
    <xf numFmtId="167" fontId="4" fillId="0" borderId="107" xfId="5" applyNumberFormat="1" applyBorder="1" applyAlignment="1">
      <alignment horizontal="center" wrapText="1"/>
    </xf>
    <xf numFmtId="0" fontId="4" fillId="0" borderId="108" xfId="5" applyBorder="1" applyAlignment="1">
      <alignment horizontal="center" wrapText="1"/>
    </xf>
    <xf numFmtId="0" fontId="4" fillId="0" borderId="109" xfId="5" applyBorder="1" applyAlignment="1">
      <alignment horizontal="center" wrapText="1"/>
    </xf>
    <xf numFmtId="167" fontId="4" fillId="0" borderId="109" xfId="5" applyNumberFormat="1" applyBorder="1" applyAlignment="1">
      <alignment horizontal="center" wrapText="1"/>
    </xf>
    <xf numFmtId="0" fontId="4" fillId="0" borderId="0" xfId="5" applyAlignment="1">
      <alignment wrapText="1"/>
    </xf>
    <xf numFmtId="0" fontId="75" fillId="38" borderId="110" xfId="0" applyFont="1" applyFill="1" applyBorder="1" applyAlignment="1">
      <alignment horizontal="center"/>
    </xf>
    <xf numFmtId="0" fontId="0" fillId="0" borderId="110" xfId="0" applyBorder="1"/>
    <xf numFmtId="168" fontId="0" fillId="0" borderId="110" xfId="0" applyNumberFormat="1" applyBorder="1"/>
    <xf numFmtId="14" fontId="4" fillId="0" borderId="0" xfId="5" applyNumberFormat="1"/>
    <xf numFmtId="0" fontId="77" fillId="0" borderId="0" xfId="5" applyFont="1"/>
    <xf numFmtId="0" fontId="3" fillId="0" borderId="0" xfId="5" applyFont="1" applyAlignment="1">
      <alignment wrapText="1"/>
    </xf>
    <xf numFmtId="0" fontId="3" fillId="0" borderId="0" xfId="5" applyFont="1"/>
    <xf numFmtId="0" fontId="75" fillId="0" borderId="0" xfId="5" applyFont="1"/>
    <xf numFmtId="0" fontId="78" fillId="0" borderId="110" xfId="0" applyFont="1" applyBorder="1"/>
    <xf numFmtId="0" fontId="79" fillId="0" borderId="0" xfId="5" applyFont="1"/>
    <xf numFmtId="0" fontId="80" fillId="0" borderId="110" xfId="0" applyFont="1" applyBorder="1"/>
    <xf numFmtId="0" fontId="81" fillId="0" borderId="110" xfId="0" applyFont="1" applyBorder="1"/>
    <xf numFmtId="0" fontId="82" fillId="0" borderId="110" xfId="0" applyFont="1" applyBorder="1"/>
    <xf numFmtId="0" fontId="56" fillId="0" borderId="110" xfId="0" applyFont="1" applyBorder="1"/>
    <xf numFmtId="168" fontId="78" fillId="0" borderId="110" xfId="0" applyNumberFormat="1" applyFont="1" applyBorder="1"/>
    <xf numFmtId="0" fontId="2" fillId="0" borderId="0" xfId="5" applyFont="1"/>
    <xf numFmtId="0" fontId="2" fillId="0" borderId="0" xfId="5" applyFont="1" applyAlignment="1">
      <alignment wrapText="1"/>
    </xf>
    <xf numFmtId="0" fontId="44" fillId="8" borderId="24" xfId="0" applyFont="1" applyFill="1" applyBorder="1"/>
    <xf numFmtId="0" fontId="44" fillId="8" borderId="25" xfId="0" applyFont="1" applyFill="1" applyBorder="1"/>
    <xf numFmtId="0" fontId="44" fillId="8" borderId="26" xfId="0" applyFont="1" applyFill="1" applyBorder="1"/>
    <xf numFmtId="0" fontId="48" fillId="15" borderId="45" xfId="0" applyFont="1" applyFill="1" applyBorder="1" applyAlignment="1">
      <alignment horizontal="left"/>
    </xf>
    <xf numFmtId="0" fontId="48" fillId="15" borderId="46" xfId="0" applyFont="1" applyFill="1" applyBorder="1" applyAlignment="1">
      <alignment horizontal="left"/>
    </xf>
    <xf numFmtId="0" fontId="48" fillId="15" borderId="47" xfId="0" applyFont="1" applyFill="1" applyBorder="1" applyAlignment="1">
      <alignment horizontal="left"/>
    </xf>
    <xf numFmtId="0" fontId="37" fillId="21" borderId="60" xfId="0" applyFont="1" applyFill="1" applyBorder="1" applyAlignment="1">
      <alignment horizontal="left"/>
    </xf>
    <xf numFmtId="0" fontId="37" fillId="21" borderId="61" xfId="0" applyFont="1" applyFill="1" applyBorder="1" applyAlignment="1">
      <alignment horizontal="left"/>
    </xf>
    <xf numFmtId="0" fontId="37" fillId="21" borderId="62" xfId="0" applyFont="1" applyFill="1" applyBorder="1" applyAlignment="1">
      <alignment horizontal="left"/>
    </xf>
    <xf numFmtId="0" fontId="63" fillId="22" borderId="63" xfId="0" applyFont="1" applyFill="1" applyBorder="1" applyAlignment="1">
      <alignment horizontal="left"/>
    </xf>
    <xf numFmtId="0" fontId="63" fillId="22" borderId="64" xfId="0" applyFont="1" applyFill="1" applyBorder="1" applyAlignment="1">
      <alignment horizontal="left"/>
    </xf>
    <xf numFmtId="0" fontId="63" fillId="22" borderId="65" xfId="0" applyFont="1" applyFill="1" applyBorder="1" applyAlignment="1">
      <alignment horizontal="left"/>
    </xf>
    <xf numFmtId="0" fontId="43" fillId="3" borderId="18" xfId="0" applyFont="1" applyFill="1" applyBorder="1" applyAlignment="1">
      <alignment horizontal="left"/>
    </xf>
    <xf numFmtId="0" fontId="43" fillId="3" borderId="19" xfId="0" applyFont="1" applyFill="1" applyBorder="1" applyAlignment="1">
      <alignment horizontal="left"/>
    </xf>
    <xf numFmtId="0" fontId="43" fillId="3" borderId="20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0" fontId="37" fillId="13" borderId="18" xfId="0" applyFont="1" applyFill="1" applyBorder="1" applyAlignment="1">
      <alignment horizontal="left"/>
    </xf>
    <xf numFmtId="0" fontId="37" fillId="13" borderId="19" xfId="0" applyFont="1" applyFill="1" applyBorder="1" applyAlignment="1">
      <alignment horizontal="left"/>
    </xf>
    <xf numFmtId="0" fontId="37" fillId="13" borderId="20" xfId="0" applyFont="1" applyFill="1" applyBorder="1" applyAlignment="1">
      <alignment horizontal="left"/>
    </xf>
    <xf numFmtId="0" fontId="42" fillId="7" borderId="4" xfId="0" applyFont="1" applyFill="1" applyBorder="1" applyAlignment="1">
      <alignment horizontal="left"/>
    </xf>
    <xf numFmtId="0" fontId="42" fillId="7" borderId="0" xfId="0" applyFont="1" applyFill="1" applyAlignment="1">
      <alignment horizontal="left"/>
    </xf>
    <xf numFmtId="0" fontId="42" fillId="7" borderId="5" xfId="0" applyFont="1" applyFill="1" applyBorder="1" applyAlignment="1">
      <alignment horizontal="left"/>
    </xf>
    <xf numFmtId="0" fontId="40" fillId="11" borderId="27" xfId="0" applyFont="1" applyFill="1" applyBorder="1" applyAlignment="1">
      <alignment horizontal="left"/>
    </xf>
    <xf numFmtId="0" fontId="40" fillId="11" borderId="28" xfId="0" applyFont="1" applyFill="1" applyBorder="1" applyAlignment="1">
      <alignment horizontal="left"/>
    </xf>
    <xf numFmtId="0" fontId="40" fillId="11" borderId="29" xfId="0" applyFont="1" applyFill="1" applyBorder="1" applyAlignment="1">
      <alignment horizontal="left"/>
    </xf>
    <xf numFmtId="0" fontId="45" fillId="0" borderId="30" xfId="0" applyFont="1" applyBorder="1" applyAlignment="1">
      <alignment horizontal="left"/>
    </xf>
    <xf numFmtId="0" fontId="45" fillId="0" borderId="31" xfId="0" applyFont="1" applyBorder="1" applyAlignment="1">
      <alignment horizontal="left"/>
    </xf>
    <xf numFmtId="0" fontId="45" fillId="0" borderId="32" xfId="0" applyFont="1" applyBorder="1" applyAlignment="1">
      <alignment horizontal="left"/>
    </xf>
    <xf numFmtId="0" fontId="38" fillId="10" borderId="33" xfId="0" applyFont="1" applyFill="1" applyBorder="1" applyAlignment="1">
      <alignment horizontal="left"/>
    </xf>
    <xf numFmtId="0" fontId="38" fillId="10" borderId="34" xfId="0" applyFont="1" applyFill="1" applyBorder="1" applyAlignment="1">
      <alignment horizontal="left"/>
    </xf>
    <xf numFmtId="0" fontId="38" fillId="10" borderId="35" xfId="0" applyFont="1" applyFill="1" applyBorder="1" applyAlignment="1">
      <alignment horizontal="left"/>
    </xf>
    <xf numFmtId="0" fontId="39" fillId="12" borderId="36" xfId="0" applyFont="1" applyFill="1" applyBorder="1" applyAlignment="1">
      <alignment horizontal="left"/>
    </xf>
    <xf numFmtId="0" fontId="39" fillId="12" borderId="37" xfId="0" applyFont="1" applyFill="1" applyBorder="1" applyAlignment="1">
      <alignment horizontal="left"/>
    </xf>
    <xf numFmtId="0" fontId="39" fillId="12" borderId="38" xfId="0" applyFont="1" applyFill="1" applyBorder="1" applyAlignment="1">
      <alignment horizontal="left"/>
    </xf>
    <xf numFmtId="0" fontId="41" fillId="6" borderId="21" xfId="0" applyFont="1" applyFill="1" applyBorder="1" applyAlignment="1">
      <alignment horizontal="left"/>
    </xf>
    <xf numFmtId="0" fontId="41" fillId="6" borderId="22" xfId="0" applyFont="1" applyFill="1" applyBorder="1" applyAlignment="1">
      <alignment horizontal="left"/>
    </xf>
    <xf numFmtId="0" fontId="41" fillId="6" borderId="23" xfId="0" applyFont="1" applyFill="1" applyBorder="1" applyAlignment="1">
      <alignment horizontal="left"/>
    </xf>
    <xf numFmtId="0" fontId="53" fillId="31" borderId="84" xfId="0" applyFont="1" applyFill="1" applyBorder="1" applyAlignment="1">
      <alignment horizontal="left"/>
    </xf>
    <xf numFmtId="0" fontId="53" fillId="31" borderId="85" xfId="0" applyFont="1" applyFill="1" applyBorder="1" applyAlignment="1">
      <alignment horizontal="left"/>
    </xf>
    <xf numFmtId="0" fontId="53" fillId="31" borderId="86" xfId="0" applyFont="1" applyFill="1" applyBorder="1" applyAlignment="1">
      <alignment horizontal="left"/>
    </xf>
    <xf numFmtId="0" fontId="54" fillId="23" borderId="66" xfId="0" applyFont="1" applyFill="1" applyBorder="1" applyAlignment="1">
      <alignment horizontal="left"/>
    </xf>
    <xf numFmtId="0" fontId="54" fillId="23" borderId="67" xfId="0" applyFont="1" applyFill="1" applyBorder="1" applyAlignment="1">
      <alignment horizontal="left"/>
    </xf>
    <xf numFmtId="0" fontId="54" fillId="23" borderId="68" xfId="0" applyFont="1" applyFill="1" applyBorder="1" applyAlignment="1">
      <alignment horizontal="left"/>
    </xf>
    <xf numFmtId="0" fontId="25" fillId="2" borderId="1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55" fillId="24" borderId="60" xfId="0" applyFont="1" applyFill="1" applyBorder="1" applyAlignment="1">
      <alignment horizontal="left"/>
    </xf>
    <xf numFmtId="0" fontId="55" fillId="24" borderId="61" xfId="0" applyFont="1" applyFill="1" applyBorder="1" applyAlignment="1">
      <alignment horizontal="left"/>
    </xf>
    <xf numFmtId="0" fontId="55" fillId="24" borderId="62" xfId="0" applyFont="1" applyFill="1" applyBorder="1" applyAlignment="1">
      <alignment horizontal="left"/>
    </xf>
    <xf numFmtId="0" fontId="30" fillId="2" borderId="0" xfId="0" applyFont="1" applyFill="1" applyAlignment="1">
      <alignment horizontal="right"/>
    </xf>
    <xf numFmtId="0" fontId="46" fillId="13" borderId="39" xfId="0" applyFont="1" applyFill="1" applyBorder="1" applyAlignment="1">
      <alignment horizontal="left"/>
    </xf>
    <xf numFmtId="0" fontId="46" fillId="13" borderId="40" xfId="0" applyFont="1" applyFill="1" applyBorder="1" applyAlignment="1">
      <alignment horizontal="left"/>
    </xf>
    <xf numFmtId="0" fontId="46" fillId="13" borderId="41" xfId="0" applyFont="1" applyFill="1" applyBorder="1" applyAlignment="1">
      <alignment horizontal="left"/>
    </xf>
    <xf numFmtId="0" fontId="47" fillId="14" borderId="42" xfId="0" applyFont="1" applyFill="1" applyBorder="1" applyAlignment="1">
      <alignment horizontal="left"/>
    </xf>
    <xf numFmtId="0" fontId="47" fillId="14" borderId="43" xfId="0" applyFont="1" applyFill="1" applyBorder="1" applyAlignment="1">
      <alignment horizontal="left"/>
    </xf>
    <xf numFmtId="0" fontId="47" fillId="14" borderId="44" xfId="0" applyFont="1" applyFill="1" applyBorder="1" applyAlignment="1">
      <alignment horizontal="left"/>
    </xf>
    <xf numFmtId="0" fontId="57" fillId="25" borderId="69" xfId="0" applyFont="1" applyFill="1" applyBorder="1" applyAlignment="1">
      <alignment horizontal="left"/>
    </xf>
    <xf numFmtId="0" fontId="57" fillId="25" borderId="70" xfId="0" applyFont="1" applyFill="1" applyBorder="1" applyAlignment="1">
      <alignment horizontal="left"/>
    </xf>
    <xf numFmtId="0" fontId="57" fillId="25" borderId="71" xfId="0" applyFont="1" applyFill="1" applyBorder="1" applyAlignment="1">
      <alignment horizontal="left"/>
    </xf>
    <xf numFmtId="0" fontId="40" fillId="29" borderId="81" xfId="0" applyFont="1" applyFill="1" applyBorder="1" applyAlignment="1">
      <alignment horizontal="left"/>
    </xf>
    <xf numFmtId="0" fontId="40" fillId="29" borderId="82" xfId="0" applyFont="1" applyFill="1" applyBorder="1" applyAlignment="1">
      <alignment horizontal="left"/>
    </xf>
    <xf numFmtId="0" fontId="40" fillId="29" borderId="83" xfId="0" applyFont="1" applyFill="1" applyBorder="1" applyAlignment="1">
      <alignment horizontal="left"/>
    </xf>
    <xf numFmtId="0" fontId="58" fillId="26" borderId="72" xfId="0" applyFont="1" applyFill="1" applyBorder="1" applyAlignment="1">
      <alignment horizontal="left"/>
    </xf>
    <xf numFmtId="0" fontId="58" fillId="26" borderId="73" xfId="0" applyFont="1" applyFill="1" applyBorder="1" applyAlignment="1">
      <alignment horizontal="left"/>
    </xf>
    <xf numFmtId="0" fontId="58" fillId="26" borderId="74" xfId="0" applyFont="1" applyFill="1" applyBorder="1" applyAlignment="1">
      <alignment horizontal="left"/>
    </xf>
    <xf numFmtId="0" fontId="44" fillId="16" borderId="48" xfId="0" applyFont="1" applyFill="1" applyBorder="1" applyAlignment="1">
      <alignment horizontal="left"/>
    </xf>
    <xf numFmtId="0" fontId="44" fillId="16" borderId="49" xfId="0" applyFont="1" applyFill="1" applyBorder="1" applyAlignment="1">
      <alignment horizontal="left"/>
    </xf>
    <xf numFmtId="0" fontId="44" fillId="16" borderId="50" xfId="0" applyFont="1" applyFill="1" applyBorder="1" applyAlignment="1">
      <alignment horizontal="left"/>
    </xf>
    <xf numFmtId="0" fontId="42" fillId="17" borderId="87" xfId="0" applyFont="1" applyFill="1" applyBorder="1" applyAlignment="1">
      <alignment horizontal="left"/>
    </xf>
    <xf numFmtId="0" fontId="42" fillId="17" borderId="88" xfId="0" applyFont="1" applyFill="1" applyBorder="1" applyAlignment="1">
      <alignment horizontal="left"/>
    </xf>
    <xf numFmtId="0" fontId="42" fillId="17" borderId="89" xfId="0" applyFont="1" applyFill="1" applyBorder="1" applyAlignment="1">
      <alignment horizontal="left"/>
    </xf>
    <xf numFmtId="0" fontId="49" fillId="18" borderId="51" xfId="0" applyFont="1" applyFill="1" applyBorder="1" applyAlignment="1">
      <alignment horizontal="left"/>
    </xf>
    <xf numFmtId="0" fontId="49" fillId="18" borderId="52" xfId="0" applyFont="1" applyFill="1" applyBorder="1" applyAlignment="1">
      <alignment horizontal="left"/>
    </xf>
    <xf numFmtId="0" fontId="49" fillId="18" borderId="53" xfId="0" applyFont="1" applyFill="1" applyBorder="1" applyAlignment="1">
      <alignment horizontal="left"/>
    </xf>
    <xf numFmtId="0" fontId="62" fillId="19" borderId="54" xfId="0" applyFont="1" applyFill="1" applyBorder="1" applyAlignment="1">
      <alignment horizontal="left"/>
    </xf>
    <xf numFmtId="0" fontId="62" fillId="19" borderId="55" xfId="0" applyFont="1" applyFill="1" applyBorder="1" applyAlignment="1">
      <alignment horizontal="left"/>
    </xf>
    <xf numFmtId="0" fontId="62" fillId="19" borderId="56" xfId="0" applyFont="1" applyFill="1" applyBorder="1" applyAlignment="1">
      <alignment horizontal="left"/>
    </xf>
    <xf numFmtId="0" fontId="51" fillId="20" borderId="57" xfId="0" applyFont="1" applyFill="1" applyBorder="1" applyAlignment="1">
      <alignment horizontal="left"/>
    </xf>
    <xf numFmtId="0" fontId="51" fillId="20" borderId="58" xfId="0" applyFont="1" applyFill="1" applyBorder="1" applyAlignment="1">
      <alignment horizontal="left"/>
    </xf>
    <xf numFmtId="0" fontId="51" fillId="20" borderId="59" xfId="0" applyFont="1" applyFill="1" applyBorder="1" applyAlignment="1">
      <alignment horizontal="left"/>
    </xf>
    <xf numFmtId="0" fontId="60" fillId="27" borderId="75" xfId="0" applyFont="1" applyFill="1" applyBorder="1" applyAlignment="1">
      <alignment horizontal="left"/>
    </xf>
    <xf numFmtId="0" fontId="60" fillId="27" borderId="76" xfId="0" applyFont="1" applyFill="1" applyBorder="1" applyAlignment="1">
      <alignment horizontal="left"/>
    </xf>
    <xf numFmtId="0" fontId="60" fillId="27" borderId="77" xfId="0" applyFont="1" applyFill="1" applyBorder="1" applyAlignment="1">
      <alignment horizontal="left"/>
    </xf>
    <xf numFmtId="0" fontId="76" fillId="0" borderId="0" xfId="4"/>
    <xf numFmtId="0" fontId="76" fillId="0" borderId="0" xfId="4" applyAlignment="1">
      <alignment horizontal="left" vertical="top" wrapText="1"/>
    </xf>
    <xf numFmtId="0" fontId="76" fillId="0" borderId="0" xfId="4" applyAlignment="1">
      <alignment horizontal="left" vertical="top"/>
    </xf>
    <xf numFmtId="0" fontId="76" fillId="0" borderId="95" xfId="4" applyBorder="1" applyAlignment="1">
      <alignment wrapText="1"/>
    </xf>
    <xf numFmtId="0" fontId="76" fillId="0" borderId="96" xfId="4" applyBorder="1" applyAlignment="1">
      <alignment wrapText="1"/>
    </xf>
    <xf numFmtId="0" fontId="76" fillId="0" borderId="97" xfId="4" applyBorder="1" applyAlignment="1">
      <alignment wrapText="1"/>
    </xf>
    <xf numFmtId="0" fontId="76" fillId="0" borderId="95" xfId="4" applyBorder="1" applyAlignment="1">
      <alignment horizontal="center" wrapText="1"/>
    </xf>
    <xf numFmtId="166" fontId="76" fillId="0" borderId="97" xfId="4" applyNumberFormat="1" applyBorder="1" applyAlignment="1">
      <alignment horizontal="center" wrapText="1"/>
    </xf>
    <xf numFmtId="0" fontId="76" fillId="0" borderId="97" xfId="4" applyBorder="1" applyAlignment="1">
      <alignment horizontal="center" wrapText="1"/>
    </xf>
    <xf numFmtId="9" fontId="76" fillId="0" borderId="98" xfId="4" applyNumberFormat="1" applyBorder="1" applyAlignment="1">
      <alignment horizontal="center" vertical="center" wrapText="1"/>
    </xf>
    <xf numFmtId="9" fontId="76" fillId="0" borderId="100" xfId="4" applyNumberFormat="1" applyBorder="1" applyAlignment="1">
      <alignment horizontal="center" vertical="center" wrapText="1"/>
    </xf>
    <xf numFmtId="9" fontId="76" fillId="0" borderId="101" xfId="4" applyNumberFormat="1" applyBorder="1" applyAlignment="1">
      <alignment horizontal="center" vertical="center" wrapText="1"/>
    </xf>
    <xf numFmtId="0" fontId="76" fillId="34" borderId="95" xfId="4" applyFill="1" applyBorder="1" applyAlignment="1">
      <alignment horizontal="center" wrapText="1"/>
    </xf>
    <xf numFmtId="0" fontId="76" fillId="34" borderId="96" xfId="4" applyFill="1" applyBorder="1" applyAlignment="1">
      <alignment horizontal="center" wrapText="1"/>
    </xf>
    <xf numFmtId="0" fontId="76" fillId="34" borderId="97" xfId="4" applyFill="1" applyBorder="1" applyAlignment="1">
      <alignment horizontal="center" wrapText="1"/>
    </xf>
    <xf numFmtId="166" fontId="76" fillId="34" borderId="97" xfId="4" applyNumberFormat="1" applyFill="1" applyBorder="1" applyAlignment="1">
      <alignment horizontal="center" wrapText="1"/>
    </xf>
    <xf numFmtId="166" fontId="76" fillId="0" borderId="98" xfId="4" applyNumberFormat="1" applyBorder="1" applyAlignment="1">
      <alignment horizontal="center" vertical="center" wrapText="1"/>
    </xf>
    <xf numFmtId="166" fontId="76" fillId="0" borderId="100" xfId="4" applyNumberFormat="1" applyBorder="1" applyAlignment="1">
      <alignment horizontal="center" vertical="center" wrapText="1"/>
    </xf>
    <xf numFmtId="166" fontId="76" fillId="0" borderId="101" xfId="4" applyNumberFormat="1" applyBorder="1" applyAlignment="1">
      <alignment horizontal="center" vertical="center" wrapText="1"/>
    </xf>
    <xf numFmtId="0" fontId="1" fillId="0" borderId="0" xfId="5" applyFont="1"/>
  </cellXfs>
  <cellStyles count="6">
    <cellStyle name="Estilo 1" xfId="3" xr:uid="{8BC3128E-9AC8-4E4E-A5C9-3522C6D5C038}"/>
    <cellStyle name="Millares" xfId="1" builtinId="3"/>
    <cellStyle name="Millares [0]" xfId="2" builtinId="6"/>
    <cellStyle name="Normal" xfId="0" builtinId="0"/>
    <cellStyle name="Normal 2" xfId="5" xr:uid="{ED3A012C-8D85-40A6-9E5D-6DABD36D3493}"/>
    <cellStyle name="Normal 3" xfId="4" xr:uid="{3C99B3FA-6142-4713-9930-682838548368}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E293ED"/>
      <color rgb="FF1D02BE"/>
      <color rgb="FF00FFFF"/>
      <color rgb="FF9E0000"/>
      <color rgb="FF257945"/>
      <color rgb="FFA5251B"/>
      <color rgb="FFAB2315"/>
      <color rgb="FFBF2717"/>
      <color rgb="FF25A72B"/>
      <color rgb="FF16B6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568657</xdr:colOff>
      <xdr:row>0</xdr:row>
      <xdr:rowOff>170597</xdr:rowOff>
    </xdr:from>
    <xdr:to>
      <xdr:col>20</xdr:col>
      <xdr:colOff>125104</xdr:colOff>
      <xdr:row>3</xdr:row>
      <xdr:rowOff>147851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36243D9-2800-CDBD-F6F0-C2EC3D89862D}"/>
            </a:ext>
          </a:extLst>
        </xdr:cNvPr>
        <xdr:cNvSpPr txBox="1"/>
      </xdr:nvSpPr>
      <xdr:spPr>
        <a:xfrm>
          <a:off x="12772030" y="170597"/>
          <a:ext cx="4344537" cy="52316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La tabla sirve</a:t>
          </a:r>
          <a:r>
            <a:rPr lang="es-CO" sz="1100" baseline="0"/>
            <a:t> para aplicar el comando. Si usa Chat GPT la idea es usarlo que le permita generar una mayor velocidad en la Herramienta.</a:t>
          </a:r>
          <a:endParaRPr lang="es-CO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98854</xdr:colOff>
      <xdr:row>28</xdr:row>
      <xdr:rowOff>155488</xdr:rowOff>
    </xdr:from>
    <xdr:to>
      <xdr:col>46</xdr:col>
      <xdr:colOff>51486</xdr:colOff>
      <xdr:row>39</xdr:row>
      <xdr:rowOff>123566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177D7B4-6506-9C25-7208-B888D9B5E485}"/>
            </a:ext>
          </a:extLst>
        </xdr:cNvPr>
        <xdr:cNvSpPr txBox="1"/>
      </xdr:nvSpPr>
      <xdr:spPr>
        <a:xfrm>
          <a:off x="8357286" y="5582164"/>
          <a:ext cx="3422822" cy="25012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>
              <a:solidFill>
                <a:schemeClr val="accent5">
                  <a:lumMod val="75000"/>
                </a:schemeClr>
              </a:solidFill>
            </a:rPr>
            <a:t>Reto</a:t>
          </a:r>
          <a:r>
            <a:rPr lang="es-CO" sz="1100" baseline="0">
              <a:solidFill>
                <a:schemeClr val="accent5">
                  <a:lumMod val="75000"/>
                </a:schemeClr>
              </a:solidFill>
            </a:rPr>
            <a:t> 2:</a:t>
          </a:r>
        </a:p>
        <a:p>
          <a:r>
            <a:rPr lang="es-CO" sz="1100" baseline="0">
              <a:solidFill>
                <a:schemeClr val="accent5">
                  <a:lumMod val="75000"/>
                </a:schemeClr>
              </a:solidFill>
            </a:rPr>
            <a:t>Con sus habilidades de buscar, y moverse entre las casillas. Encuentre 5 palabras y transformelas en color, formato y borde como se indica.</a:t>
          </a:r>
        </a:p>
        <a:p>
          <a:endParaRPr lang="es-CO" sz="1100" baseline="0">
            <a:solidFill>
              <a:schemeClr val="accent5">
                <a:lumMod val="75000"/>
              </a:schemeClr>
            </a:solidFill>
          </a:endParaRPr>
        </a:p>
        <a:p>
          <a:r>
            <a:rPr lang="es-CO" sz="1100" baseline="0">
              <a:solidFill>
                <a:schemeClr val="accent5">
                  <a:lumMod val="75000"/>
                </a:schemeClr>
              </a:solidFill>
            </a:rPr>
            <a:t>NOTA: Es muy importante seguir las pistas y evitar encontrarlas directamente en la sopa de letras. </a:t>
          </a:r>
        </a:p>
        <a:p>
          <a:endParaRPr lang="es-CO" sz="1100" baseline="0">
            <a:solidFill>
              <a:schemeClr val="accent5">
                <a:lumMod val="75000"/>
              </a:schemeClr>
            </a:solidFill>
          </a:endParaRPr>
        </a:p>
        <a:p>
          <a:r>
            <a:rPr lang="es-CO" sz="1100" baseline="0">
              <a:solidFill>
                <a:schemeClr val="accent5">
                  <a:lumMod val="75000"/>
                </a:schemeClr>
              </a:solidFill>
            </a:rPr>
            <a:t>Conocimiento de la interfaz.</a:t>
          </a:r>
        </a:p>
        <a:p>
          <a:endParaRPr lang="es-CO" sz="1100" baseline="0">
            <a:solidFill>
              <a:schemeClr val="accent5">
                <a:lumMod val="75000"/>
              </a:schemeClr>
            </a:solidFill>
          </a:endParaRPr>
        </a:p>
        <a:p>
          <a:r>
            <a:rPr lang="es-CO" sz="1100" baseline="0">
              <a:solidFill>
                <a:schemeClr val="accent5">
                  <a:lumMod val="75000"/>
                </a:schemeClr>
              </a:solidFill>
            </a:rPr>
            <a:t>Dato: Dicen que muchas cosas están ocultas, debemos aprender a encontrarlas. </a:t>
          </a:r>
          <a:endParaRPr lang="es-CO" sz="11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1395</xdr:colOff>
      <xdr:row>1</xdr:row>
      <xdr:rowOff>107950</xdr:rowOff>
    </xdr:from>
    <xdr:to>
      <xdr:col>18</xdr:col>
      <xdr:colOff>114300</xdr:colOff>
      <xdr:row>11</xdr:row>
      <xdr:rowOff>153516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F18F7C6-BE9C-4847-833A-AECA71169F27}"/>
            </a:ext>
          </a:extLst>
        </xdr:cNvPr>
        <xdr:cNvSpPr txBox="1"/>
      </xdr:nvSpPr>
      <xdr:spPr>
        <a:xfrm>
          <a:off x="11004675" y="306070"/>
          <a:ext cx="3099945" cy="20267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En la nueva reforma tributaria del</a:t>
          </a:r>
          <a:r>
            <a:rPr lang="es-CO" sz="1100" baseline="0"/>
            <a:t> año en curso, se propuso agregar un impuesto según corresponda que tipo de propiedad es. La inmobiliaria donde Ud está realizando las prácticas tiene la siguiente base de datos.</a:t>
          </a:r>
        </a:p>
        <a:p>
          <a:endParaRPr lang="es-CO" sz="1100" baseline="0"/>
        </a:p>
        <a:p>
          <a:r>
            <a:rPr lang="es-CO" sz="1100" baseline="0"/>
            <a:t>Se requiere aplicar el impuesto de la siguiente forma; Casa 10%; Apartamento 20%; y local comercial el 35%</a:t>
          </a:r>
        </a:p>
        <a:p>
          <a:endParaRPr lang="es-CO" sz="1100" baseline="0"/>
        </a:p>
        <a:p>
          <a:r>
            <a:rPr lang="es-CO" sz="1100" baseline="0"/>
            <a:t>Como Ud en su programa formativo fortaleció la competencia TIC, dé solución a lo requerido. </a:t>
          </a:r>
          <a:r>
            <a:rPr lang="es-CO" sz="1100" u="sng" baseline="0">
              <a:solidFill>
                <a:schemeClr val="bg1"/>
              </a:solidFill>
            </a:rPr>
            <a:t>AX22</a:t>
          </a:r>
        </a:p>
        <a:p>
          <a:endParaRPr lang="es-CO" sz="1100" u="sng" baseline="0">
            <a:solidFill>
              <a:schemeClr val="bg1"/>
            </a:solidFill>
          </a:endParaRPr>
        </a:p>
        <a:p>
          <a:r>
            <a:rPr lang="es-CO" sz="1100" u="sng" baseline="0">
              <a:solidFill>
                <a:schemeClr val="accent6">
                  <a:lumMod val="75000"/>
                </a:schemeClr>
              </a:solidFill>
            </a:rPr>
            <a:t>¿¡Que color le gusta de fondo a UD?</a:t>
          </a:r>
        </a:p>
      </xdr:txBody>
    </xdr:sp>
    <xdr:clientData/>
  </xdr:twoCellAnchor>
  <xdr:twoCellAnchor editAs="oneCell">
    <xdr:from>
      <xdr:col>51</xdr:col>
      <xdr:colOff>412750</xdr:colOff>
      <xdr:row>24</xdr:row>
      <xdr:rowOff>12700</xdr:rowOff>
    </xdr:from>
    <xdr:to>
      <xdr:col>52</xdr:col>
      <xdr:colOff>9581</xdr:colOff>
      <xdr:row>26</xdr:row>
      <xdr:rowOff>25458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0E913F-5CA5-413D-8CAA-490F48779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46150" y="4767580"/>
          <a:ext cx="343591" cy="4089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6350</xdr:colOff>
      <xdr:row>4</xdr:row>
      <xdr:rowOff>12699</xdr:rowOff>
    </xdr:from>
    <xdr:to>
      <xdr:col>22</xdr:col>
      <xdr:colOff>673100</xdr:colOff>
      <xdr:row>18</xdr:row>
      <xdr:rowOff>190500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22B9C62-847A-4C2E-8FB3-10B6A7B84A81}"/>
            </a:ext>
          </a:extLst>
        </xdr:cNvPr>
        <xdr:cNvSpPr txBox="1"/>
      </xdr:nvSpPr>
      <xdr:spPr>
        <a:xfrm>
          <a:off x="14726805" y="809335"/>
          <a:ext cx="2900795" cy="3398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100"/>
            <a:t>RETO 3</a:t>
          </a:r>
        </a:p>
        <a:p>
          <a:endParaRPr lang="es-CO" sz="1100"/>
        </a:p>
        <a:p>
          <a:r>
            <a:rPr lang="es-CO" sz="1100"/>
            <a:t>En la multinacional Fruticas</a:t>
          </a:r>
          <a:r>
            <a:rPr lang="es-CO" sz="1100" baseline="0"/>
            <a:t> S.A ( Donde pagan muy bien), se hizo una convocatoria abierta para seleccionar las 4 mejores fruticas.</a:t>
          </a:r>
        </a:p>
        <a:p>
          <a:endParaRPr lang="es-CO" sz="1100" baseline="0"/>
        </a:p>
        <a:p>
          <a:r>
            <a:rPr lang="es-CO" sz="1100" baseline="0"/>
            <a:t>El seleccionador dispuso a su conocimiento la tabla de los finalistas con sus valores.</a:t>
          </a:r>
        </a:p>
        <a:p>
          <a:endParaRPr lang="es-CO" sz="1100" baseline="0"/>
        </a:p>
        <a:p>
          <a:r>
            <a:rPr lang="es-CO" sz="1100" baseline="0"/>
            <a:t>Le dá la responsabilidad de realizar el proceso e indicar cuales son las fruticas seleccionada para esta convocatoria.</a:t>
          </a:r>
        </a:p>
        <a:p>
          <a:endParaRPr lang="es-CO" sz="1100" baseline="0"/>
        </a:p>
        <a:p>
          <a:r>
            <a:rPr lang="es-CO" sz="1100" baseline="0"/>
            <a:t>Cabe resaltar que si existe algún inconveniente legal quien llevará la responsabilidad contractual es UD. Por tanto, realice con excelencia el proceso y evite alterar la tabla dada.</a:t>
          </a:r>
          <a:endParaRPr lang="es-CO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19243</xdr:colOff>
      <xdr:row>2</xdr:row>
      <xdr:rowOff>364784</xdr:rowOff>
    </xdr:from>
    <xdr:to>
      <xdr:col>19</xdr:col>
      <xdr:colOff>102626</xdr:colOff>
      <xdr:row>19</xdr:row>
      <xdr:rowOff>156148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9E4968C-AED9-46C2-A609-C7F1728096F0}"/>
            </a:ext>
          </a:extLst>
        </xdr:cNvPr>
        <xdr:cNvSpPr txBox="1"/>
      </xdr:nvSpPr>
      <xdr:spPr>
        <a:xfrm>
          <a:off x="11113963" y="547664"/>
          <a:ext cx="4045783" cy="30832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Reto final.</a:t>
          </a:r>
          <a:b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CO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asume que los productos dañados</a:t>
          </a:r>
          <a:r>
            <a:rPr lang="es-CO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defectuosos no se venden.</a:t>
          </a:r>
          <a:endParaRPr lang="es-CO">
            <a:effectLst/>
          </a:endParaRPr>
        </a:p>
        <a:p>
          <a:endParaRPr lang="es-CO" sz="1100"/>
        </a:p>
        <a:p>
          <a:r>
            <a:rPr lang="es-CO" sz="1100"/>
            <a:t>Su</a:t>
          </a:r>
          <a:r>
            <a:rPr lang="es-CO" sz="1100" baseline="0"/>
            <a:t> mejor amigo ha comenzado un emprendimiento el año pasado. El tiene dudas sobre la persona que ejerce control en las finanzas y llevan los diferentes ingresos, egresos  ( gastos) y utilidad del negocio.</a:t>
          </a:r>
        </a:p>
        <a:p>
          <a:endParaRPr lang="es-CO" sz="1100" baseline="0"/>
        </a:p>
        <a:p>
          <a:r>
            <a:rPr lang="es-CO" sz="1100" baseline="0"/>
            <a:t>Él, en una charla por wapp le comenta sobre su valioso programa formativo que actualmente está cursando y le comenta que le evalue los siguientes datos que permita identificar errores en facturación. Le comenta que tiene disponible 200K y la posibilidad que trabaje con él. Su reto es: completar la tabla con el análisis de un Gestor Administrativo, Darle el formato correspondiente a cada columna y entregar completa la información.</a:t>
          </a:r>
        </a:p>
        <a:p>
          <a:r>
            <a:rPr lang="es-CO" sz="1100" baseline="0"/>
            <a:t>200k</a:t>
          </a:r>
        </a:p>
        <a:p>
          <a:endParaRPr lang="es-CO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ergio/OneDrive/Cursos%20CIBERTEC%202016%20Empresas/12%20Excel%20intermedio%20a%20la%20medida%20para%20OIT/123iv%20Examen%20Final%20para%20OIT%20-%20APELLIDOS%20Y%20NOMBRES.xlsm" TargetMode="External"/><Relationship Id="rId1" Type="http://schemas.openxmlformats.org/officeDocument/2006/relationships/externalLinkPath" Target="/Users/Sergio/OneDrive/Cursos%20CIBERTEC%202016%20Empresas/12%20Excel%20intermedio%20a%20la%20medida%20para%20OIT/123iv%20Examen%20Final%20para%20OIT%20-%20APELLIDOS%20Y%20NOMB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ción"/>
      <sheetName val="Preguntas 1 y 2"/>
      <sheetName val="Preguntas 3 y 4"/>
      <sheetName val="Preguntas 5 y 6"/>
      <sheetName val="Pregunta 7"/>
      <sheetName val="Pregunta 8"/>
      <sheetName val="Pregunta 9"/>
      <sheetName val="Pregunta 10"/>
      <sheetName val="Pregunta 11"/>
      <sheetName val="Pregunta 12"/>
      <sheetName val="Granj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A1" t="str">
            <v>N° Producto</v>
          </cell>
          <cell r="B1" t="str">
            <v>Descripción</v>
          </cell>
          <cell r="C1" t="str">
            <v>Rubro</v>
          </cell>
          <cell r="D1" t="str">
            <v>U/medida</v>
          </cell>
          <cell r="E1" t="str">
            <v>Granja</v>
          </cell>
          <cell r="F1" t="str">
            <v>Precio</v>
          </cell>
        </row>
        <row r="2">
          <cell r="A2">
            <v>1</v>
          </cell>
          <cell r="B2" t="str">
            <v>Manzana</v>
          </cell>
          <cell r="C2" t="str">
            <v>frutas</v>
          </cell>
          <cell r="D2" t="str">
            <v>kilo</v>
          </cell>
          <cell r="E2" t="str">
            <v>Luciana</v>
          </cell>
          <cell r="F2">
            <v>0.8</v>
          </cell>
        </row>
        <row r="3">
          <cell r="A3">
            <v>2</v>
          </cell>
          <cell r="B3" t="str">
            <v>Plátano</v>
          </cell>
          <cell r="C3" t="str">
            <v>frutas</v>
          </cell>
          <cell r="D3" t="str">
            <v>kilo</v>
          </cell>
          <cell r="E3" t="str">
            <v>La garota</v>
          </cell>
          <cell r="F3">
            <v>0.5</v>
          </cell>
        </row>
        <row r="4">
          <cell r="A4">
            <v>3</v>
          </cell>
          <cell r="B4" t="str">
            <v>Maíz</v>
          </cell>
          <cell r="C4" t="str">
            <v>semillas</v>
          </cell>
          <cell r="D4" t="str">
            <v>kilo</v>
          </cell>
          <cell r="E4" t="str">
            <v>El canuto</v>
          </cell>
          <cell r="F4">
            <v>0.6</v>
          </cell>
        </row>
        <row r="5">
          <cell r="A5">
            <v>4</v>
          </cell>
          <cell r="B5" t="str">
            <v>Pera</v>
          </cell>
          <cell r="C5" t="str">
            <v>frutas</v>
          </cell>
          <cell r="D5" t="str">
            <v>kilo</v>
          </cell>
          <cell r="E5" t="str">
            <v>Litoral</v>
          </cell>
          <cell r="F5">
            <v>2.2999999999999998</v>
          </cell>
        </row>
        <row r="6">
          <cell r="A6">
            <v>5</v>
          </cell>
          <cell r="B6" t="str">
            <v>Papa</v>
          </cell>
          <cell r="C6" t="str">
            <v>verduras</v>
          </cell>
          <cell r="D6" t="str">
            <v>kilo</v>
          </cell>
          <cell r="E6" t="str">
            <v>El ceibal</v>
          </cell>
          <cell r="F6">
            <v>0.8</v>
          </cell>
        </row>
        <row r="7">
          <cell r="A7">
            <v>6</v>
          </cell>
          <cell r="B7" t="str">
            <v>Camote</v>
          </cell>
          <cell r="C7" t="str">
            <v>verduras</v>
          </cell>
          <cell r="D7" t="str">
            <v>kilo</v>
          </cell>
          <cell r="E7" t="str">
            <v>El ceibal</v>
          </cell>
          <cell r="F7">
            <v>0.5</v>
          </cell>
        </row>
        <row r="8">
          <cell r="A8">
            <v>7</v>
          </cell>
          <cell r="B8" t="str">
            <v>Zapallo</v>
          </cell>
          <cell r="C8" t="str">
            <v>verduras</v>
          </cell>
          <cell r="D8" t="str">
            <v>kilo</v>
          </cell>
          <cell r="E8" t="str">
            <v>El ceibal</v>
          </cell>
          <cell r="F8">
            <v>0.6</v>
          </cell>
        </row>
        <row r="9">
          <cell r="A9">
            <v>8</v>
          </cell>
          <cell r="B9" t="str">
            <v>Cebolla</v>
          </cell>
          <cell r="C9" t="str">
            <v>verduras</v>
          </cell>
          <cell r="D9" t="str">
            <v>kilo</v>
          </cell>
          <cell r="E9" t="str">
            <v>Luciana</v>
          </cell>
          <cell r="F9">
            <v>2</v>
          </cell>
        </row>
        <row r="10">
          <cell r="A10">
            <v>9</v>
          </cell>
          <cell r="B10" t="str">
            <v>Lechuga</v>
          </cell>
          <cell r="C10" t="str">
            <v>verduras</v>
          </cell>
          <cell r="D10" t="str">
            <v>unidad</v>
          </cell>
          <cell r="E10" t="str">
            <v>El canuto</v>
          </cell>
          <cell r="F10">
            <v>1</v>
          </cell>
        </row>
        <row r="11">
          <cell r="A11">
            <v>10</v>
          </cell>
          <cell r="B11" t="str">
            <v>Pimiento</v>
          </cell>
          <cell r="C11" t="str">
            <v>verduras</v>
          </cell>
          <cell r="D11" t="str">
            <v>kilo</v>
          </cell>
          <cell r="E11" t="str">
            <v>Primavera</v>
          </cell>
          <cell r="F11">
            <v>1.1000000000000001</v>
          </cell>
        </row>
        <row r="12">
          <cell r="A12">
            <v>11</v>
          </cell>
          <cell r="B12" t="str">
            <v>Fresa</v>
          </cell>
          <cell r="C12" t="str">
            <v>frutas</v>
          </cell>
          <cell r="D12" t="str">
            <v>kilo</v>
          </cell>
          <cell r="E12" t="str">
            <v>Luciana</v>
          </cell>
          <cell r="F12">
            <v>3.1</v>
          </cell>
        </row>
        <row r="13">
          <cell r="A13">
            <v>12</v>
          </cell>
          <cell r="B13" t="str">
            <v>Girasol</v>
          </cell>
          <cell r="C13" t="str">
            <v>semillas</v>
          </cell>
          <cell r="D13" t="str">
            <v>kilo</v>
          </cell>
          <cell r="E13" t="str">
            <v>La garota</v>
          </cell>
          <cell r="F13">
            <v>2.2999999999999998</v>
          </cell>
        </row>
        <row r="14">
          <cell r="A14">
            <v>13</v>
          </cell>
          <cell r="B14" t="str">
            <v>Maní</v>
          </cell>
          <cell r="C14" t="str">
            <v>semillas</v>
          </cell>
          <cell r="D14" t="str">
            <v>kilo</v>
          </cell>
          <cell r="E14" t="str">
            <v>La garota</v>
          </cell>
          <cell r="F14">
            <v>2</v>
          </cell>
        </row>
        <row r="15">
          <cell r="A15">
            <v>14</v>
          </cell>
          <cell r="B15" t="str">
            <v>Durazno</v>
          </cell>
          <cell r="C15" t="str">
            <v>frutas</v>
          </cell>
          <cell r="D15" t="str">
            <v>kilo</v>
          </cell>
          <cell r="E15" t="str">
            <v>Luciana</v>
          </cell>
          <cell r="F15">
            <v>3.5</v>
          </cell>
        </row>
        <row r="16">
          <cell r="A16">
            <v>15</v>
          </cell>
          <cell r="B16" t="str">
            <v>Alpiste</v>
          </cell>
          <cell r="C16" t="str">
            <v>semillas</v>
          </cell>
          <cell r="D16" t="str">
            <v>kilo</v>
          </cell>
          <cell r="E16" t="str">
            <v>La siembra</v>
          </cell>
          <cell r="F16">
            <v>0.9</v>
          </cell>
        </row>
        <row r="17">
          <cell r="A17">
            <v>16</v>
          </cell>
          <cell r="B17" t="str">
            <v>Acelga</v>
          </cell>
          <cell r="C17" t="str">
            <v>verduras</v>
          </cell>
          <cell r="D17" t="str">
            <v>atado</v>
          </cell>
          <cell r="E17" t="str">
            <v>El ceibal</v>
          </cell>
          <cell r="F17">
            <v>0.6</v>
          </cell>
        </row>
        <row r="18">
          <cell r="A18">
            <v>17</v>
          </cell>
          <cell r="B18" t="str">
            <v>Zanahoria</v>
          </cell>
          <cell r="C18" t="str">
            <v>verduras</v>
          </cell>
          <cell r="D18" t="str">
            <v>kilo</v>
          </cell>
          <cell r="E18" t="str">
            <v>El ceibal</v>
          </cell>
          <cell r="F18">
            <v>1</v>
          </cell>
        </row>
        <row r="19">
          <cell r="A19">
            <v>18</v>
          </cell>
          <cell r="B19" t="str">
            <v>Espinaca</v>
          </cell>
          <cell r="C19" t="str">
            <v>verduras</v>
          </cell>
          <cell r="D19" t="str">
            <v>atado</v>
          </cell>
          <cell r="E19" t="str">
            <v>El ceibal</v>
          </cell>
          <cell r="F19">
            <v>0.9</v>
          </cell>
        </row>
        <row r="20">
          <cell r="A20">
            <v>19</v>
          </cell>
          <cell r="B20" t="str">
            <v>Naranja</v>
          </cell>
          <cell r="C20" t="str">
            <v>frutas</v>
          </cell>
          <cell r="D20" t="str">
            <v>kilo</v>
          </cell>
          <cell r="E20" t="str">
            <v>Litoral</v>
          </cell>
          <cell r="F20">
            <v>0.5</v>
          </cell>
        </row>
        <row r="21">
          <cell r="A21">
            <v>20</v>
          </cell>
          <cell r="B21" t="str">
            <v>Ajo</v>
          </cell>
          <cell r="C21" t="str">
            <v>verduras</v>
          </cell>
          <cell r="D21" t="str">
            <v>unidad</v>
          </cell>
          <cell r="E21" t="str">
            <v>Luciana</v>
          </cell>
          <cell r="F21">
            <v>2.4</v>
          </cell>
        </row>
        <row r="22">
          <cell r="A22">
            <v>21</v>
          </cell>
          <cell r="B22" t="str">
            <v>Tomate</v>
          </cell>
          <cell r="C22" t="str">
            <v>verduras</v>
          </cell>
          <cell r="D22" t="str">
            <v>kilo</v>
          </cell>
          <cell r="E22" t="str">
            <v>Primavera</v>
          </cell>
          <cell r="F22">
            <v>1.1000000000000001</v>
          </cell>
        </row>
        <row r="23">
          <cell r="A23">
            <v>22</v>
          </cell>
          <cell r="B23" t="str">
            <v>Zapallito</v>
          </cell>
          <cell r="C23" t="str">
            <v>verduras</v>
          </cell>
          <cell r="D23" t="str">
            <v>kilo</v>
          </cell>
          <cell r="E23" t="str">
            <v>La garota</v>
          </cell>
          <cell r="F23">
            <v>0.6</v>
          </cell>
        </row>
        <row r="24">
          <cell r="A24">
            <v>23</v>
          </cell>
          <cell r="B24" t="str">
            <v>Avena</v>
          </cell>
          <cell r="C24" t="str">
            <v>semillas</v>
          </cell>
          <cell r="D24" t="str">
            <v>kilo</v>
          </cell>
          <cell r="E24" t="str">
            <v>Luciana</v>
          </cell>
          <cell r="F24">
            <v>1</v>
          </cell>
        </row>
        <row r="25">
          <cell r="A25">
            <v>24</v>
          </cell>
          <cell r="B25" t="str">
            <v>Soya</v>
          </cell>
          <cell r="C25" t="str">
            <v>semillas</v>
          </cell>
          <cell r="D25" t="str">
            <v>kilo</v>
          </cell>
          <cell r="E25" t="str">
            <v>El canuto</v>
          </cell>
          <cell r="F25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7A605-E918-4221-8CCF-75549DBA830D}" name="TablaComandos" displayName="TablaComandos" ref="A1:D43">
  <autoFilter ref="A1:D43" xr:uid="{00000000-0009-0000-0100-000001000000}"/>
  <tableColumns count="4">
    <tableColumn id="1" xr3:uid="{A9B831AC-707E-41F3-B093-61FE1AE5DE72}" name="Comando"/>
    <tableColumn id="2" xr3:uid="{FF7502E8-BAE7-438A-A968-B321092C65B8}" name="Descripción" dataDxfId="0"/>
    <tableColumn id="3" xr3:uid="{50122E5B-9D77-442A-8723-7D3F7F9B1EC8}" name="¿Lo conocías?"/>
    <tableColumn id="4" xr3:uid="{35A24AE8-54CE-4C40-9AEA-8FD3E3BB30C2}" name="¿Lo usaste hoy?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3883-571C-4ED6-A30A-2AA034315E47}">
  <dimension ref="A1:W56"/>
  <sheetViews>
    <sheetView tabSelected="1" topLeftCell="A4" zoomScale="74" workbookViewId="0">
      <selection activeCell="J29" sqref="J29"/>
    </sheetView>
  </sheetViews>
  <sheetFormatPr baseColWidth="10" defaultColWidth="8.77734375" defaultRowHeight="14.4" x14ac:dyDescent="0.3"/>
  <cols>
    <col min="1" max="1" width="27" style="109" customWidth="1"/>
    <col min="2" max="2" width="48.6640625" style="109" customWidth="1"/>
    <col min="3" max="3" width="15" style="109" customWidth="1"/>
    <col min="4" max="4" width="17" style="109" customWidth="1"/>
    <col min="5" max="17" width="8.77734375" style="109"/>
    <col min="18" max="18" width="10.44140625" style="109" bestFit="1" customWidth="1"/>
    <col min="19" max="19" width="10.5546875" style="109" bestFit="1" customWidth="1"/>
    <col min="20" max="20" width="8.33203125" style="109" customWidth="1"/>
    <col min="21" max="22" width="8.77734375" style="109"/>
    <col min="23" max="23" width="10.77734375" style="109" bestFit="1" customWidth="1"/>
    <col min="24" max="16384" width="8.77734375" style="109"/>
  </cols>
  <sheetData>
    <row r="1" spans="1:23" x14ac:dyDescent="0.3">
      <c r="A1" s="109" t="s">
        <v>157</v>
      </c>
      <c r="B1" s="109" t="s">
        <v>158</v>
      </c>
      <c r="C1" s="109" t="s">
        <v>159</v>
      </c>
      <c r="D1" s="109" t="s">
        <v>160</v>
      </c>
    </row>
    <row r="2" spans="1:23" x14ac:dyDescent="0.3">
      <c r="A2" s="109" t="s">
        <v>161</v>
      </c>
      <c r="B2" s="129" t="s">
        <v>281</v>
      </c>
      <c r="C2" s="130" t="s">
        <v>285</v>
      </c>
    </row>
    <row r="3" spans="1:23" x14ac:dyDescent="0.3">
      <c r="A3" s="109" t="s">
        <v>162</v>
      </c>
      <c r="B3" s="129" t="s">
        <v>282</v>
      </c>
      <c r="C3" s="130" t="s">
        <v>285</v>
      </c>
    </row>
    <row r="4" spans="1:23" x14ac:dyDescent="0.3">
      <c r="A4" s="109" t="s">
        <v>163</v>
      </c>
      <c r="B4" s="129" t="s">
        <v>283</v>
      </c>
      <c r="C4" s="130" t="s">
        <v>285</v>
      </c>
    </row>
    <row r="5" spans="1:23" ht="15" thickBot="1" x14ac:dyDescent="0.35">
      <c r="A5" s="109" t="s">
        <v>164</v>
      </c>
      <c r="B5" s="129" t="s">
        <v>284</v>
      </c>
      <c r="C5" s="130" t="s">
        <v>285</v>
      </c>
    </row>
    <row r="6" spans="1:23" ht="15.6" thickTop="1" thickBot="1" x14ac:dyDescent="0.35">
      <c r="A6" s="109" t="s">
        <v>165</v>
      </c>
      <c r="B6" s="123"/>
      <c r="C6" s="130" t="s">
        <v>291</v>
      </c>
      <c r="N6" s="124" t="s">
        <v>200</v>
      </c>
      <c r="O6" s="124" t="s">
        <v>201</v>
      </c>
      <c r="P6" s="124" t="s">
        <v>202</v>
      </c>
      <c r="Q6" s="124" t="s">
        <v>203</v>
      </c>
      <c r="R6" s="124" t="s">
        <v>204</v>
      </c>
      <c r="S6" s="124" t="s">
        <v>205</v>
      </c>
      <c r="T6" s="124" t="s">
        <v>206</v>
      </c>
    </row>
    <row r="7" spans="1:23" ht="15.6" thickTop="1" thickBot="1" x14ac:dyDescent="0.35">
      <c r="A7" s="109" t="s">
        <v>166</v>
      </c>
      <c r="B7" s="129" t="s">
        <v>286</v>
      </c>
      <c r="C7" s="130" t="s">
        <v>291</v>
      </c>
      <c r="N7" s="132" t="s">
        <v>207</v>
      </c>
      <c r="O7" s="125" t="s">
        <v>208</v>
      </c>
      <c r="P7" s="125" t="s">
        <v>209</v>
      </c>
      <c r="Q7" s="125" t="s">
        <v>210</v>
      </c>
      <c r="R7" s="126">
        <v>4334</v>
      </c>
      <c r="S7" s="126">
        <f>18%*R7</f>
        <v>780.12</v>
      </c>
      <c r="T7" s="126">
        <f>R7-S7</f>
        <v>3553.88</v>
      </c>
    </row>
    <row r="8" spans="1:23" ht="15.6" thickTop="1" thickBot="1" x14ac:dyDescent="0.35">
      <c r="A8" s="109" t="s">
        <v>167</v>
      </c>
      <c r="B8" s="129" t="s">
        <v>287</v>
      </c>
      <c r="C8" s="130" t="s">
        <v>291</v>
      </c>
      <c r="N8" s="132" t="s">
        <v>211</v>
      </c>
      <c r="O8" s="125" t="s">
        <v>212</v>
      </c>
      <c r="P8" s="125" t="s">
        <v>293</v>
      </c>
      <c r="Q8" s="125" t="s">
        <v>213</v>
      </c>
      <c r="R8" s="126">
        <v>5111</v>
      </c>
      <c r="S8" s="126">
        <f t="shared" ref="S8:S36" si="0">18%*R8</f>
        <v>919.98</v>
      </c>
      <c r="T8" s="126">
        <f t="shared" ref="T8:T36" si="1">R8-S8</f>
        <v>4191.0200000000004</v>
      </c>
    </row>
    <row r="9" spans="1:23" ht="15.6" thickTop="1" thickBot="1" x14ac:dyDescent="0.35">
      <c r="A9" s="109" t="s">
        <v>168</v>
      </c>
      <c r="B9" s="129" t="s">
        <v>288</v>
      </c>
      <c r="C9" s="130" t="s">
        <v>291</v>
      </c>
      <c r="L9" s="131"/>
      <c r="N9" s="132" t="s">
        <v>214</v>
      </c>
      <c r="O9" s="125"/>
      <c r="P9" s="125" t="s">
        <v>293</v>
      </c>
      <c r="Q9" s="132" t="s">
        <v>213</v>
      </c>
      <c r="R9" s="138">
        <v>6530</v>
      </c>
      <c r="S9" s="126"/>
      <c r="T9" s="126">
        <f t="shared" si="1"/>
        <v>6530</v>
      </c>
    </row>
    <row r="10" spans="1:23" ht="15.6" thickTop="1" thickBot="1" x14ac:dyDescent="0.35">
      <c r="A10" s="109" t="s">
        <v>169</v>
      </c>
      <c r="B10" s="129" t="s">
        <v>290</v>
      </c>
      <c r="C10" s="130" t="s">
        <v>285</v>
      </c>
      <c r="G10" s="131"/>
      <c r="H10" s="133"/>
      <c r="I10" s="109">
        <v>1000</v>
      </c>
      <c r="N10" s="135" t="s">
        <v>214</v>
      </c>
      <c r="O10" s="134" t="s">
        <v>215</v>
      </c>
      <c r="P10" s="137" t="s">
        <v>289</v>
      </c>
      <c r="Q10" s="132" t="s">
        <v>216</v>
      </c>
      <c r="R10" s="138">
        <v>3814</v>
      </c>
      <c r="S10" s="126"/>
      <c r="T10" s="126">
        <f t="shared" si="1"/>
        <v>3814</v>
      </c>
    </row>
    <row r="11" spans="1:23" ht="15.6" thickTop="1" thickBot="1" x14ac:dyDescent="0.35">
      <c r="A11" s="109" t="s">
        <v>170</v>
      </c>
      <c r="B11" s="140" t="s">
        <v>294</v>
      </c>
      <c r="C11" s="139" t="s">
        <v>285</v>
      </c>
      <c r="I11" s="139" t="s">
        <v>292</v>
      </c>
      <c r="J11" s="131"/>
      <c r="N11" s="136" t="s">
        <v>214</v>
      </c>
      <c r="O11" s="125" t="s">
        <v>215</v>
      </c>
      <c r="P11" s="125" t="s">
        <v>217</v>
      </c>
      <c r="Q11" s="132" t="s">
        <v>218</v>
      </c>
      <c r="R11" s="138">
        <v>6324</v>
      </c>
      <c r="S11" s="126">
        <f t="shared" si="0"/>
        <v>1138.32</v>
      </c>
      <c r="T11" s="126">
        <f t="shared" si="1"/>
        <v>5185.68</v>
      </c>
    </row>
    <row r="12" spans="1:23" ht="15.6" thickTop="1" thickBot="1" x14ac:dyDescent="0.35">
      <c r="A12" s="109" t="s">
        <v>171</v>
      </c>
      <c r="B12" s="140" t="s">
        <v>295</v>
      </c>
      <c r="C12" s="139" t="s">
        <v>285</v>
      </c>
      <c r="G12" s="128"/>
      <c r="I12" s="109">
        <v>1.1000000000000001</v>
      </c>
      <c r="J12" s="139"/>
      <c r="N12" s="136" t="s">
        <v>214</v>
      </c>
      <c r="O12" s="125" t="s">
        <v>215</v>
      </c>
      <c r="P12" s="132" t="s">
        <v>219</v>
      </c>
      <c r="Q12" s="132" t="s">
        <v>210</v>
      </c>
      <c r="R12" s="138">
        <v>8632</v>
      </c>
      <c r="S12" s="126">
        <f t="shared" si="0"/>
        <v>1553.76</v>
      </c>
      <c r="T12" s="126">
        <f t="shared" si="1"/>
        <v>7078.24</v>
      </c>
    </row>
    <row r="13" spans="1:23" ht="15.6" thickTop="1" thickBot="1" x14ac:dyDescent="0.35">
      <c r="A13" s="109" t="s">
        <v>172</v>
      </c>
      <c r="B13" s="140" t="s">
        <v>296</v>
      </c>
      <c r="C13" s="130" t="s">
        <v>291</v>
      </c>
      <c r="I13" s="109">
        <v>1</v>
      </c>
      <c r="J13" s="131"/>
      <c r="N13" s="125" t="s">
        <v>220</v>
      </c>
      <c r="O13" s="125" t="s">
        <v>215</v>
      </c>
      <c r="P13" s="125" t="s">
        <v>221</v>
      </c>
      <c r="Q13" s="132" t="s">
        <v>213</v>
      </c>
      <c r="R13" s="126">
        <v>3587</v>
      </c>
      <c r="S13" s="126">
        <f t="shared" si="0"/>
        <v>645.66</v>
      </c>
      <c r="T13" s="126">
        <f t="shared" si="1"/>
        <v>2941.34</v>
      </c>
      <c r="W13" s="127"/>
    </row>
    <row r="14" spans="1:23" ht="15.6" thickTop="1" thickBot="1" x14ac:dyDescent="0.35">
      <c r="A14" s="109" t="s">
        <v>279</v>
      </c>
      <c r="B14" s="140" t="s">
        <v>297</v>
      </c>
      <c r="C14" s="139" t="s">
        <v>285</v>
      </c>
      <c r="J14" s="131"/>
      <c r="N14" s="132" t="s">
        <v>222</v>
      </c>
      <c r="O14" s="125" t="s">
        <v>223</v>
      </c>
      <c r="P14" s="125" t="s">
        <v>224</v>
      </c>
      <c r="Q14" s="132" t="s">
        <v>218</v>
      </c>
      <c r="R14" s="126"/>
      <c r="S14" s="126">
        <f t="shared" si="0"/>
        <v>0</v>
      </c>
      <c r="T14" s="126">
        <f t="shared" si="1"/>
        <v>0</v>
      </c>
    </row>
    <row r="15" spans="1:23" ht="15.6" thickTop="1" thickBot="1" x14ac:dyDescent="0.35">
      <c r="A15" s="109" t="s">
        <v>173</v>
      </c>
      <c r="B15" s="140" t="s">
        <v>298</v>
      </c>
      <c r="C15" s="130" t="s">
        <v>291</v>
      </c>
      <c r="J15" s="131"/>
      <c r="N15" s="132" t="s">
        <v>225</v>
      </c>
      <c r="O15" s="125"/>
      <c r="P15" s="125" t="s">
        <v>226</v>
      </c>
      <c r="Q15" s="132" t="s">
        <v>213</v>
      </c>
      <c r="R15" s="126">
        <v>8152</v>
      </c>
      <c r="S15" s="126">
        <f t="shared" si="0"/>
        <v>1467.36</v>
      </c>
      <c r="T15" s="126">
        <f t="shared" si="1"/>
        <v>6684.64</v>
      </c>
    </row>
    <row r="16" spans="1:23" ht="15.6" thickTop="1" thickBot="1" x14ac:dyDescent="0.35">
      <c r="A16" s="109" t="s">
        <v>280</v>
      </c>
      <c r="B16" s="140" t="s">
        <v>299</v>
      </c>
      <c r="C16" s="139" t="s">
        <v>285</v>
      </c>
      <c r="H16" s="131"/>
      <c r="N16" s="132" t="s">
        <v>225</v>
      </c>
      <c r="O16" s="125" t="s">
        <v>227</v>
      </c>
      <c r="P16" s="125" t="s">
        <v>228</v>
      </c>
      <c r="Q16" s="125" t="s">
        <v>216</v>
      </c>
      <c r="R16" s="126">
        <v>5885</v>
      </c>
      <c r="S16" s="126">
        <f t="shared" si="0"/>
        <v>1059.3</v>
      </c>
      <c r="T16" s="126">
        <f t="shared" si="1"/>
        <v>4825.7</v>
      </c>
    </row>
    <row r="17" spans="1:20" ht="15.6" thickTop="1" thickBot="1" x14ac:dyDescent="0.35">
      <c r="A17" s="109" t="s">
        <v>174</v>
      </c>
      <c r="B17" s="140" t="s">
        <v>300</v>
      </c>
      <c r="C17" s="139" t="s">
        <v>291</v>
      </c>
      <c r="L17" s="131"/>
      <c r="N17" s="125" t="s">
        <v>225</v>
      </c>
      <c r="O17" s="125" t="s">
        <v>229</v>
      </c>
      <c r="P17" s="125" t="s">
        <v>230</v>
      </c>
      <c r="Q17" s="125" t="s">
        <v>218</v>
      </c>
      <c r="R17" s="126">
        <v>3501</v>
      </c>
      <c r="S17" s="138">
        <f t="shared" si="0"/>
        <v>630.17999999999995</v>
      </c>
      <c r="T17" s="126">
        <f t="shared" si="1"/>
        <v>2870.82</v>
      </c>
    </row>
    <row r="18" spans="1:20" ht="15.6" thickTop="1" thickBot="1" x14ac:dyDescent="0.35">
      <c r="A18" s="109" t="s">
        <v>175</v>
      </c>
      <c r="B18" s="140" t="s">
        <v>301</v>
      </c>
      <c r="C18" s="139" t="s">
        <v>285</v>
      </c>
      <c r="I18" s="109">
        <v>21334</v>
      </c>
      <c r="N18" s="125" t="s">
        <v>231</v>
      </c>
      <c r="O18" s="125" t="s">
        <v>229</v>
      </c>
      <c r="P18" s="125" t="s">
        <v>232</v>
      </c>
      <c r="Q18" s="125" t="s">
        <v>210</v>
      </c>
      <c r="R18" s="126">
        <v>6370</v>
      </c>
      <c r="S18" s="138">
        <f t="shared" si="0"/>
        <v>1146.5999999999999</v>
      </c>
      <c r="T18" s="126">
        <f t="shared" si="1"/>
        <v>5223.3999999999996</v>
      </c>
    </row>
    <row r="19" spans="1:20" ht="15.6" thickTop="1" thickBot="1" x14ac:dyDescent="0.35">
      <c r="A19" s="109" t="s">
        <v>176</v>
      </c>
      <c r="B19" s="140" t="s">
        <v>302</v>
      </c>
      <c r="C19" s="139" t="s">
        <v>291</v>
      </c>
      <c r="N19" s="132" t="s">
        <v>233</v>
      </c>
      <c r="O19" s="125" t="s">
        <v>229</v>
      </c>
      <c r="P19" s="125" t="s">
        <v>234</v>
      </c>
      <c r="Q19" s="125" t="s">
        <v>218</v>
      </c>
      <c r="R19" s="126">
        <v>6673</v>
      </c>
      <c r="S19" s="138">
        <f t="shared" si="0"/>
        <v>1201.1399999999999</v>
      </c>
      <c r="T19" s="126">
        <f t="shared" si="1"/>
        <v>5471.8600000000006</v>
      </c>
    </row>
    <row r="20" spans="1:20" ht="15.6" thickTop="1" thickBot="1" x14ac:dyDescent="0.35">
      <c r="A20" s="109" t="s">
        <v>177</v>
      </c>
      <c r="B20" s="140" t="s">
        <v>303</v>
      </c>
      <c r="C20" s="139" t="s">
        <v>291</v>
      </c>
      <c r="N20" s="125" t="s">
        <v>235</v>
      </c>
      <c r="O20" s="125" t="s">
        <v>229</v>
      </c>
      <c r="P20" s="125" t="s">
        <v>236</v>
      </c>
      <c r="Q20" s="132" t="s">
        <v>218</v>
      </c>
      <c r="R20" s="126">
        <v>6727</v>
      </c>
      <c r="S20" s="138">
        <f t="shared" si="0"/>
        <v>1210.8599999999999</v>
      </c>
      <c r="T20" s="126">
        <f t="shared" si="1"/>
        <v>5516.14</v>
      </c>
    </row>
    <row r="21" spans="1:20" ht="15.6" thickTop="1" thickBot="1" x14ac:dyDescent="0.35">
      <c r="A21" s="109" t="s">
        <v>178</v>
      </c>
      <c r="B21" s="140" t="s">
        <v>304</v>
      </c>
      <c r="C21" s="139" t="s">
        <v>291</v>
      </c>
      <c r="N21" s="132" t="s">
        <v>237</v>
      </c>
      <c r="O21" s="125" t="s">
        <v>238</v>
      </c>
      <c r="P21" s="125" t="s">
        <v>239</v>
      </c>
      <c r="Q21" s="132" t="s">
        <v>213</v>
      </c>
      <c r="R21" s="126">
        <v>8039</v>
      </c>
      <c r="S21" s="138">
        <f t="shared" si="0"/>
        <v>1447.02</v>
      </c>
      <c r="T21" s="126">
        <f t="shared" si="1"/>
        <v>6591.98</v>
      </c>
    </row>
    <row r="22" spans="1:20" ht="15.6" thickTop="1" thickBot="1" x14ac:dyDescent="0.35">
      <c r="A22" s="109" t="s">
        <v>179</v>
      </c>
      <c r="B22" s="140" t="s">
        <v>305</v>
      </c>
      <c r="C22" s="139" t="s">
        <v>291</v>
      </c>
      <c r="N22" s="125" t="s">
        <v>240</v>
      </c>
      <c r="O22" s="125" t="s">
        <v>241</v>
      </c>
      <c r="P22" s="125" t="s">
        <v>242</v>
      </c>
      <c r="Q22" s="132" t="s">
        <v>210</v>
      </c>
      <c r="R22" s="126">
        <v>4535</v>
      </c>
      <c r="S22" s="126">
        <f t="shared" si="0"/>
        <v>816.3</v>
      </c>
      <c r="T22" s="126">
        <f t="shared" si="1"/>
        <v>3718.7</v>
      </c>
    </row>
    <row r="23" spans="1:20" ht="15.6" thickTop="1" thickBot="1" x14ac:dyDescent="0.35">
      <c r="A23" s="109" t="s">
        <v>180</v>
      </c>
      <c r="B23" s="140" t="s">
        <v>306</v>
      </c>
      <c r="C23" s="139" t="s">
        <v>291</v>
      </c>
      <c r="F23" s="244" t="s">
        <v>321</v>
      </c>
      <c r="N23" s="132" t="s">
        <v>243</v>
      </c>
      <c r="O23" s="125" t="s">
        <v>244</v>
      </c>
      <c r="P23" s="125" t="s">
        <v>245</v>
      </c>
      <c r="Q23" s="132" t="s">
        <v>246</v>
      </c>
      <c r="R23" s="126">
        <v>8203</v>
      </c>
      <c r="S23" s="126">
        <f t="shared" si="0"/>
        <v>1476.54</v>
      </c>
      <c r="T23" s="126">
        <f t="shared" si="1"/>
        <v>6726.46</v>
      </c>
    </row>
    <row r="24" spans="1:20" ht="15.6" thickTop="1" thickBot="1" x14ac:dyDescent="0.35">
      <c r="A24" s="109" t="s">
        <v>181</v>
      </c>
      <c r="B24" s="140" t="s">
        <v>307</v>
      </c>
      <c r="C24" s="139" t="s">
        <v>291</v>
      </c>
      <c r="N24" s="125" t="s">
        <v>247</v>
      </c>
      <c r="O24" s="125" t="s">
        <v>248</v>
      </c>
      <c r="P24" s="125" t="s">
        <v>249</v>
      </c>
      <c r="Q24" s="132" t="s">
        <v>246</v>
      </c>
      <c r="R24" s="126">
        <v>5649</v>
      </c>
      <c r="S24" s="126">
        <f t="shared" si="0"/>
        <v>1016.8199999999999</v>
      </c>
      <c r="T24" s="126">
        <f t="shared" si="1"/>
        <v>4632.18</v>
      </c>
    </row>
    <row r="25" spans="1:20" ht="15.6" thickTop="1" thickBot="1" x14ac:dyDescent="0.35">
      <c r="A25" s="109" t="s">
        <v>182</v>
      </c>
      <c r="B25" s="140" t="s">
        <v>308</v>
      </c>
      <c r="C25" s="139" t="s">
        <v>291</v>
      </c>
      <c r="N25" s="125" t="s">
        <v>250</v>
      </c>
      <c r="O25" s="125"/>
      <c r="P25" s="125" t="s">
        <v>251</v>
      </c>
      <c r="Q25" s="132" t="s">
        <v>213</v>
      </c>
      <c r="R25" s="138">
        <v>6240</v>
      </c>
      <c r="S25" s="126">
        <f t="shared" si="0"/>
        <v>1123.2</v>
      </c>
      <c r="T25" s="126">
        <f t="shared" si="1"/>
        <v>5116.8</v>
      </c>
    </row>
    <row r="26" spans="1:20" ht="15.6" thickTop="1" thickBot="1" x14ac:dyDescent="0.35">
      <c r="A26" s="109" t="s">
        <v>183</v>
      </c>
      <c r="B26" s="140" t="s">
        <v>315</v>
      </c>
      <c r="C26" s="139" t="s">
        <v>291</v>
      </c>
      <c r="N26" s="125" t="s">
        <v>252</v>
      </c>
      <c r="O26" s="125"/>
      <c r="P26" s="125" t="s">
        <v>253</v>
      </c>
      <c r="Q26" s="125" t="s">
        <v>213</v>
      </c>
      <c r="R26" s="138">
        <v>6949</v>
      </c>
      <c r="S26" s="126">
        <f t="shared" si="0"/>
        <v>1250.82</v>
      </c>
      <c r="T26" s="126">
        <f t="shared" si="1"/>
        <v>5698.18</v>
      </c>
    </row>
    <row r="27" spans="1:20" ht="15.6" thickTop="1" thickBot="1" x14ac:dyDescent="0.35">
      <c r="A27" s="109" t="s">
        <v>184</v>
      </c>
      <c r="B27" s="140" t="s">
        <v>316</v>
      </c>
      <c r="C27" s="139" t="s">
        <v>291</v>
      </c>
      <c r="N27" s="125" t="s">
        <v>254</v>
      </c>
      <c r="O27" s="125"/>
      <c r="P27" s="125" t="s">
        <v>255</v>
      </c>
      <c r="Q27" s="125" t="s">
        <v>218</v>
      </c>
      <c r="R27" s="138">
        <v>3581</v>
      </c>
      <c r="S27" s="126">
        <f t="shared" si="0"/>
        <v>644.57999999999993</v>
      </c>
      <c r="T27" s="126">
        <f t="shared" si="1"/>
        <v>2936.42</v>
      </c>
    </row>
    <row r="28" spans="1:20" ht="15.6" thickTop="1" thickBot="1" x14ac:dyDescent="0.35">
      <c r="A28" s="109" t="s">
        <v>185</v>
      </c>
      <c r="B28" s="140" t="s">
        <v>317</v>
      </c>
      <c r="C28" s="139" t="s">
        <v>291</v>
      </c>
      <c r="N28" s="125" t="s">
        <v>256</v>
      </c>
      <c r="O28" s="125" t="s">
        <v>257</v>
      </c>
      <c r="P28" s="125" t="s">
        <v>258</v>
      </c>
      <c r="Q28" s="125" t="s">
        <v>218</v>
      </c>
      <c r="R28" s="126">
        <v>5555</v>
      </c>
      <c r="S28" s="126">
        <f t="shared" si="0"/>
        <v>999.9</v>
      </c>
      <c r="T28" s="126">
        <f t="shared" si="1"/>
        <v>4555.1000000000004</v>
      </c>
    </row>
    <row r="29" spans="1:20" ht="15.6" thickTop="1" thickBot="1" x14ac:dyDescent="0.35">
      <c r="A29" s="109" t="s">
        <v>186</v>
      </c>
      <c r="B29" s="140" t="s">
        <v>318</v>
      </c>
      <c r="C29" s="139" t="s">
        <v>291</v>
      </c>
      <c r="N29" s="125" t="s">
        <v>259</v>
      </c>
      <c r="O29" s="125" t="s">
        <v>260</v>
      </c>
      <c r="P29" s="125" t="s">
        <v>261</v>
      </c>
      <c r="Q29" s="125" t="s">
        <v>246</v>
      </c>
      <c r="R29" s="126">
        <v>6650</v>
      </c>
      <c r="S29" s="126">
        <f t="shared" si="0"/>
        <v>1197</v>
      </c>
      <c r="T29" s="126">
        <f t="shared" si="1"/>
        <v>5453</v>
      </c>
    </row>
    <row r="30" spans="1:20" ht="15.6" thickTop="1" thickBot="1" x14ac:dyDescent="0.35">
      <c r="A30" s="109" t="s">
        <v>187</v>
      </c>
      <c r="B30" s="140" t="s">
        <v>319</v>
      </c>
      <c r="C30" s="139" t="s">
        <v>291</v>
      </c>
      <c r="N30" s="125" t="s">
        <v>262</v>
      </c>
      <c r="O30" s="125"/>
      <c r="P30" s="125" t="s">
        <v>255</v>
      </c>
      <c r="Q30" s="125" t="s">
        <v>218</v>
      </c>
      <c r="R30" s="126">
        <v>4233</v>
      </c>
      <c r="S30" s="126">
        <f t="shared" si="0"/>
        <v>761.93999999999994</v>
      </c>
      <c r="T30" s="126">
        <f t="shared" si="1"/>
        <v>3471.06</v>
      </c>
    </row>
    <row r="31" spans="1:20" ht="15.6" thickTop="1" thickBot="1" x14ac:dyDescent="0.35">
      <c r="A31" s="109" t="s">
        <v>188</v>
      </c>
      <c r="B31" s="140" t="s">
        <v>320</v>
      </c>
      <c r="C31" s="139" t="s">
        <v>285</v>
      </c>
      <c r="N31" s="125" t="s">
        <v>263</v>
      </c>
      <c r="O31" s="125"/>
      <c r="P31" s="125" t="s">
        <v>264</v>
      </c>
      <c r="Q31" s="125" t="s">
        <v>216</v>
      </c>
      <c r="R31" s="126">
        <v>4238</v>
      </c>
      <c r="S31" s="126">
        <f t="shared" si="0"/>
        <v>762.83999999999992</v>
      </c>
      <c r="T31" s="126">
        <f t="shared" si="1"/>
        <v>3475.16</v>
      </c>
    </row>
    <row r="32" spans="1:20" ht="15.6" thickTop="1" thickBot="1" x14ac:dyDescent="0.35">
      <c r="A32" s="109" t="s">
        <v>189</v>
      </c>
      <c r="B32" s="123"/>
      <c r="N32" s="125" t="s">
        <v>265</v>
      </c>
      <c r="O32" s="125" t="s">
        <v>266</v>
      </c>
      <c r="P32" s="125" t="s">
        <v>267</v>
      </c>
      <c r="Q32" s="125" t="s">
        <v>213</v>
      </c>
      <c r="R32" s="126">
        <v>3515</v>
      </c>
      <c r="S32" s="126">
        <f t="shared" si="0"/>
        <v>632.69999999999993</v>
      </c>
      <c r="T32" s="126">
        <f t="shared" si="1"/>
        <v>2882.3</v>
      </c>
    </row>
    <row r="33" spans="1:20" ht="15.6" thickTop="1" thickBot="1" x14ac:dyDescent="0.35">
      <c r="A33" s="109" t="s">
        <v>190</v>
      </c>
      <c r="B33" s="123"/>
      <c r="N33" s="125" t="s">
        <v>268</v>
      </c>
      <c r="O33" s="125" t="s">
        <v>269</v>
      </c>
      <c r="P33" s="125" t="s">
        <v>270</v>
      </c>
      <c r="Q33" s="125" t="s">
        <v>210</v>
      </c>
      <c r="R33" s="126">
        <v>6073</v>
      </c>
      <c r="S33" s="126">
        <f t="shared" si="0"/>
        <v>1093.1399999999999</v>
      </c>
      <c r="T33" s="126">
        <f t="shared" si="1"/>
        <v>4979.8600000000006</v>
      </c>
    </row>
    <row r="34" spans="1:20" ht="30" thickTop="1" thickBot="1" x14ac:dyDescent="0.35">
      <c r="B34" s="123" t="s">
        <v>191</v>
      </c>
      <c r="N34" s="125" t="s">
        <v>271</v>
      </c>
      <c r="O34" s="125"/>
      <c r="P34" s="125" t="s">
        <v>272</v>
      </c>
      <c r="Q34" s="125" t="s">
        <v>210</v>
      </c>
      <c r="R34" s="126">
        <v>7282</v>
      </c>
      <c r="S34" s="126">
        <f t="shared" si="0"/>
        <v>1310.76</v>
      </c>
      <c r="T34" s="126">
        <f t="shared" si="1"/>
        <v>5971.24</v>
      </c>
    </row>
    <row r="35" spans="1:20" ht="15.6" thickTop="1" thickBot="1" x14ac:dyDescent="0.35">
      <c r="B35" s="123" t="s">
        <v>192</v>
      </c>
      <c r="N35" s="125" t="s">
        <v>273</v>
      </c>
      <c r="O35" s="125" t="s">
        <v>274</v>
      </c>
      <c r="P35" s="125" t="s">
        <v>275</v>
      </c>
      <c r="Q35" s="125" t="s">
        <v>210</v>
      </c>
      <c r="R35" s="126">
        <v>3569</v>
      </c>
      <c r="S35" s="126">
        <f t="shared" si="0"/>
        <v>642.41999999999996</v>
      </c>
      <c r="T35" s="126">
        <f t="shared" si="1"/>
        <v>2926.58</v>
      </c>
    </row>
    <row r="36" spans="1:20" ht="15.6" thickTop="1" thickBot="1" x14ac:dyDescent="0.35">
      <c r="B36" s="123" t="s">
        <v>193</v>
      </c>
      <c r="N36" s="125" t="s">
        <v>276</v>
      </c>
      <c r="O36" s="125" t="s">
        <v>277</v>
      </c>
      <c r="P36" s="125" t="s">
        <v>278</v>
      </c>
      <c r="Q36" s="125" t="s">
        <v>218</v>
      </c>
      <c r="R36" s="126">
        <v>7970</v>
      </c>
      <c r="S36" s="126">
        <f t="shared" si="0"/>
        <v>1434.6</v>
      </c>
      <c r="T36" s="126">
        <f t="shared" si="1"/>
        <v>6535.4</v>
      </c>
    </row>
    <row r="37" spans="1:20" ht="15" thickTop="1" x14ac:dyDescent="0.3">
      <c r="B37" s="123" t="s">
        <v>194</v>
      </c>
    </row>
    <row r="38" spans="1:20" x14ac:dyDescent="0.3">
      <c r="B38" s="123" t="s">
        <v>195</v>
      </c>
    </row>
    <row r="39" spans="1:20" x14ac:dyDescent="0.3">
      <c r="B39" s="123" t="s">
        <v>196</v>
      </c>
    </row>
    <row r="40" spans="1:20" x14ac:dyDescent="0.3">
      <c r="B40" s="123" t="s">
        <v>197</v>
      </c>
    </row>
    <row r="41" spans="1:20" x14ac:dyDescent="0.3">
      <c r="B41" s="123" t="s">
        <v>198</v>
      </c>
    </row>
    <row r="42" spans="1:20" ht="28.8" x14ac:dyDescent="0.3">
      <c r="B42" s="123" t="s">
        <v>199</v>
      </c>
    </row>
    <row r="43" spans="1:20" hidden="1" x14ac:dyDescent="0.3">
      <c r="B43" s="123"/>
    </row>
    <row r="45" spans="1:20" hidden="1" x14ac:dyDescent="0.3"/>
    <row r="53" spans="2:3" x14ac:dyDescent="0.3">
      <c r="B53" s="139" t="s">
        <v>309</v>
      </c>
      <c r="C53" s="139" t="s">
        <v>312</v>
      </c>
    </row>
    <row r="54" spans="2:3" hidden="1" x14ac:dyDescent="0.3">
      <c r="B54" s="139" t="s">
        <v>310</v>
      </c>
    </row>
    <row r="55" spans="2:3" x14ac:dyDescent="0.3">
      <c r="B55" s="139" t="s">
        <v>310</v>
      </c>
      <c r="C55" s="139" t="s">
        <v>313</v>
      </c>
    </row>
    <row r="56" spans="2:3" x14ac:dyDescent="0.3">
      <c r="B56" s="139" t="s">
        <v>311</v>
      </c>
      <c r="C56" s="139" t="s">
        <v>314</v>
      </c>
    </row>
  </sheetData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134"/>
  <sheetViews>
    <sheetView topLeftCell="A13" zoomScale="74" zoomScaleNormal="115" workbookViewId="0">
      <selection activeCell="AU25" sqref="AU25"/>
    </sheetView>
  </sheetViews>
  <sheetFormatPr baseColWidth="10" defaultColWidth="11.44140625" defaultRowHeight="15" x14ac:dyDescent="0.25"/>
  <cols>
    <col min="1" max="9" width="3.44140625" style="1" customWidth="1"/>
    <col min="10" max="10" width="3.5546875" style="1" customWidth="1"/>
    <col min="11" max="17" width="3.44140625" style="1" customWidth="1"/>
    <col min="18" max="18" width="3.5546875" style="1" customWidth="1"/>
    <col min="19" max="19" width="3.44140625" style="1" customWidth="1"/>
    <col min="20" max="20" width="2.21875" style="1" customWidth="1"/>
    <col min="21" max="22" width="3.44140625" style="1" customWidth="1"/>
    <col min="23" max="23" width="3.5546875" style="1" customWidth="1"/>
    <col min="24" max="25" width="3.44140625" style="1" customWidth="1"/>
    <col min="26" max="27" width="3.5546875" style="1" customWidth="1"/>
    <col min="28" max="45" width="3.44140625" style="1" customWidth="1"/>
    <col min="46" max="46" width="16" style="1" customWidth="1"/>
    <col min="47" max="47" width="21.77734375" style="1" customWidth="1"/>
    <col min="48" max="48" width="16.5546875" style="1" customWidth="1"/>
    <col min="49" max="49" width="14.5546875" style="1" customWidth="1"/>
    <col min="50" max="50" width="8.44140625" style="1" customWidth="1"/>
    <col min="51" max="147" width="2.77734375" style="1" customWidth="1"/>
    <col min="148" max="16384" width="11.44140625" style="1"/>
  </cols>
  <sheetData>
    <row r="1" spans="1:49" ht="15" customHeight="1" x14ac:dyDescent="0.3">
      <c r="A1" s="93" t="s">
        <v>7</v>
      </c>
      <c r="B1" s="93" t="s">
        <v>0</v>
      </c>
      <c r="C1" s="93" t="s">
        <v>15</v>
      </c>
      <c r="D1" s="93" t="s">
        <v>4</v>
      </c>
      <c r="E1" s="93" t="s">
        <v>12</v>
      </c>
      <c r="F1" s="93" t="s">
        <v>7</v>
      </c>
      <c r="G1" s="93" t="s">
        <v>8</v>
      </c>
      <c r="H1" s="93" t="s">
        <v>1</v>
      </c>
      <c r="I1" s="93" t="s">
        <v>8</v>
      </c>
      <c r="J1" s="93" t="s">
        <v>13</v>
      </c>
      <c r="K1" s="93" t="s">
        <v>13</v>
      </c>
      <c r="L1" s="93" t="s">
        <v>8</v>
      </c>
      <c r="M1" s="93" t="s">
        <v>0</v>
      </c>
      <c r="N1" s="93" t="s">
        <v>18</v>
      </c>
      <c r="O1" s="93" t="s">
        <v>3</v>
      </c>
      <c r="P1" s="93" t="s">
        <v>9</v>
      </c>
      <c r="Q1" s="93" t="s">
        <v>18</v>
      </c>
      <c r="R1" s="93" t="s">
        <v>1</v>
      </c>
      <c r="S1" s="93" t="s">
        <v>22</v>
      </c>
      <c r="T1" s="93" t="s">
        <v>8</v>
      </c>
      <c r="U1" s="93" t="s">
        <v>7</v>
      </c>
      <c r="V1" s="93" t="s">
        <v>11</v>
      </c>
      <c r="W1" s="93" t="s">
        <v>0</v>
      </c>
      <c r="X1" s="93" t="s">
        <v>4</v>
      </c>
      <c r="Y1" s="93" t="s">
        <v>10</v>
      </c>
      <c r="Z1" s="93" t="s">
        <v>22</v>
      </c>
      <c r="AA1" s="93" t="s">
        <v>12</v>
      </c>
      <c r="AB1" s="93" t="s">
        <v>2</v>
      </c>
      <c r="AC1" s="93" t="s">
        <v>1</v>
      </c>
      <c r="AD1" s="93" t="s">
        <v>13</v>
      </c>
      <c r="AE1" s="93" t="s">
        <v>4</v>
      </c>
      <c r="AF1" s="93" t="s">
        <v>10</v>
      </c>
      <c r="AG1" s="93" t="s">
        <v>20</v>
      </c>
      <c r="AH1" s="93" t="s">
        <v>22</v>
      </c>
      <c r="AI1" s="93" t="s">
        <v>22</v>
      </c>
      <c r="AJ1" s="93" t="s">
        <v>0</v>
      </c>
      <c r="AK1" s="93" t="s">
        <v>14</v>
      </c>
      <c r="AL1" s="93" t="s">
        <v>6</v>
      </c>
      <c r="AM1" s="93" t="s">
        <v>13</v>
      </c>
      <c r="AN1" s="93" t="s">
        <v>11</v>
      </c>
      <c r="AO1" s="93" t="s">
        <v>4</v>
      </c>
      <c r="AP1" s="93" t="s">
        <v>4</v>
      </c>
      <c r="AQ1" s="93" t="s">
        <v>16</v>
      </c>
      <c r="AR1" s="93" t="s">
        <v>8</v>
      </c>
      <c r="AS1" s="93" t="s">
        <v>13</v>
      </c>
      <c r="AT1" s="7"/>
      <c r="AU1" s="14"/>
      <c r="AV1" s="7"/>
      <c r="AW1" s="7"/>
    </row>
    <row r="2" spans="1:49" ht="15" customHeight="1" x14ac:dyDescent="0.3">
      <c r="A2" s="93" t="s">
        <v>13</v>
      </c>
      <c r="B2" s="93" t="s">
        <v>25</v>
      </c>
      <c r="C2" s="93" t="s">
        <v>26</v>
      </c>
      <c r="D2" s="93" t="s">
        <v>8</v>
      </c>
      <c r="E2" s="93" t="s">
        <v>1</v>
      </c>
      <c r="F2" s="93" t="s">
        <v>13</v>
      </c>
      <c r="G2" s="93" t="s">
        <v>8</v>
      </c>
      <c r="H2" s="93" t="s">
        <v>19</v>
      </c>
      <c r="I2" s="93" t="s">
        <v>24</v>
      </c>
      <c r="J2" s="93" t="s">
        <v>21</v>
      </c>
      <c r="K2" s="93" t="s">
        <v>26</v>
      </c>
      <c r="L2" s="93" t="s">
        <v>1</v>
      </c>
      <c r="M2" s="93" t="s">
        <v>6</v>
      </c>
      <c r="N2" s="93" t="s">
        <v>13</v>
      </c>
      <c r="O2" s="93" t="s">
        <v>14</v>
      </c>
      <c r="P2" s="93" t="s">
        <v>0</v>
      </c>
      <c r="Q2" s="93" t="s">
        <v>8</v>
      </c>
      <c r="R2" s="93" t="s">
        <v>6</v>
      </c>
      <c r="S2" s="93" t="s">
        <v>1</v>
      </c>
      <c r="T2" s="93" t="s">
        <v>15</v>
      </c>
      <c r="U2" s="93" t="s">
        <v>22</v>
      </c>
      <c r="V2" s="93" t="s">
        <v>10</v>
      </c>
      <c r="W2" s="93" t="s">
        <v>23</v>
      </c>
      <c r="X2" s="93" t="s">
        <v>12</v>
      </c>
      <c r="Y2" s="93" t="s">
        <v>16</v>
      </c>
      <c r="Z2" s="93" t="s">
        <v>22</v>
      </c>
      <c r="AA2" s="93" t="s">
        <v>10</v>
      </c>
      <c r="AB2" s="93" t="s">
        <v>4</v>
      </c>
      <c r="AC2" s="93" t="s">
        <v>3</v>
      </c>
      <c r="AD2" s="93" t="s">
        <v>4</v>
      </c>
      <c r="AE2" s="93" t="s">
        <v>10</v>
      </c>
      <c r="AF2" s="93" t="s">
        <v>16</v>
      </c>
      <c r="AG2" s="93" t="s">
        <v>11</v>
      </c>
      <c r="AH2" s="93" t="s">
        <v>17</v>
      </c>
      <c r="AI2" s="93" t="s">
        <v>15</v>
      </c>
      <c r="AJ2" s="93" t="s">
        <v>4</v>
      </c>
      <c r="AK2" s="93" t="s">
        <v>12</v>
      </c>
      <c r="AL2" s="93" t="s">
        <v>1</v>
      </c>
      <c r="AM2" s="93" t="s">
        <v>11</v>
      </c>
      <c r="AN2" s="93" t="s">
        <v>4</v>
      </c>
      <c r="AO2" s="93" t="s">
        <v>22</v>
      </c>
      <c r="AP2" s="93" t="s">
        <v>10</v>
      </c>
      <c r="AQ2" s="93" t="s">
        <v>3</v>
      </c>
      <c r="AR2" s="93" t="s">
        <v>17</v>
      </c>
      <c r="AS2" s="93" t="s">
        <v>8</v>
      </c>
      <c r="AT2" s="7"/>
      <c r="AU2" s="86">
        <f>16384*1048576</f>
        <v>17179869184</v>
      </c>
      <c r="AV2" s="7"/>
      <c r="AW2" s="7"/>
    </row>
    <row r="3" spans="1:49" ht="15" customHeight="1" x14ac:dyDescent="0.3">
      <c r="A3" s="93" t="s">
        <v>13</v>
      </c>
      <c r="B3" s="93" t="s">
        <v>7</v>
      </c>
      <c r="C3" s="93" t="s">
        <v>18</v>
      </c>
      <c r="D3" s="93" t="s">
        <v>11</v>
      </c>
      <c r="E3" s="93" t="s">
        <v>13</v>
      </c>
      <c r="F3" s="93" t="s">
        <v>2</v>
      </c>
      <c r="G3" s="93" t="s">
        <v>4</v>
      </c>
      <c r="H3" s="93" t="s">
        <v>18</v>
      </c>
      <c r="I3" s="93" t="s">
        <v>8</v>
      </c>
      <c r="J3" s="93" t="s">
        <v>6</v>
      </c>
      <c r="K3" s="93" t="s">
        <v>1</v>
      </c>
      <c r="L3" s="93" t="s">
        <v>4</v>
      </c>
      <c r="M3" s="93" t="s">
        <v>4</v>
      </c>
      <c r="N3" s="93" t="s">
        <v>10</v>
      </c>
      <c r="O3" s="93" t="s">
        <v>11</v>
      </c>
      <c r="P3" s="93" t="s">
        <v>12</v>
      </c>
      <c r="Q3" s="93" t="s">
        <v>4</v>
      </c>
      <c r="R3" s="93" t="s">
        <v>0</v>
      </c>
      <c r="S3" s="93" t="s">
        <v>1</v>
      </c>
      <c r="T3" s="93" t="s">
        <v>12</v>
      </c>
      <c r="U3" s="93" t="s">
        <v>10</v>
      </c>
      <c r="V3" s="93" t="s">
        <v>9</v>
      </c>
      <c r="W3" s="93" t="s">
        <v>10</v>
      </c>
      <c r="X3" s="93" t="s">
        <v>7</v>
      </c>
      <c r="Y3" s="93" t="s">
        <v>1</v>
      </c>
      <c r="Z3" s="93" t="s">
        <v>2</v>
      </c>
      <c r="AA3" s="93" t="s">
        <v>1</v>
      </c>
      <c r="AB3" s="97" t="s">
        <v>15</v>
      </c>
      <c r="AC3" s="97" t="s">
        <v>12</v>
      </c>
      <c r="AD3" s="97" t="s">
        <v>22</v>
      </c>
      <c r="AE3" s="97" t="s">
        <v>23</v>
      </c>
      <c r="AF3" s="97" t="s">
        <v>4</v>
      </c>
      <c r="AG3" s="97" t="s">
        <v>11</v>
      </c>
      <c r="AH3" s="97" t="s">
        <v>10</v>
      </c>
      <c r="AI3" s="97" t="s">
        <v>17</v>
      </c>
      <c r="AJ3" s="97" t="s">
        <v>4</v>
      </c>
      <c r="AK3" s="97" t="s">
        <v>12</v>
      </c>
      <c r="AL3" s="97" t="s">
        <v>10</v>
      </c>
      <c r="AM3" s="97" t="s">
        <v>18</v>
      </c>
      <c r="AN3" s="97" t="s">
        <v>8</v>
      </c>
      <c r="AO3" s="93" t="s">
        <v>13</v>
      </c>
      <c r="AP3" s="93" t="s">
        <v>22</v>
      </c>
      <c r="AQ3" s="93" t="s">
        <v>18</v>
      </c>
      <c r="AR3" s="93" t="s">
        <v>4</v>
      </c>
      <c r="AS3" s="93" t="s">
        <v>13</v>
      </c>
      <c r="AT3" s="7"/>
      <c r="AU3" s="85">
        <f>16384*1048576</f>
        <v>17179869184</v>
      </c>
      <c r="AV3" s="7"/>
      <c r="AW3" s="7"/>
    </row>
    <row r="4" spans="1:49" ht="15" customHeight="1" x14ac:dyDescent="0.3">
      <c r="A4" s="93" t="s">
        <v>6</v>
      </c>
      <c r="B4" s="93" t="s">
        <v>7</v>
      </c>
      <c r="C4" s="93" t="s">
        <v>4</v>
      </c>
      <c r="D4" s="93" t="s">
        <v>12</v>
      </c>
      <c r="E4" s="93" t="s">
        <v>11</v>
      </c>
      <c r="F4" s="93" t="s">
        <v>9</v>
      </c>
      <c r="G4" s="93" t="s">
        <v>18</v>
      </c>
      <c r="H4" s="93" t="s">
        <v>11</v>
      </c>
      <c r="I4" s="93" t="s">
        <v>22</v>
      </c>
      <c r="J4" s="93" t="s">
        <v>8</v>
      </c>
      <c r="K4" s="93" t="s">
        <v>17</v>
      </c>
      <c r="L4" s="93" t="s">
        <v>7</v>
      </c>
      <c r="M4" s="93" t="s">
        <v>5</v>
      </c>
      <c r="N4" s="93" t="s">
        <v>4</v>
      </c>
      <c r="O4" s="93" t="s">
        <v>10</v>
      </c>
      <c r="P4" s="93" t="s">
        <v>22</v>
      </c>
      <c r="Q4" s="93" t="s">
        <v>4</v>
      </c>
      <c r="R4" s="93" t="s">
        <v>16</v>
      </c>
      <c r="S4" s="93" t="s">
        <v>10</v>
      </c>
      <c r="T4" s="94" t="s">
        <v>60</v>
      </c>
      <c r="U4" s="93" t="s">
        <v>16</v>
      </c>
      <c r="V4" s="93" t="s">
        <v>9</v>
      </c>
      <c r="W4" s="93" t="s">
        <v>6</v>
      </c>
      <c r="X4" s="93" t="s">
        <v>4</v>
      </c>
      <c r="Y4" s="93" t="s">
        <v>21</v>
      </c>
      <c r="Z4" s="93" t="s">
        <v>4</v>
      </c>
      <c r="AA4" s="93" t="s">
        <v>10</v>
      </c>
      <c r="AB4" s="97" t="s">
        <v>13</v>
      </c>
      <c r="AC4" s="97" t="s">
        <v>1</v>
      </c>
      <c r="AD4" s="97" t="s">
        <v>6</v>
      </c>
      <c r="AE4" s="97" t="s">
        <v>3</v>
      </c>
      <c r="AF4" s="97" t="s">
        <v>4</v>
      </c>
      <c r="AG4" s="97" t="s">
        <v>10</v>
      </c>
      <c r="AH4" s="97" t="s">
        <v>7</v>
      </c>
      <c r="AI4" s="97" t="s">
        <v>18</v>
      </c>
      <c r="AJ4" s="97" t="s">
        <v>20</v>
      </c>
      <c r="AK4" s="97" t="s">
        <v>17</v>
      </c>
      <c r="AL4" s="97" t="s">
        <v>17</v>
      </c>
      <c r="AM4" s="97" t="s">
        <v>21</v>
      </c>
      <c r="AN4" s="97" t="s">
        <v>18</v>
      </c>
      <c r="AO4" s="93" t="s">
        <v>1</v>
      </c>
      <c r="AP4" s="93" t="s">
        <v>13</v>
      </c>
      <c r="AQ4" s="93" t="s">
        <v>13</v>
      </c>
      <c r="AR4" s="93" t="s">
        <v>19</v>
      </c>
      <c r="AS4" s="93" t="s">
        <v>15</v>
      </c>
      <c r="AT4" s="7"/>
      <c r="AU4" s="15"/>
      <c r="AV4" s="7"/>
      <c r="AW4" s="7"/>
    </row>
    <row r="5" spans="1:49" ht="15" customHeight="1" x14ac:dyDescent="0.3">
      <c r="A5" s="93" t="s">
        <v>11</v>
      </c>
      <c r="B5" s="93" t="s">
        <v>17</v>
      </c>
      <c r="C5" s="93" t="s">
        <v>4</v>
      </c>
      <c r="D5" s="93" t="s">
        <v>12</v>
      </c>
      <c r="E5" s="93" t="s">
        <v>5</v>
      </c>
      <c r="F5" s="93" t="s">
        <v>10</v>
      </c>
      <c r="G5" s="93" t="s">
        <v>4</v>
      </c>
      <c r="H5" s="93" t="s">
        <v>9</v>
      </c>
      <c r="I5" s="93" t="s">
        <v>9</v>
      </c>
      <c r="J5" s="93" t="s">
        <v>13</v>
      </c>
      <c r="K5" s="93" t="s">
        <v>6</v>
      </c>
      <c r="L5" s="93" t="s">
        <v>8</v>
      </c>
      <c r="M5" s="93" t="s">
        <v>13</v>
      </c>
      <c r="N5" s="93" t="s">
        <v>7</v>
      </c>
      <c r="O5" s="93" t="s">
        <v>5</v>
      </c>
      <c r="P5" s="93" t="s">
        <v>4</v>
      </c>
      <c r="Q5" s="93" t="s">
        <v>16</v>
      </c>
      <c r="R5" s="93" t="s">
        <v>19</v>
      </c>
      <c r="S5" s="93" t="s">
        <v>6</v>
      </c>
      <c r="T5" s="93" t="s">
        <v>4</v>
      </c>
      <c r="U5" s="93" t="s">
        <v>1</v>
      </c>
      <c r="V5" s="93" t="s">
        <v>22</v>
      </c>
      <c r="W5" s="93" t="s">
        <v>12</v>
      </c>
      <c r="X5" s="93" t="s">
        <v>10</v>
      </c>
      <c r="Y5" s="93" t="s">
        <v>8</v>
      </c>
      <c r="Z5" s="93" t="s">
        <v>4</v>
      </c>
      <c r="AA5" s="93" t="s">
        <v>7</v>
      </c>
      <c r="AB5" s="97" t="s">
        <v>2</v>
      </c>
      <c r="AC5" s="97" t="s">
        <v>6</v>
      </c>
      <c r="AD5" s="97" t="s">
        <v>1</v>
      </c>
      <c r="AE5" s="97" t="s">
        <v>19</v>
      </c>
      <c r="AF5" s="97" t="s">
        <v>13</v>
      </c>
      <c r="AG5" s="97" t="s">
        <v>13</v>
      </c>
      <c r="AH5" s="97" t="s">
        <v>8</v>
      </c>
      <c r="AI5" s="97" t="s">
        <v>18</v>
      </c>
      <c r="AJ5" s="97" t="s">
        <v>13</v>
      </c>
      <c r="AK5" s="97" t="s">
        <v>18</v>
      </c>
      <c r="AL5" s="97" t="s">
        <v>13</v>
      </c>
      <c r="AM5" s="97" t="s">
        <v>5</v>
      </c>
      <c r="AN5" s="97" t="s">
        <v>13</v>
      </c>
      <c r="AO5" s="93" t="s">
        <v>9</v>
      </c>
      <c r="AP5" s="93" t="s">
        <v>8</v>
      </c>
      <c r="AQ5" s="93" t="s">
        <v>1</v>
      </c>
      <c r="AR5" s="93" t="s">
        <v>17</v>
      </c>
      <c r="AS5" s="93" t="s">
        <v>13</v>
      </c>
      <c r="AT5" s="7"/>
      <c r="AU5" s="15"/>
      <c r="AV5" s="7"/>
      <c r="AW5" s="7"/>
    </row>
    <row r="6" spans="1:49" ht="15" customHeight="1" x14ac:dyDescent="0.3">
      <c r="A6" s="93" t="s">
        <v>3</v>
      </c>
      <c r="B6" s="93" t="s">
        <v>6</v>
      </c>
      <c r="C6" s="93" t="s">
        <v>6</v>
      </c>
      <c r="D6" s="93" t="s">
        <v>13</v>
      </c>
      <c r="E6" s="93" t="s">
        <v>8</v>
      </c>
      <c r="F6" s="93" t="s">
        <v>7</v>
      </c>
      <c r="G6" s="93" t="s">
        <v>0</v>
      </c>
      <c r="H6" s="93" t="s">
        <v>8</v>
      </c>
      <c r="I6" s="93" t="s">
        <v>5</v>
      </c>
      <c r="J6" s="93" t="s">
        <v>8</v>
      </c>
      <c r="K6" s="93" t="s">
        <v>13</v>
      </c>
      <c r="L6" s="93" t="s">
        <v>7</v>
      </c>
      <c r="M6" s="93" t="s">
        <v>13</v>
      </c>
      <c r="N6" s="93" t="s">
        <v>21</v>
      </c>
      <c r="O6" s="93" t="s">
        <v>13</v>
      </c>
      <c r="P6" s="93" t="s">
        <v>7</v>
      </c>
      <c r="Q6" s="93" t="s">
        <v>8</v>
      </c>
      <c r="R6" s="93" t="s">
        <v>17</v>
      </c>
      <c r="S6" s="93" t="s">
        <v>8</v>
      </c>
      <c r="T6" s="93" t="s">
        <v>5</v>
      </c>
      <c r="U6" s="93" t="s">
        <v>1</v>
      </c>
      <c r="V6" s="93" t="s">
        <v>21</v>
      </c>
      <c r="W6" s="93" t="s">
        <v>26</v>
      </c>
      <c r="X6" s="93" t="s">
        <v>10</v>
      </c>
      <c r="Y6" s="93" t="s">
        <v>9</v>
      </c>
      <c r="Z6" s="93" t="s">
        <v>4</v>
      </c>
      <c r="AA6" s="93" t="s">
        <v>7</v>
      </c>
      <c r="AB6" s="97" t="s">
        <v>1</v>
      </c>
      <c r="AC6" s="97" t="s">
        <v>3</v>
      </c>
      <c r="AD6" s="97" t="s">
        <v>13</v>
      </c>
      <c r="AE6" s="97" t="s">
        <v>7</v>
      </c>
      <c r="AF6" s="97" t="s">
        <v>1</v>
      </c>
      <c r="AG6" s="97" t="s">
        <v>3</v>
      </c>
      <c r="AH6" s="97" t="s">
        <v>1</v>
      </c>
      <c r="AI6" s="97" t="s">
        <v>18</v>
      </c>
      <c r="AJ6" s="97" t="s">
        <v>10</v>
      </c>
      <c r="AK6" s="97" t="s">
        <v>25</v>
      </c>
      <c r="AL6" s="97" t="s">
        <v>1</v>
      </c>
      <c r="AM6" s="97" t="s">
        <v>6</v>
      </c>
      <c r="AN6" s="97" t="s">
        <v>1</v>
      </c>
      <c r="AO6" s="93" t="s">
        <v>6</v>
      </c>
      <c r="AP6" s="93" t="s">
        <v>1</v>
      </c>
      <c r="AQ6" s="93" t="s">
        <v>8</v>
      </c>
      <c r="AR6" s="93" t="s">
        <v>18</v>
      </c>
      <c r="AS6" s="93" t="s">
        <v>8</v>
      </c>
      <c r="AT6" s="7"/>
      <c r="AU6" s="16"/>
      <c r="AV6" s="7"/>
      <c r="AW6" s="7"/>
    </row>
    <row r="7" spans="1:49" ht="15" customHeight="1" x14ac:dyDescent="0.3">
      <c r="A7" s="93" t="s">
        <v>1</v>
      </c>
      <c r="B7" s="93" t="s">
        <v>21</v>
      </c>
      <c r="C7" s="93" t="s">
        <v>13</v>
      </c>
      <c r="D7" s="93" t="s">
        <v>7</v>
      </c>
      <c r="E7" s="93" t="s">
        <v>8</v>
      </c>
      <c r="F7" s="93" t="s">
        <v>13</v>
      </c>
      <c r="G7" s="93" t="s">
        <v>18</v>
      </c>
      <c r="H7" s="93" t="s">
        <v>13</v>
      </c>
      <c r="I7" s="93" t="s">
        <v>13</v>
      </c>
      <c r="J7" s="93" t="s">
        <v>4</v>
      </c>
      <c r="K7" s="93" t="s">
        <v>1</v>
      </c>
      <c r="L7" s="93" t="s">
        <v>7</v>
      </c>
      <c r="M7" s="93" t="s">
        <v>8</v>
      </c>
      <c r="N7" s="93" t="s">
        <v>13</v>
      </c>
      <c r="O7" s="93" t="s">
        <v>18</v>
      </c>
      <c r="P7" s="93" t="s">
        <v>8</v>
      </c>
      <c r="Q7" s="93" t="s">
        <v>7</v>
      </c>
      <c r="R7" s="93" t="s">
        <v>8</v>
      </c>
      <c r="S7" s="93" t="s">
        <v>7</v>
      </c>
      <c r="T7" s="93" t="s">
        <v>10</v>
      </c>
      <c r="U7" s="93" t="s">
        <v>18</v>
      </c>
      <c r="V7" s="93" t="s">
        <v>8</v>
      </c>
      <c r="W7" s="93" t="s">
        <v>0</v>
      </c>
      <c r="X7" s="93" t="s">
        <v>8</v>
      </c>
      <c r="Y7" s="93" t="s">
        <v>6</v>
      </c>
      <c r="Z7" s="93" t="s">
        <v>20</v>
      </c>
      <c r="AA7" s="93" t="s">
        <v>10</v>
      </c>
      <c r="AB7" s="97" t="s">
        <v>8</v>
      </c>
      <c r="AC7" s="97" t="s">
        <v>10</v>
      </c>
      <c r="AD7" s="97" t="s">
        <v>18</v>
      </c>
      <c r="AE7" s="97" t="s">
        <v>11</v>
      </c>
      <c r="AF7" s="97" t="s">
        <v>8</v>
      </c>
      <c r="AG7" s="97" t="s">
        <v>18</v>
      </c>
      <c r="AH7" s="97" t="s">
        <v>19</v>
      </c>
      <c r="AI7" s="97" t="s">
        <v>11</v>
      </c>
      <c r="AJ7" s="97" t="s">
        <v>9</v>
      </c>
      <c r="AK7" s="97" t="s">
        <v>11</v>
      </c>
      <c r="AL7" s="97" t="s">
        <v>1</v>
      </c>
      <c r="AM7" s="97" t="s">
        <v>2</v>
      </c>
      <c r="AN7" s="97" t="s">
        <v>8</v>
      </c>
      <c r="AO7" s="93" t="s">
        <v>10</v>
      </c>
      <c r="AP7" s="93" t="s">
        <v>9</v>
      </c>
      <c r="AQ7" s="93" t="s">
        <v>7</v>
      </c>
      <c r="AR7" s="93" t="s">
        <v>11</v>
      </c>
      <c r="AS7" s="93" t="s">
        <v>13</v>
      </c>
      <c r="AT7" s="7"/>
      <c r="AU7" s="17"/>
      <c r="AV7" s="7"/>
      <c r="AW7" s="7"/>
    </row>
    <row r="8" spans="1:49" ht="15" customHeight="1" thickBot="1" x14ac:dyDescent="0.35">
      <c r="A8" s="93" t="s">
        <v>7</v>
      </c>
      <c r="B8" s="93" t="s">
        <v>4</v>
      </c>
      <c r="C8" s="93" t="s">
        <v>18</v>
      </c>
      <c r="D8" s="93" t="s">
        <v>11</v>
      </c>
      <c r="E8" s="93" t="s">
        <v>10</v>
      </c>
      <c r="F8" s="93" t="s">
        <v>10</v>
      </c>
      <c r="G8" s="93" t="s">
        <v>4</v>
      </c>
      <c r="H8" s="93" t="s">
        <v>11</v>
      </c>
      <c r="I8" s="93" t="s">
        <v>18</v>
      </c>
      <c r="J8" s="93" t="s">
        <v>5</v>
      </c>
      <c r="K8" s="93" t="s">
        <v>6</v>
      </c>
      <c r="L8" s="93" t="s">
        <v>4</v>
      </c>
      <c r="M8" s="93" t="s">
        <v>3</v>
      </c>
      <c r="N8" s="93" t="s">
        <v>11</v>
      </c>
      <c r="O8" s="93" t="s">
        <v>12</v>
      </c>
      <c r="P8" s="93" t="s">
        <v>10</v>
      </c>
      <c r="Q8" s="93" t="s">
        <v>0</v>
      </c>
      <c r="R8" s="93" t="s">
        <v>4</v>
      </c>
      <c r="S8" s="93" t="s">
        <v>9</v>
      </c>
      <c r="T8" s="93" t="s">
        <v>1</v>
      </c>
      <c r="U8" s="93" t="s">
        <v>13</v>
      </c>
      <c r="V8" s="93" t="s">
        <v>1</v>
      </c>
      <c r="W8" s="93" t="s">
        <v>2</v>
      </c>
      <c r="X8" s="93" t="s">
        <v>6</v>
      </c>
      <c r="Y8" s="93" t="s">
        <v>6</v>
      </c>
      <c r="Z8" s="93" t="s">
        <v>1</v>
      </c>
      <c r="AA8" s="93" t="s">
        <v>13</v>
      </c>
      <c r="AB8" s="97" t="s">
        <v>4</v>
      </c>
      <c r="AC8" s="97" t="s">
        <v>13</v>
      </c>
      <c r="AD8" s="97" t="s">
        <v>8</v>
      </c>
      <c r="AE8" s="97" t="s">
        <v>13</v>
      </c>
      <c r="AF8" s="97" t="s">
        <v>7</v>
      </c>
      <c r="AG8" s="97" t="s">
        <v>13</v>
      </c>
      <c r="AH8" s="97" t="s">
        <v>18</v>
      </c>
      <c r="AI8" s="97" t="s">
        <v>13</v>
      </c>
      <c r="AJ8" s="97" t="s">
        <v>3</v>
      </c>
      <c r="AK8" s="97" t="s">
        <v>1</v>
      </c>
      <c r="AL8" s="97" t="s">
        <v>17</v>
      </c>
      <c r="AM8" s="97" t="s">
        <v>1</v>
      </c>
      <c r="AN8" s="97" t="s">
        <v>6</v>
      </c>
      <c r="AO8" s="93" t="s">
        <v>0</v>
      </c>
      <c r="AP8" s="93" t="s">
        <v>4</v>
      </c>
      <c r="AQ8" s="93" t="s">
        <v>13</v>
      </c>
      <c r="AR8" s="93" t="s">
        <v>1</v>
      </c>
      <c r="AS8" s="93" t="s">
        <v>5</v>
      </c>
      <c r="AT8" s="7"/>
      <c r="AU8" s="18"/>
      <c r="AV8" s="7"/>
      <c r="AW8" s="7"/>
    </row>
    <row r="9" spans="1:49" ht="15" customHeight="1" thickBot="1" x14ac:dyDescent="0.35">
      <c r="A9" s="93" t="s">
        <v>10</v>
      </c>
      <c r="B9" s="93" t="s">
        <v>2</v>
      </c>
      <c r="C9" s="93" t="s">
        <v>6</v>
      </c>
      <c r="D9" s="93" t="s">
        <v>2</v>
      </c>
      <c r="E9" s="93" t="s">
        <v>9</v>
      </c>
      <c r="F9" s="93" t="s">
        <v>13</v>
      </c>
      <c r="G9" s="93" t="s">
        <v>2</v>
      </c>
      <c r="H9" s="93" t="s">
        <v>13</v>
      </c>
      <c r="I9" s="93" t="s">
        <v>8</v>
      </c>
      <c r="J9" s="93" t="s">
        <v>7</v>
      </c>
      <c r="K9" s="93" t="s">
        <v>9</v>
      </c>
      <c r="L9" s="93" t="s">
        <v>7</v>
      </c>
      <c r="M9" s="93" t="s">
        <v>13</v>
      </c>
      <c r="N9" s="93" t="s">
        <v>6</v>
      </c>
      <c r="O9" s="93" t="s">
        <v>8</v>
      </c>
      <c r="P9" s="93" t="s">
        <v>24</v>
      </c>
      <c r="Q9" s="93" t="s">
        <v>2</v>
      </c>
      <c r="R9" s="93" t="s">
        <v>1</v>
      </c>
      <c r="S9" s="93" t="s">
        <v>2</v>
      </c>
      <c r="T9" s="93" t="s">
        <v>1</v>
      </c>
      <c r="U9" s="93" t="s">
        <v>17</v>
      </c>
      <c r="V9" s="93" t="s">
        <v>13</v>
      </c>
      <c r="W9" s="93" t="s">
        <v>2</v>
      </c>
      <c r="X9" s="93" t="s">
        <v>1</v>
      </c>
      <c r="Y9" s="93" t="s">
        <v>13</v>
      </c>
      <c r="Z9" s="93" t="s">
        <v>2</v>
      </c>
      <c r="AA9" s="93" t="s">
        <v>13</v>
      </c>
      <c r="AB9" s="97" t="s">
        <v>9</v>
      </c>
      <c r="AC9" s="97" t="s">
        <v>2</v>
      </c>
      <c r="AD9" s="97" t="s">
        <v>13</v>
      </c>
      <c r="AE9" s="97" t="s">
        <v>2</v>
      </c>
      <c r="AF9" s="97" t="s">
        <v>10</v>
      </c>
      <c r="AG9" s="97" t="s">
        <v>22</v>
      </c>
      <c r="AH9" s="97" t="s">
        <v>12</v>
      </c>
      <c r="AI9" s="97" t="s">
        <v>7</v>
      </c>
      <c r="AJ9" s="97" t="s">
        <v>8</v>
      </c>
      <c r="AK9" s="97" t="s">
        <v>13</v>
      </c>
      <c r="AL9" s="97" t="s">
        <v>8</v>
      </c>
      <c r="AM9" s="97" t="s">
        <v>2</v>
      </c>
      <c r="AN9" s="97" t="s">
        <v>17</v>
      </c>
      <c r="AO9" s="93" t="s">
        <v>0</v>
      </c>
      <c r="AP9" s="93" t="s">
        <v>10</v>
      </c>
      <c r="AQ9" s="93" t="s">
        <v>23</v>
      </c>
      <c r="AR9" s="93" t="s">
        <v>22</v>
      </c>
      <c r="AS9" s="93" t="s">
        <v>9</v>
      </c>
      <c r="AT9" s="7"/>
      <c r="AU9" s="87"/>
      <c r="AV9" s="7"/>
      <c r="AW9" s="7"/>
    </row>
    <row r="10" spans="1:49" ht="15" customHeight="1" x14ac:dyDescent="0.3">
      <c r="A10" s="93" t="s">
        <v>8</v>
      </c>
      <c r="B10" s="93" t="s">
        <v>8</v>
      </c>
      <c r="C10" s="93" t="s">
        <v>26</v>
      </c>
      <c r="D10" s="93" t="s">
        <v>1</v>
      </c>
      <c r="E10" s="93" t="s">
        <v>4</v>
      </c>
      <c r="F10" s="93" t="s">
        <v>6</v>
      </c>
      <c r="G10" s="93" t="s">
        <v>2</v>
      </c>
      <c r="H10" s="93" t="s">
        <v>10</v>
      </c>
      <c r="I10" s="93" t="s">
        <v>12</v>
      </c>
      <c r="J10" s="93" t="s">
        <v>23</v>
      </c>
      <c r="K10" s="93" t="s">
        <v>18</v>
      </c>
      <c r="L10" s="93" t="s">
        <v>11</v>
      </c>
      <c r="M10" s="93" t="s">
        <v>8</v>
      </c>
      <c r="N10" s="93" t="s">
        <v>1</v>
      </c>
      <c r="O10" s="93" t="s">
        <v>12</v>
      </c>
      <c r="P10" s="93" t="s">
        <v>24</v>
      </c>
      <c r="Q10" s="93" t="s">
        <v>22</v>
      </c>
      <c r="R10" s="93" t="s">
        <v>4</v>
      </c>
      <c r="S10" s="93" t="s">
        <v>4</v>
      </c>
      <c r="T10" s="93" t="s">
        <v>13</v>
      </c>
      <c r="U10" s="93" t="s">
        <v>10</v>
      </c>
      <c r="V10" s="93" t="s">
        <v>17</v>
      </c>
      <c r="W10" s="93" t="s">
        <v>7</v>
      </c>
      <c r="X10" s="93" t="s">
        <v>5</v>
      </c>
      <c r="Y10" s="93" t="s">
        <v>2</v>
      </c>
      <c r="Z10" s="93" t="s">
        <v>13</v>
      </c>
      <c r="AA10" s="93" t="s">
        <v>8</v>
      </c>
      <c r="AB10" s="97" t="s">
        <v>16</v>
      </c>
      <c r="AC10" s="97" t="s">
        <v>17</v>
      </c>
      <c r="AD10" s="97" t="s">
        <v>10</v>
      </c>
      <c r="AE10" s="97" t="s">
        <v>4</v>
      </c>
      <c r="AF10" s="97" t="s">
        <v>13</v>
      </c>
      <c r="AG10" s="97" t="s">
        <v>17</v>
      </c>
      <c r="AH10" s="97" t="s">
        <v>5</v>
      </c>
      <c r="AI10" s="97" t="s">
        <v>11</v>
      </c>
      <c r="AJ10" s="97" t="s">
        <v>11</v>
      </c>
      <c r="AK10" s="97" t="s">
        <v>4</v>
      </c>
      <c r="AL10" s="97" t="s">
        <v>10</v>
      </c>
      <c r="AM10" s="97" t="s">
        <v>10</v>
      </c>
      <c r="AN10" s="97" t="s">
        <v>12</v>
      </c>
      <c r="AO10" s="93" t="s">
        <v>13</v>
      </c>
      <c r="AP10" s="93" t="s">
        <v>5</v>
      </c>
      <c r="AQ10" s="93" t="s">
        <v>13</v>
      </c>
      <c r="AR10" s="93" t="s">
        <v>15</v>
      </c>
      <c r="AS10" s="93" t="s">
        <v>4</v>
      </c>
      <c r="AT10" s="7"/>
      <c r="AU10" s="19"/>
      <c r="AV10" s="7"/>
      <c r="AW10" s="7"/>
    </row>
    <row r="11" spans="1:49" ht="15" customHeight="1" x14ac:dyDescent="0.3">
      <c r="A11" s="93" t="s">
        <v>4</v>
      </c>
      <c r="B11" s="93" t="s">
        <v>4</v>
      </c>
      <c r="C11" s="93" t="s">
        <v>10</v>
      </c>
      <c r="D11" s="93" t="s">
        <v>22</v>
      </c>
      <c r="E11" s="93" t="s">
        <v>8</v>
      </c>
      <c r="F11" s="93" t="s">
        <v>22</v>
      </c>
      <c r="G11" s="93" t="s">
        <v>8</v>
      </c>
      <c r="H11" s="93" t="s">
        <v>13</v>
      </c>
      <c r="I11" s="93" t="s">
        <v>5</v>
      </c>
      <c r="J11" s="93" t="s">
        <v>10</v>
      </c>
      <c r="K11" s="93" t="s">
        <v>4</v>
      </c>
      <c r="L11" s="93" t="s">
        <v>9</v>
      </c>
      <c r="M11" s="93" t="s">
        <v>24</v>
      </c>
      <c r="N11" s="93" t="s">
        <v>5</v>
      </c>
      <c r="O11" s="93" t="s">
        <v>2</v>
      </c>
      <c r="P11" s="93" t="s">
        <v>7</v>
      </c>
      <c r="Q11" s="93" t="s">
        <v>8</v>
      </c>
      <c r="R11" s="93" t="s">
        <v>13</v>
      </c>
      <c r="S11" s="93" t="s">
        <v>6</v>
      </c>
      <c r="T11" s="93" t="s">
        <v>1</v>
      </c>
      <c r="U11" s="93" t="s">
        <v>12</v>
      </c>
      <c r="V11" s="93" t="s">
        <v>0</v>
      </c>
      <c r="W11" s="93" t="s">
        <v>13</v>
      </c>
      <c r="X11" s="93" t="s">
        <v>3</v>
      </c>
      <c r="Y11" s="93" t="s">
        <v>13</v>
      </c>
      <c r="Z11" s="93" t="s">
        <v>8</v>
      </c>
      <c r="AA11" s="93" t="s">
        <v>1</v>
      </c>
      <c r="AB11" s="97" t="s">
        <v>7</v>
      </c>
      <c r="AC11" s="97" t="s">
        <v>4</v>
      </c>
      <c r="AD11" s="97" t="s">
        <v>10</v>
      </c>
      <c r="AE11" s="97" t="s">
        <v>5</v>
      </c>
      <c r="AF11" s="97" t="s">
        <v>2</v>
      </c>
      <c r="AG11" s="97" t="s">
        <v>5</v>
      </c>
      <c r="AH11" s="97" t="s">
        <v>4</v>
      </c>
      <c r="AI11" s="97" t="s">
        <v>8</v>
      </c>
      <c r="AJ11" s="97" t="s">
        <v>5</v>
      </c>
      <c r="AK11" s="97" t="s">
        <v>1</v>
      </c>
      <c r="AL11" s="97" t="s">
        <v>9</v>
      </c>
      <c r="AM11" s="97" t="s">
        <v>4</v>
      </c>
      <c r="AN11" s="97" t="s">
        <v>22</v>
      </c>
      <c r="AO11" s="93" t="s">
        <v>5</v>
      </c>
      <c r="AP11" s="93" t="s">
        <v>1</v>
      </c>
      <c r="AQ11" s="93" t="s">
        <v>12</v>
      </c>
      <c r="AR11" s="93" t="s">
        <v>3</v>
      </c>
      <c r="AS11" s="93" t="s">
        <v>1</v>
      </c>
      <c r="AT11" s="7"/>
      <c r="AU11" s="15"/>
      <c r="AV11" s="7"/>
      <c r="AW11" s="7"/>
    </row>
    <row r="12" spans="1:49" ht="15" customHeight="1" x14ac:dyDescent="0.3">
      <c r="A12" s="93" t="s">
        <v>1</v>
      </c>
      <c r="B12" s="93" t="s">
        <v>2</v>
      </c>
      <c r="C12" s="93" t="s">
        <v>1</v>
      </c>
      <c r="D12" s="93" t="s">
        <v>17</v>
      </c>
      <c r="E12" s="93" t="s">
        <v>13</v>
      </c>
      <c r="F12" s="93" t="s">
        <v>13</v>
      </c>
      <c r="G12" s="93" t="s">
        <v>21</v>
      </c>
      <c r="H12" s="93" t="s">
        <v>26</v>
      </c>
      <c r="I12" s="93" t="s">
        <v>10</v>
      </c>
      <c r="J12" s="93" t="s">
        <v>12</v>
      </c>
      <c r="K12" s="93" t="s">
        <v>10</v>
      </c>
      <c r="L12" s="93" t="s">
        <v>4</v>
      </c>
      <c r="M12" s="93" t="s">
        <v>7</v>
      </c>
      <c r="N12" s="93" t="s">
        <v>2</v>
      </c>
      <c r="O12" s="93" t="s">
        <v>10</v>
      </c>
      <c r="P12" s="93" t="s">
        <v>2</v>
      </c>
      <c r="Q12" s="93" t="s">
        <v>13</v>
      </c>
      <c r="R12" s="93" t="s">
        <v>7</v>
      </c>
      <c r="S12" s="93" t="s">
        <v>4</v>
      </c>
      <c r="T12" s="93" t="s">
        <v>3</v>
      </c>
      <c r="U12" s="93" t="s">
        <v>11</v>
      </c>
      <c r="V12" s="93" t="s">
        <v>18</v>
      </c>
      <c r="W12" s="93" t="s">
        <v>15</v>
      </c>
      <c r="X12" s="93" t="s">
        <v>11</v>
      </c>
      <c r="Y12" s="93" t="s">
        <v>5</v>
      </c>
      <c r="Z12" s="93" t="s">
        <v>9</v>
      </c>
      <c r="AA12" s="93" t="s">
        <v>4</v>
      </c>
      <c r="AB12" s="97" t="s">
        <v>10</v>
      </c>
      <c r="AC12" s="97" t="s">
        <v>5</v>
      </c>
      <c r="AD12" s="97" t="s">
        <v>13</v>
      </c>
      <c r="AE12" s="97" t="s">
        <v>7</v>
      </c>
      <c r="AF12" s="97" t="s">
        <v>13</v>
      </c>
      <c r="AG12" s="97" t="s">
        <v>8</v>
      </c>
      <c r="AH12" s="97" t="s">
        <v>1</v>
      </c>
      <c r="AI12" s="97" t="s">
        <v>1</v>
      </c>
      <c r="AJ12" s="97" t="s">
        <v>13</v>
      </c>
      <c r="AK12" s="97" t="s">
        <v>4</v>
      </c>
      <c r="AL12" s="97" t="s">
        <v>2</v>
      </c>
      <c r="AM12" s="97" t="s">
        <v>13</v>
      </c>
      <c r="AN12" s="97" t="s">
        <v>6</v>
      </c>
      <c r="AO12" s="93" t="s">
        <v>13</v>
      </c>
      <c r="AP12" s="93" t="s">
        <v>6</v>
      </c>
      <c r="AQ12" s="93" t="s">
        <v>13</v>
      </c>
      <c r="AR12" s="93" t="s">
        <v>8</v>
      </c>
      <c r="AS12" s="93" t="s">
        <v>7</v>
      </c>
      <c r="AT12" s="7"/>
      <c r="AU12" s="20"/>
      <c r="AV12" s="7"/>
      <c r="AW12" s="7"/>
    </row>
    <row r="13" spans="1:49" ht="15" customHeight="1" x14ac:dyDescent="0.3">
      <c r="A13" s="93" t="s">
        <v>8</v>
      </c>
      <c r="B13" s="93" t="s">
        <v>15</v>
      </c>
      <c r="C13" s="93" t="s">
        <v>7</v>
      </c>
      <c r="D13" s="93" t="s">
        <v>15</v>
      </c>
      <c r="E13" s="93" t="s">
        <v>3</v>
      </c>
      <c r="F13" s="93" t="s">
        <v>1</v>
      </c>
      <c r="G13" s="93" t="s">
        <v>18</v>
      </c>
      <c r="H13" s="93" t="s">
        <v>11</v>
      </c>
      <c r="I13" s="93" t="s">
        <v>15</v>
      </c>
      <c r="J13" s="93" t="s">
        <v>8</v>
      </c>
      <c r="K13" s="93" t="s">
        <v>12</v>
      </c>
      <c r="L13" s="93" t="s">
        <v>21</v>
      </c>
      <c r="M13" s="93" t="s">
        <v>15</v>
      </c>
      <c r="N13" s="93" t="s">
        <v>12</v>
      </c>
      <c r="O13" s="93" t="s">
        <v>15</v>
      </c>
      <c r="P13" s="93" t="s">
        <v>4</v>
      </c>
      <c r="Q13" s="93" t="s">
        <v>13</v>
      </c>
      <c r="R13" s="93" t="s">
        <v>21</v>
      </c>
      <c r="S13" s="93" t="s">
        <v>12</v>
      </c>
      <c r="T13" s="93" t="s">
        <v>13</v>
      </c>
      <c r="U13" s="93" t="s">
        <v>9</v>
      </c>
      <c r="V13" s="93" t="s">
        <v>21</v>
      </c>
      <c r="W13" s="93" t="s">
        <v>10</v>
      </c>
      <c r="X13" s="93" t="s">
        <v>12</v>
      </c>
      <c r="Y13" s="93" t="s">
        <v>21</v>
      </c>
      <c r="Z13" s="93" t="s">
        <v>4</v>
      </c>
      <c r="AA13" s="93" t="s">
        <v>12</v>
      </c>
      <c r="AB13" s="97" t="s">
        <v>4</v>
      </c>
      <c r="AC13" s="97" t="s">
        <v>1</v>
      </c>
      <c r="AD13" s="97" t="s">
        <v>10</v>
      </c>
      <c r="AE13" s="97" t="s">
        <v>10</v>
      </c>
      <c r="AF13" s="97" t="s">
        <v>21</v>
      </c>
      <c r="AG13" s="97" t="s">
        <v>22</v>
      </c>
      <c r="AH13" s="97" t="s">
        <v>4</v>
      </c>
      <c r="AI13" s="97" t="s">
        <v>8</v>
      </c>
      <c r="AJ13" s="97" t="s">
        <v>3</v>
      </c>
      <c r="AK13" s="97" t="s">
        <v>12</v>
      </c>
      <c r="AL13" s="97" t="s">
        <v>8</v>
      </c>
      <c r="AM13" s="97" t="s">
        <v>16</v>
      </c>
      <c r="AN13" s="97" t="s">
        <v>25</v>
      </c>
      <c r="AO13" s="93" t="s">
        <v>4</v>
      </c>
      <c r="AP13" s="93" t="s">
        <v>1</v>
      </c>
      <c r="AQ13" s="93" t="s">
        <v>8</v>
      </c>
      <c r="AR13" s="93" t="s">
        <v>12</v>
      </c>
      <c r="AS13" s="93" t="s">
        <v>1</v>
      </c>
      <c r="AT13" s="7"/>
      <c r="AU13" s="17"/>
      <c r="AV13" s="7"/>
      <c r="AW13" s="7"/>
    </row>
    <row r="14" spans="1:49" ht="15" customHeight="1" x14ac:dyDescent="0.3">
      <c r="A14" s="93" t="s">
        <v>1</v>
      </c>
      <c r="B14" s="93" t="s">
        <v>6</v>
      </c>
      <c r="C14" s="93" t="s">
        <v>15</v>
      </c>
      <c r="D14" s="93" t="s">
        <v>22</v>
      </c>
      <c r="E14" s="93" t="s">
        <v>11</v>
      </c>
      <c r="F14" s="93" t="s">
        <v>23</v>
      </c>
      <c r="G14" s="93" t="s">
        <v>3</v>
      </c>
      <c r="H14" s="93" t="s">
        <v>4</v>
      </c>
      <c r="I14" s="93" t="s">
        <v>13</v>
      </c>
      <c r="J14" s="93" t="s">
        <v>1</v>
      </c>
      <c r="K14" s="93" t="s">
        <v>17</v>
      </c>
      <c r="L14" s="93" t="s">
        <v>2</v>
      </c>
      <c r="M14" s="93" t="s">
        <v>10</v>
      </c>
      <c r="N14" s="93" t="s">
        <v>13</v>
      </c>
      <c r="O14" s="93" t="s">
        <v>2</v>
      </c>
      <c r="P14" s="93" t="s">
        <v>5</v>
      </c>
      <c r="Q14" s="93" t="s">
        <v>9</v>
      </c>
      <c r="R14" s="93" t="s">
        <v>23</v>
      </c>
      <c r="S14" s="93" t="s">
        <v>19</v>
      </c>
      <c r="T14" s="93" t="s">
        <v>13</v>
      </c>
      <c r="U14" s="93" t="s">
        <v>4</v>
      </c>
      <c r="V14" s="93" t="s">
        <v>3</v>
      </c>
      <c r="W14" s="93" t="s">
        <v>1</v>
      </c>
      <c r="X14" s="93" t="s">
        <v>10</v>
      </c>
      <c r="Y14" s="93" t="s">
        <v>13</v>
      </c>
      <c r="Z14" s="93" t="s">
        <v>14</v>
      </c>
      <c r="AA14" s="93" t="s">
        <v>22</v>
      </c>
      <c r="AB14" s="97" t="s">
        <v>12</v>
      </c>
      <c r="AC14" s="97" t="s">
        <v>8</v>
      </c>
      <c r="AD14" s="97" t="s">
        <v>13</v>
      </c>
      <c r="AE14" s="97" t="s">
        <v>22</v>
      </c>
      <c r="AF14" s="97" t="s">
        <v>1</v>
      </c>
      <c r="AG14" s="97" t="s">
        <v>21</v>
      </c>
      <c r="AH14" s="97" t="s">
        <v>11</v>
      </c>
      <c r="AI14" s="97" t="s">
        <v>1</v>
      </c>
      <c r="AJ14" s="97" t="s">
        <v>7</v>
      </c>
      <c r="AK14" s="97" t="s">
        <v>14</v>
      </c>
      <c r="AL14" s="97" t="s">
        <v>23</v>
      </c>
      <c r="AM14" s="97" t="s">
        <v>1</v>
      </c>
      <c r="AN14" s="97" t="s">
        <v>0</v>
      </c>
      <c r="AO14" s="93" t="s">
        <v>4</v>
      </c>
      <c r="AP14" s="93" t="s">
        <v>0</v>
      </c>
      <c r="AQ14" s="93" t="s">
        <v>10</v>
      </c>
      <c r="AR14" s="93" t="s">
        <v>11</v>
      </c>
      <c r="AS14" s="93" t="s">
        <v>12</v>
      </c>
      <c r="AU14" s="15"/>
      <c r="AV14" s="7"/>
      <c r="AW14" s="7"/>
    </row>
    <row r="15" spans="1:49" ht="15" customHeight="1" x14ac:dyDescent="0.3">
      <c r="A15" s="93" t="s">
        <v>2</v>
      </c>
      <c r="B15" s="93" t="s">
        <v>15</v>
      </c>
      <c r="C15" s="93" t="s">
        <v>10</v>
      </c>
      <c r="D15" s="93" t="s">
        <v>3</v>
      </c>
      <c r="E15" s="93" t="s">
        <v>5</v>
      </c>
      <c r="F15" s="93" t="s">
        <v>13</v>
      </c>
      <c r="G15" s="93" t="s">
        <v>6</v>
      </c>
      <c r="H15" s="93" t="s">
        <v>2</v>
      </c>
      <c r="I15" s="93" t="s">
        <v>5</v>
      </c>
      <c r="J15" s="93" t="s">
        <v>23</v>
      </c>
      <c r="K15" s="93" t="s">
        <v>13</v>
      </c>
      <c r="L15" s="93" t="s">
        <v>13</v>
      </c>
      <c r="M15" s="93" t="s">
        <v>14</v>
      </c>
      <c r="N15" s="93" t="s">
        <v>3</v>
      </c>
      <c r="O15" s="93" t="s">
        <v>10</v>
      </c>
      <c r="P15" s="93" t="s">
        <v>7</v>
      </c>
      <c r="Q15" s="93" t="s">
        <v>6</v>
      </c>
      <c r="R15" s="93" t="s">
        <v>9</v>
      </c>
      <c r="S15" s="93" t="s">
        <v>14</v>
      </c>
      <c r="T15" s="93" t="s">
        <v>11</v>
      </c>
      <c r="U15" s="93" t="s">
        <v>10</v>
      </c>
      <c r="V15" s="93" t="s">
        <v>1</v>
      </c>
      <c r="W15" s="93" t="s">
        <v>4</v>
      </c>
      <c r="X15" s="93" t="s">
        <v>9</v>
      </c>
      <c r="Y15" s="93" t="s">
        <v>18</v>
      </c>
      <c r="Z15" s="93" t="s">
        <v>20</v>
      </c>
      <c r="AA15" s="93" t="s">
        <v>16</v>
      </c>
      <c r="AB15" s="97" t="s">
        <v>10</v>
      </c>
      <c r="AC15" s="97" t="s">
        <v>13</v>
      </c>
      <c r="AD15" s="97" t="s">
        <v>12</v>
      </c>
      <c r="AE15" s="97" t="s">
        <v>5</v>
      </c>
      <c r="AF15" s="97" t="s">
        <v>10</v>
      </c>
      <c r="AG15" s="97" t="s">
        <v>23</v>
      </c>
      <c r="AH15" s="97" t="s">
        <v>5</v>
      </c>
      <c r="AI15" s="97" t="s">
        <v>1</v>
      </c>
      <c r="AJ15" s="97" t="s">
        <v>24</v>
      </c>
      <c r="AK15" s="97" t="s">
        <v>13</v>
      </c>
      <c r="AL15" s="97" t="s">
        <v>13</v>
      </c>
      <c r="AM15" s="97" t="s">
        <v>3</v>
      </c>
      <c r="AN15" s="97" t="s">
        <v>8</v>
      </c>
      <c r="AO15" s="93" t="s">
        <v>6</v>
      </c>
      <c r="AP15" s="93" t="s">
        <v>1</v>
      </c>
      <c r="AQ15" s="93" t="s">
        <v>8</v>
      </c>
      <c r="AR15" s="93" t="s">
        <v>18</v>
      </c>
      <c r="AS15" s="93" t="s">
        <v>1</v>
      </c>
      <c r="AT15" s="7"/>
      <c r="AU15" s="21"/>
      <c r="AV15" s="7"/>
      <c r="AW15" s="7"/>
    </row>
    <row r="16" spans="1:49" ht="15" customHeight="1" x14ac:dyDescent="0.3">
      <c r="A16" s="93" t="s">
        <v>6</v>
      </c>
      <c r="B16" s="93" t="s">
        <v>13</v>
      </c>
      <c r="C16" s="93" t="s">
        <v>4</v>
      </c>
      <c r="D16" s="93" t="s">
        <v>7</v>
      </c>
      <c r="E16" s="93" t="s">
        <v>1</v>
      </c>
      <c r="F16" s="93" t="s">
        <v>19</v>
      </c>
      <c r="G16" s="93" t="s">
        <v>12</v>
      </c>
      <c r="H16" s="93" t="s">
        <v>1</v>
      </c>
      <c r="I16" s="93" t="s">
        <v>13</v>
      </c>
      <c r="J16" s="93" t="s">
        <v>8</v>
      </c>
      <c r="K16" s="93" t="s">
        <v>14</v>
      </c>
      <c r="L16" s="93" t="s">
        <v>11</v>
      </c>
      <c r="M16" s="93" t="s">
        <v>12</v>
      </c>
      <c r="N16" s="93" t="s">
        <v>9</v>
      </c>
      <c r="O16" s="93" t="s">
        <v>13</v>
      </c>
      <c r="P16" s="93" t="s">
        <v>13</v>
      </c>
      <c r="Q16" s="93" t="s">
        <v>13</v>
      </c>
      <c r="R16" s="93" t="s">
        <v>10</v>
      </c>
      <c r="S16" s="93" t="s">
        <v>13</v>
      </c>
      <c r="T16" s="93" t="s">
        <v>23</v>
      </c>
      <c r="U16" s="93" t="s">
        <v>5</v>
      </c>
      <c r="V16" s="93" t="s">
        <v>24</v>
      </c>
      <c r="W16" s="93" t="s">
        <v>11</v>
      </c>
      <c r="X16" s="93" t="s">
        <v>17</v>
      </c>
      <c r="Y16" s="93" t="s">
        <v>13</v>
      </c>
      <c r="Z16" s="93" t="s">
        <v>5</v>
      </c>
      <c r="AA16" s="93" t="s">
        <v>8</v>
      </c>
      <c r="AB16" s="97" t="s">
        <v>8</v>
      </c>
      <c r="AC16" s="97" t="s">
        <v>18</v>
      </c>
      <c r="AD16" s="97" t="s">
        <v>15</v>
      </c>
      <c r="AE16" s="97" t="s">
        <v>1</v>
      </c>
      <c r="AF16" s="97" t="s">
        <v>18</v>
      </c>
      <c r="AG16" s="97" t="s">
        <v>4</v>
      </c>
      <c r="AH16" s="97" t="s">
        <v>12</v>
      </c>
      <c r="AI16" s="97" t="s">
        <v>8</v>
      </c>
      <c r="AJ16" s="97" t="s">
        <v>0</v>
      </c>
      <c r="AK16" s="97" t="s">
        <v>21</v>
      </c>
      <c r="AL16" s="97" t="s">
        <v>8</v>
      </c>
      <c r="AM16" s="97" t="s">
        <v>1</v>
      </c>
      <c r="AN16" s="97" t="s">
        <v>1</v>
      </c>
      <c r="AO16" s="93" t="s">
        <v>4</v>
      </c>
      <c r="AP16" s="93" t="s">
        <v>14</v>
      </c>
      <c r="AQ16" s="93" t="s">
        <v>13</v>
      </c>
      <c r="AR16" s="93" t="s">
        <v>1</v>
      </c>
      <c r="AS16" s="93" t="s">
        <v>8</v>
      </c>
      <c r="AT16" s="7"/>
      <c r="AU16" s="22"/>
      <c r="AV16" s="7"/>
      <c r="AW16" s="7"/>
    </row>
    <row r="17" spans="1:49 16384:16384" ht="15" customHeight="1" thickBot="1" x14ac:dyDescent="0.35">
      <c r="A17" s="93" t="s">
        <v>6</v>
      </c>
      <c r="B17" s="93" t="s">
        <v>11</v>
      </c>
      <c r="C17" s="93" t="s">
        <v>14</v>
      </c>
      <c r="D17" s="93" t="s">
        <v>18</v>
      </c>
      <c r="E17" s="93" t="s">
        <v>13</v>
      </c>
      <c r="F17" s="93" t="s">
        <v>10</v>
      </c>
      <c r="G17" s="93" t="s">
        <v>13</v>
      </c>
      <c r="H17" s="93" t="s">
        <v>3</v>
      </c>
      <c r="I17" s="93" t="s">
        <v>22</v>
      </c>
      <c r="J17" s="93" t="s">
        <v>3</v>
      </c>
      <c r="K17" s="93" t="s">
        <v>5</v>
      </c>
      <c r="L17" s="93" t="s">
        <v>3</v>
      </c>
      <c r="M17" s="93" t="s">
        <v>7</v>
      </c>
      <c r="N17" s="93" t="s">
        <v>10</v>
      </c>
      <c r="O17" s="93" t="s">
        <v>8</v>
      </c>
      <c r="P17" s="93" t="s">
        <v>8</v>
      </c>
      <c r="Q17" s="93" t="s">
        <v>26</v>
      </c>
      <c r="R17" s="93" t="s">
        <v>13</v>
      </c>
      <c r="S17" s="93" t="s">
        <v>4</v>
      </c>
      <c r="T17" s="93" t="s">
        <v>8</v>
      </c>
      <c r="U17" s="93" t="s">
        <v>10</v>
      </c>
      <c r="V17" s="93" t="s">
        <v>6</v>
      </c>
      <c r="W17" s="93" t="s">
        <v>8</v>
      </c>
      <c r="X17" s="93" t="s">
        <v>10</v>
      </c>
      <c r="Y17" s="93" t="s">
        <v>0</v>
      </c>
      <c r="Z17" s="93" t="s">
        <v>5</v>
      </c>
      <c r="AA17" s="93" t="s">
        <v>1</v>
      </c>
      <c r="AB17" s="97" t="s">
        <v>8</v>
      </c>
      <c r="AC17" s="97" t="s">
        <v>20</v>
      </c>
      <c r="AD17" s="97" t="s">
        <v>1</v>
      </c>
      <c r="AE17" s="97" t="s">
        <v>6</v>
      </c>
      <c r="AF17" s="97" t="s">
        <v>2</v>
      </c>
      <c r="AG17" s="97" t="s">
        <v>10</v>
      </c>
      <c r="AH17" s="97" t="s">
        <v>10</v>
      </c>
      <c r="AI17" s="97" t="s">
        <v>19</v>
      </c>
      <c r="AJ17" s="97" t="s">
        <v>11</v>
      </c>
      <c r="AK17" s="97" t="s">
        <v>26</v>
      </c>
      <c r="AL17" s="97" t="s">
        <v>8</v>
      </c>
      <c r="AM17" s="97" t="s">
        <v>8</v>
      </c>
      <c r="AN17" s="97" t="s">
        <v>15</v>
      </c>
      <c r="AO17" s="93" t="s">
        <v>20</v>
      </c>
      <c r="AP17" s="93" t="s">
        <v>10</v>
      </c>
      <c r="AQ17" s="93" t="s">
        <v>11</v>
      </c>
      <c r="AR17" s="93" t="s">
        <v>20</v>
      </c>
      <c r="AS17" s="93" t="s">
        <v>24</v>
      </c>
      <c r="AT17" s="7"/>
      <c r="AU17" s="16"/>
      <c r="AV17" s="7"/>
      <c r="AW17" s="7"/>
    </row>
    <row r="18" spans="1:49 16384:16384" ht="15" customHeight="1" thickTop="1" thickBot="1" x14ac:dyDescent="0.35">
      <c r="A18" s="93" t="s">
        <v>1</v>
      </c>
      <c r="B18" s="93" t="s">
        <v>20</v>
      </c>
      <c r="C18" s="93" t="s">
        <v>8</v>
      </c>
      <c r="D18" s="93" t="s">
        <v>8</v>
      </c>
      <c r="E18" s="93" t="s">
        <v>10</v>
      </c>
      <c r="F18" s="93" t="s">
        <v>15</v>
      </c>
      <c r="G18" s="93" t="s">
        <v>21</v>
      </c>
      <c r="H18" s="93" t="s">
        <v>8</v>
      </c>
      <c r="I18" s="93" t="s">
        <v>8</v>
      </c>
      <c r="J18" s="93" t="s">
        <v>10</v>
      </c>
      <c r="K18" s="93" t="s">
        <v>10</v>
      </c>
      <c r="L18" s="93" t="s">
        <v>14</v>
      </c>
      <c r="M18" s="93" t="s">
        <v>8</v>
      </c>
      <c r="N18" s="93" t="s">
        <v>4</v>
      </c>
      <c r="O18" s="93" t="s">
        <v>1</v>
      </c>
      <c r="P18" s="93" t="s">
        <v>2</v>
      </c>
      <c r="Q18" s="93" t="s">
        <v>13</v>
      </c>
      <c r="R18" s="93" t="s">
        <v>8</v>
      </c>
      <c r="S18" s="93" t="s">
        <v>8</v>
      </c>
      <c r="T18" s="93" t="s">
        <v>8</v>
      </c>
      <c r="U18" s="93" t="s">
        <v>4</v>
      </c>
      <c r="V18" s="93" t="s">
        <v>3</v>
      </c>
      <c r="W18" s="93" t="s">
        <v>11</v>
      </c>
      <c r="X18" s="93" t="s">
        <v>8</v>
      </c>
      <c r="Y18" s="93" t="s">
        <v>18</v>
      </c>
      <c r="Z18" s="93" t="s">
        <v>11</v>
      </c>
      <c r="AA18" s="93" t="s">
        <v>23</v>
      </c>
      <c r="AB18" s="97" t="s">
        <v>13</v>
      </c>
      <c r="AC18" s="97" t="s">
        <v>3</v>
      </c>
      <c r="AD18" s="97" t="s">
        <v>10</v>
      </c>
      <c r="AE18" s="97" t="s">
        <v>12</v>
      </c>
      <c r="AF18" s="97" t="s">
        <v>11</v>
      </c>
      <c r="AG18" s="97" t="s">
        <v>9</v>
      </c>
      <c r="AH18" s="97" t="s">
        <v>12</v>
      </c>
      <c r="AI18" s="97" t="s">
        <v>1</v>
      </c>
      <c r="AJ18" s="97" t="s">
        <v>9</v>
      </c>
      <c r="AK18" s="97" t="s">
        <v>9</v>
      </c>
      <c r="AL18" s="97" t="s">
        <v>1</v>
      </c>
      <c r="AM18" s="97" t="s">
        <v>16</v>
      </c>
      <c r="AN18" s="97" t="s">
        <v>4</v>
      </c>
      <c r="AO18" s="93" t="s">
        <v>24</v>
      </c>
      <c r="AP18" s="93" t="s">
        <v>1</v>
      </c>
      <c r="AQ18" s="93" t="s">
        <v>5</v>
      </c>
      <c r="AR18" s="93" t="s">
        <v>18</v>
      </c>
      <c r="AS18" s="93" t="s">
        <v>21</v>
      </c>
      <c r="AT18" s="90"/>
      <c r="AU18" s="23"/>
      <c r="AV18" s="7"/>
      <c r="AW18" s="7"/>
    </row>
    <row r="19" spans="1:49 16384:16384" ht="15" customHeight="1" thickTop="1" x14ac:dyDescent="0.3">
      <c r="A19" s="93" t="s">
        <v>13</v>
      </c>
      <c r="B19" s="93" t="s">
        <v>10</v>
      </c>
      <c r="C19" s="93" t="s">
        <v>18</v>
      </c>
      <c r="D19" s="93" t="s">
        <v>18</v>
      </c>
      <c r="E19" s="93" t="s">
        <v>5</v>
      </c>
      <c r="F19" s="93" t="s">
        <v>4</v>
      </c>
      <c r="G19" s="93" t="s">
        <v>11</v>
      </c>
      <c r="H19" s="93" t="s">
        <v>2</v>
      </c>
      <c r="I19" s="93" t="s">
        <v>1</v>
      </c>
      <c r="J19" s="93" t="s">
        <v>7</v>
      </c>
      <c r="K19" s="93" t="s">
        <v>6</v>
      </c>
      <c r="L19" s="93" t="s">
        <v>4</v>
      </c>
      <c r="M19" s="93" t="s">
        <v>12</v>
      </c>
      <c r="N19" s="93" t="s">
        <v>4</v>
      </c>
      <c r="O19" s="93" t="s">
        <v>19</v>
      </c>
      <c r="P19" s="93" t="s">
        <v>4</v>
      </c>
      <c r="Q19" s="93" t="s">
        <v>25</v>
      </c>
      <c r="R19" s="93" t="s">
        <v>17</v>
      </c>
      <c r="S19" s="93" t="s">
        <v>12</v>
      </c>
      <c r="T19" s="93" t="s">
        <v>15</v>
      </c>
      <c r="U19" s="93" t="s">
        <v>1</v>
      </c>
      <c r="V19" s="93" t="s">
        <v>2</v>
      </c>
      <c r="W19" s="93" t="s">
        <v>22</v>
      </c>
      <c r="X19" s="93" t="s">
        <v>8</v>
      </c>
      <c r="Y19" s="93" t="s">
        <v>12</v>
      </c>
      <c r="Z19" s="93" t="s">
        <v>12</v>
      </c>
      <c r="AA19" s="93" t="s">
        <v>6</v>
      </c>
      <c r="AB19" s="93" t="s">
        <v>6</v>
      </c>
      <c r="AC19" s="93" t="s">
        <v>8</v>
      </c>
      <c r="AD19" s="93" t="s">
        <v>26</v>
      </c>
      <c r="AE19" s="93" t="s">
        <v>3</v>
      </c>
      <c r="AF19" s="93" t="s">
        <v>10</v>
      </c>
      <c r="AG19" s="93" t="s">
        <v>21</v>
      </c>
      <c r="AH19" s="93" t="s">
        <v>24</v>
      </c>
      <c r="AI19" s="93" t="s">
        <v>9</v>
      </c>
      <c r="AJ19" s="93" t="s">
        <v>10</v>
      </c>
      <c r="AK19" s="93" t="s">
        <v>6</v>
      </c>
      <c r="AL19" s="93" t="s">
        <v>6</v>
      </c>
      <c r="AM19" s="93" t="s">
        <v>13</v>
      </c>
      <c r="AN19" s="93" t="s">
        <v>9</v>
      </c>
      <c r="AO19" s="93" t="s">
        <v>12</v>
      </c>
      <c r="AP19" s="93" t="s">
        <v>1</v>
      </c>
      <c r="AQ19" s="93" t="s">
        <v>24</v>
      </c>
      <c r="AR19" s="93" t="s">
        <v>8</v>
      </c>
      <c r="AS19" s="93" t="s">
        <v>13</v>
      </c>
      <c r="AT19" s="7"/>
      <c r="AU19" s="19"/>
      <c r="AV19" s="7"/>
      <c r="AW19" s="7"/>
    </row>
    <row r="20" spans="1:49 16384:16384" ht="15" customHeight="1" x14ac:dyDescent="0.3">
      <c r="A20" s="93" t="s">
        <v>8</v>
      </c>
      <c r="B20" s="93" t="s">
        <v>13</v>
      </c>
      <c r="C20" s="93" t="s">
        <v>15</v>
      </c>
      <c r="D20" s="93" t="s">
        <v>17</v>
      </c>
      <c r="E20" s="93" t="s">
        <v>22</v>
      </c>
      <c r="F20" s="93" t="s">
        <v>2</v>
      </c>
      <c r="G20" s="93" t="s">
        <v>11</v>
      </c>
      <c r="H20" s="93" t="s">
        <v>8</v>
      </c>
      <c r="I20" s="93" t="s">
        <v>14</v>
      </c>
      <c r="J20" s="93" t="s">
        <v>22</v>
      </c>
      <c r="K20" s="93" t="s">
        <v>1</v>
      </c>
      <c r="L20" s="93" t="s">
        <v>6</v>
      </c>
      <c r="M20" s="93" t="s">
        <v>10</v>
      </c>
      <c r="N20" s="93" t="s">
        <v>16</v>
      </c>
      <c r="O20" s="93" t="s">
        <v>24</v>
      </c>
      <c r="P20" s="93" t="s">
        <v>6</v>
      </c>
      <c r="Q20" s="93" t="s">
        <v>2</v>
      </c>
      <c r="R20" s="93" t="s">
        <v>10</v>
      </c>
      <c r="S20" s="93" t="s">
        <v>24</v>
      </c>
      <c r="T20" s="93" t="s">
        <v>14</v>
      </c>
      <c r="U20" s="93" t="s">
        <v>8</v>
      </c>
      <c r="V20" s="93" t="s">
        <v>5</v>
      </c>
      <c r="W20" s="93" t="s">
        <v>13</v>
      </c>
      <c r="X20" s="93" t="s">
        <v>1</v>
      </c>
      <c r="Y20" s="93" t="s">
        <v>0</v>
      </c>
      <c r="Z20" s="93" t="s">
        <v>11</v>
      </c>
      <c r="AA20" s="93" t="s">
        <v>4</v>
      </c>
      <c r="AB20" s="93" t="s">
        <v>20</v>
      </c>
      <c r="AC20" s="93" t="s">
        <v>0</v>
      </c>
      <c r="AD20" s="93" t="s">
        <v>12</v>
      </c>
      <c r="AE20" s="93" t="s">
        <v>6</v>
      </c>
      <c r="AF20" s="93" t="s">
        <v>22</v>
      </c>
      <c r="AG20" s="93" t="s">
        <v>56</v>
      </c>
      <c r="AH20" s="93" t="s">
        <v>11</v>
      </c>
      <c r="AI20" s="93" t="s">
        <v>8</v>
      </c>
      <c r="AJ20" s="93" t="s">
        <v>7</v>
      </c>
      <c r="AK20" s="93" t="s">
        <v>21</v>
      </c>
      <c r="AL20" s="93" t="s">
        <v>7</v>
      </c>
      <c r="AM20" s="93" t="s">
        <v>7</v>
      </c>
      <c r="AN20" s="93" t="s">
        <v>10</v>
      </c>
      <c r="AO20" s="93" t="s">
        <v>1</v>
      </c>
      <c r="AP20" s="93" t="s">
        <v>1</v>
      </c>
      <c r="AQ20" s="93" t="s">
        <v>1</v>
      </c>
      <c r="AR20" s="93" t="s">
        <v>1</v>
      </c>
      <c r="AS20" s="93" t="s">
        <v>8</v>
      </c>
      <c r="AT20" s="7"/>
      <c r="AU20" s="20"/>
      <c r="AV20" s="7"/>
      <c r="AW20" s="7"/>
    </row>
    <row r="21" spans="1:49 16384:16384" ht="15" customHeight="1" x14ac:dyDescent="0.3">
      <c r="A21" s="93" t="s">
        <v>2</v>
      </c>
      <c r="B21" s="93" t="s">
        <v>14</v>
      </c>
      <c r="C21" s="93" t="s">
        <v>0</v>
      </c>
      <c r="D21" s="93" t="s">
        <v>15</v>
      </c>
      <c r="E21" s="93" t="s">
        <v>3</v>
      </c>
      <c r="F21" s="93" t="s">
        <v>9</v>
      </c>
      <c r="G21" s="93" t="s">
        <v>1</v>
      </c>
      <c r="H21" s="93" t="s">
        <v>1</v>
      </c>
      <c r="I21" s="93" t="s">
        <v>25</v>
      </c>
      <c r="J21" s="93" t="s">
        <v>9</v>
      </c>
      <c r="K21" s="93" t="s">
        <v>0</v>
      </c>
      <c r="L21" s="93" t="s">
        <v>1</v>
      </c>
      <c r="M21" s="93" t="s">
        <v>2</v>
      </c>
      <c r="N21" s="93" t="s">
        <v>3</v>
      </c>
      <c r="O21" s="93" t="s">
        <v>10</v>
      </c>
      <c r="P21" s="93" t="s">
        <v>4</v>
      </c>
      <c r="Q21" s="93" t="s">
        <v>8</v>
      </c>
      <c r="R21" s="93" t="s">
        <v>20</v>
      </c>
      <c r="S21" s="93" t="s">
        <v>13</v>
      </c>
      <c r="T21" s="93" t="s">
        <v>13</v>
      </c>
      <c r="U21" s="93" t="s">
        <v>1</v>
      </c>
      <c r="V21" s="93" t="s">
        <v>1</v>
      </c>
      <c r="W21" s="93" t="s">
        <v>10</v>
      </c>
      <c r="X21" s="93" t="s">
        <v>3</v>
      </c>
      <c r="Y21" s="93" t="s">
        <v>0</v>
      </c>
      <c r="Z21" s="93" t="s">
        <v>6</v>
      </c>
      <c r="AA21" s="93" t="s">
        <v>10</v>
      </c>
      <c r="AB21" s="93" t="s">
        <v>8</v>
      </c>
      <c r="AC21" s="93" t="s">
        <v>3</v>
      </c>
      <c r="AD21" s="93" t="s">
        <v>1</v>
      </c>
      <c r="AE21" s="93" t="s">
        <v>3</v>
      </c>
      <c r="AF21" s="93" t="s">
        <v>11</v>
      </c>
      <c r="AG21" s="93" t="s">
        <v>25</v>
      </c>
      <c r="AH21" s="93" t="s">
        <v>11</v>
      </c>
      <c r="AI21" s="93" t="s">
        <v>14</v>
      </c>
      <c r="AJ21" s="93" t="s">
        <v>2</v>
      </c>
      <c r="AK21" s="93" t="s">
        <v>23</v>
      </c>
      <c r="AL21" s="93" t="s">
        <v>1</v>
      </c>
      <c r="AM21" s="93" t="s">
        <v>4</v>
      </c>
      <c r="AN21" s="93" t="s">
        <v>11</v>
      </c>
      <c r="AO21" s="93" t="s">
        <v>1</v>
      </c>
      <c r="AP21" s="93" t="s">
        <v>8</v>
      </c>
      <c r="AQ21" s="93" t="s">
        <v>2</v>
      </c>
      <c r="AR21" s="93" t="s">
        <v>1</v>
      </c>
      <c r="AS21" s="93" t="s">
        <v>23</v>
      </c>
      <c r="AT21" s="7"/>
      <c r="AU21" s="24"/>
      <c r="AV21" s="7"/>
      <c r="AW21" s="7"/>
    </row>
    <row r="22" spans="1:49 16384:16384" ht="15" customHeight="1" x14ac:dyDescent="0.3">
      <c r="A22" s="93" t="s">
        <v>13</v>
      </c>
      <c r="B22" s="93" t="s">
        <v>8</v>
      </c>
      <c r="C22" s="93" t="s">
        <v>0</v>
      </c>
      <c r="D22" s="93" t="s">
        <v>13</v>
      </c>
      <c r="E22" s="93" t="s">
        <v>4</v>
      </c>
      <c r="F22" s="93" t="s">
        <v>13</v>
      </c>
      <c r="G22" s="93" t="s">
        <v>5</v>
      </c>
      <c r="H22" s="93" t="s">
        <v>18</v>
      </c>
      <c r="I22" s="93" t="s">
        <v>4</v>
      </c>
      <c r="J22" s="93" t="s">
        <v>5</v>
      </c>
      <c r="K22" s="93" t="s">
        <v>6</v>
      </c>
      <c r="L22" s="93" t="s">
        <v>17</v>
      </c>
      <c r="M22" s="93" t="s">
        <v>7</v>
      </c>
      <c r="N22" s="93" t="s">
        <v>1</v>
      </c>
      <c r="O22" s="93" t="s">
        <v>5</v>
      </c>
      <c r="P22" s="93" t="s">
        <v>22</v>
      </c>
      <c r="Q22" s="93" t="s">
        <v>20</v>
      </c>
      <c r="R22" s="93" t="s">
        <v>1</v>
      </c>
      <c r="S22" s="93" t="s">
        <v>7</v>
      </c>
      <c r="T22" s="93" t="s">
        <v>22</v>
      </c>
      <c r="U22" s="93" t="s">
        <v>7</v>
      </c>
      <c r="V22" s="93" t="s">
        <v>13</v>
      </c>
      <c r="W22" s="93" t="s">
        <v>18</v>
      </c>
      <c r="X22" s="93" t="s">
        <v>4</v>
      </c>
      <c r="Y22" s="93" t="s">
        <v>7</v>
      </c>
      <c r="Z22" s="93" t="s">
        <v>12</v>
      </c>
      <c r="AA22" s="93" t="s">
        <v>13</v>
      </c>
      <c r="AB22" s="93" t="s">
        <v>11</v>
      </c>
      <c r="AC22" s="93" t="s">
        <v>2</v>
      </c>
      <c r="AD22" s="93" t="s">
        <v>16</v>
      </c>
      <c r="AE22" s="93" t="s">
        <v>4</v>
      </c>
      <c r="AF22" s="93" t="s">
        <v>18</v>
      </c>
      <c r="AG22" s="93" t="s">
        <v>12</v>
      </c>
      <c r="AH22" s="93" t="s">
        <v>4</v>
      </c>
      <c r="AI22" s="93" t="s">
        <v>21</v>
      </c>
      <c r="AJ22" s="93" t="s">
        <v>6</v>
      </c>
      <c r="AK22" s="93" t="s">
        <v>13</v>
      </c>
      <c r="AL22" s="93" t="s">
        <v>6</v>
      </c>
      <c r="AM22" s="93" t="s">
        <v>5</v>
      </c>
      <c r="AN22" s="93" t="s">
        <v>5</v>
      </c>
      <c r="AO22" s="93" t="s">
        <v>13</v>
      </c>
      <c r="AP22" s="93" t="s">
        <v>12</v>
      </c>
      <c r="AQ22" s="93" t="s">
        <v>13</v>
      </c>
      <c r="AR22" s="93" t="s">
        <v>4</v>
      </c>
      <c r="AS22" s="93" t="s">
        <v>3</v>
      </c>
      <c r="AT22" s="7"/>
      <c r="AU22" s="25"/>
      <c r="AV22" s="7"/>
      <c r="AW22" s="7"/>
    </row>
    <row r="23" spans="1:49 16384:16384" ht="15" customHeight="1" x14ac:dyDescent="0.3">
      <c r="A23" s="93" t="s">
        <v>2</v>
      </c>
      <c r="B23" s="93" t="s">
        <v>15</v>
      </c>
      <c r="C23" s="93" t="s">
        <v>17</v>
      </c>
      <c r="D23" s="93" t="s">
        <v>15</v>
      </c>
      <c r="E23" s="93" t="s">
        <v>4</v>
      </c>
      <c r="F23" s="93" t="s">
        <v>9</v>
      </c>
      <c r="G23" s="93" t="s">
        <v>10</v>
      </c>
      <c r="H23" s="93" t="s">
        <v>13</v>
      </c>
      <c r="I23" s="93" t="s">
        <v>14</v>
      </c>
      <c r="J23" s="93" t="s">
        <v>10</v>
      </c>
      <c r="K23" s="93" t="s">
        <v>25</v>
      </c>
      <c r="L23" s="93" t="s">
        <v>11</v>
      </c>
      <c r="M23" s="93" t="s">
        <v>23</v>
      </c>
      <c r="N23" s="93" t="s">
        <v>10</v>
      </c>
      <c r="O23" s="93" t="s">
        <v>2</v>
      </c>
      <c r="P23" s="93" t="s">
        <v>12</v>
      </c>
      <c r="Q23" s="93" t="s">
        <v>1</v>
      </c>
      <c r="R23" s="93" t="s">
        <v>13</v>
      </c>
      <c r="S23" s="93" t="s">
        <v>13</v>
      </c>
      <c r="T23" s="93" t="s">
        <v>13</v>
      </c>
      <c r="U23" s="93" t="s">
        <v>7</v>
      </c>
      <c r="V23" s="93" t="s">
        <v>3</v>
      </c>
      <c r="W23" s="93" t="s">
        <v>11</v>
      </c>
      <c r="X23" s="93" t="s">
        <v>13</v>
      </c>
      <c r="Y23" s="93" t="s">
        <v>9</v>
      </c>
      <c r="Z23" s="93" t="s">
        <v>4</v>
      </c>
      <c r="AA23" s="93" t="s">
        <v>7</v>
      </c>
      <c r="AB23" s="93" t="s">
        <v>3</v>
      </c>
      <c r="AC23" s="93" t="s">
        <v>10</v>
      </c>
      <c r="AD23" s="93" t="s">
        <v>20</v>
      </c>
      <c r="AE23" s="93" t="s">
        <v>7</v>
      </c>
      <c r="AF23" s="93" t="s">
        <v>2</v>
      </c>
      <c r="AG23" s="93" t="s">
        <v>6</v>
      </c>
      <c r="AH23" s="93" t="s">
        <v>10</v>
      </c>
      <c r="AI23" s="93" t="s">
        <v>19</v>
      </c>
      <c r="AJ23" s="93" t="s">
        <v>11</v>
      </c>
      <c r="AK23" s="93" t="s">
        <v>1</v>
      </c>
      <c r="AL23" s="93" t="s">
        <v>9</v>
      </c>
      <c r="AM23" s="93" t="s">
        <v>0</v>
      </c>
      <c r="AN23" s="93" t="s">
        <v>20</v>
      </c>
      <c r="AO23" s="93" t="s">
        <v>13</v>
      </c>
      <c r="AP23" s="93" t="s">
        <v>1</v>
      </c>
      <c r="AQ23" s="93" t="s">
        <v>7</v>
      </c>
      <c r="AR23" s="93" t="s">
        <v>1</v>
      </c>
      <c r="AS23" s="93" t="s">
        <v>10</v>
      </c>
      <c r="AT23" s="7"/>
      <c r="AU23" s="26"/>
      <c r="AV23" s="7"/>
      <c r="AW23" s="7"/>
    </row>
    <row r="24" spans="1:49 16384:16384" ht="15" customHeight="1" x14ac:dyDescent="0.3">
      <c r="A24" s="93" t="s">
        <v>17</v>
      </c>
      <c r="B24" s="93" t="s">
        <v>7</v>
      </c>
      <c r="C24" s="93" t="s">
        <v>3</v>
      </c>
      <c r="D24" s="93" t="s">
        <v>1</v>
      </c>
      <c r="E24" s="93" t="s">
        <v>3</v>
      </c>
      <c r="F24" s="93" t="s">
        <v>1</v>
      </c>
      <c r="G24" s="93" t="s">
        <v>13</v>
      </c>
      <c r="H24" s="93" t="s">
        <v>6</v>
      </c>
      <c r="I24" s="93" t="s">
        <v>10</v>
      </c>
      <c r="J24" s="93" t="s">
        <v>14</v>
      </c>
      <c r="K24" s="93" t="s">
        <v>13</v>
      </c>
      <c r="L24" s="93" t="s">
        <v>10</v>
      </c>
      <c r="M24" s="93" t="s">
        <v>13</v>
      </c>
      <c r="N24" s="93" t="s">
        <v>2</v>
      </c>
      <c r="O24" s="93" t="s">
        <v>5</v>
      </c>
      <c r="P24" s="93" t="s">
        <v>4</v>
      </c>
      <c r="Q24" s="93" t="s">
        <v>1</v>
      </c>
      <c r="R24" s="93" t="s">
        <v>10</v>
      </c>
      <c r="S24" s="93" t="s">
        <v>24</v>
      </c>
      <c r="T24" s="93" t="s">
        <v>4</v>
      </c>
      <c r="U24" s="93" t="s">
        <v>1</v>
      </c>
      <c r="V24" s="93" t="s">
        <v>2</v>
      </c>
      <c r="W24" s="93" t="s">
        <v>3</v>
      </c>
      <c r="X24" s="93" t="s">
        <v>5</v>
      </c>
      <c r="Y24" s="93" t="s">
        <v>15</v>
      </c>
      <c r="Z24" s="93" t="s">
        <v>10</v>
      </c>
      <c r="AA24" s="93" t="s">
        <v>8</v>
      </c>
      <c r="AB24" s="93" t="s">
        <v>3</v>
      </c>
      <c r="AC24" s="93" t="s">
        <v>11</v>
      </c>
      <c r="AD24" s="93" t="s">
        <v>12</v>
      </c>
      <c r="AE24" s="93" t="s">
        <v>1</v>
      </c>
      <c r="AF24" s="93" t="s">
        <v>15</v>
      </c>
      <c r="AG24" s="93" t="s">
        <v>24</v>
      </c>
      <c r="AH24" s="93" t="s">
        <v>4</v>
      </c>
      <c r="AI24" s="93" t="s">
        <v>8</v>
      </c>
      <c r="AJ24" s="93" t="s">
        <v>7</v>
      </c>
      <c r="AK24" s="93" t="s">
        <v>21</v>
      </c>
      <c r="AL24" s="93" t="s">
        <v>10</v>
      </c>
      <c r="AM24" s="93" t="s">
        <v>23</v>
      </c>
      <c r="AN24" s="93" t="s">
        <v>9</v>
      </c>
      <c r="AO24" s="93" t="s">
        <v>13</v>
      </c>
      <c r="AP24" s="93" t="s">
        <v>7</v>
      </c>
      <c r="AQ24" s="93" t="s">
        <v>26</v>
      </c>
      <c r="AR24" s="93" t="s">
        <v>6</v>
      </c>
      <c r="AS24" s="93" t="s">
        <v>9</v>
      </c>
      <c r="AT24" s="7"/>
      <c r="AU24" s="15"/>
      <c r="AV24" s="7"/>
      <c r="AW24" s="7"/>
    </row>
    <row r="25" spans="1:49 16384:16384" ht="15" customHeight="1" x14ac:dyDescent="0.3">
      <c r="A25" s="93" t="s">
        <v>8</v>
      </c>
      <c r="B25" s="93" t="s">
        <v>13</v>
      </c>
      <c r="C25" s="93" t="s">
        <v>3</v>
      </c>
      <c r="D25" s="93" t="s">
        <v>13</v>
      </c>
      <c r="E25" s="93" t="s">
        <v>22</v>
      </c>
      <c r="F25" s="93" t="s">
        <v>7</v>
      </c>
      <c r="G25" s="93" t="s">
        <v>23</v>
      </c>
      <c r="H25" s="93" t="s">
        <v>7</v>
      </c>
      <c r="I25" s="93" t="s">
        <v>13</v>
      </c>
      <c r="J25" s="93" t="s">
        <v>3</v>
      </c>
      <c r="K25" s="93" t="s">
        <v>21</v>
      </c>
      <c r="L25" s="93" t="s">
        <v>10</v>
      </c>
      <c r="M25" s="93" t="s">
        <v>8</v>
      </c>
      <c r="N25" s="93" t="s">
        <v>9</v>
      </c>
      <c r="O25" s="93" t="s">
        <v>1</v>
      </c>
      <c r="P25" s="93" t="s">
        <v>3</v>
      </c>
      <c r="Q25" s="93" t="s">
        <v>8</v>
      </c>
      <c r="R25" s="93" t="s">
        <v>13</v>
      </c>
      <c r="S25" s="93" t="s">
        <v>7</v>
      </c>
      <c r="T25" s="93" t="s">
        <v>10</v>
      </c>
      <c r="U25" s="93" t="s">
        <v>7</v>
      </c>
      <c r="V25" s="93" t="s">
        <v>1</v>
      </c>
      <c r="W25" s="93" t="s">
        <v>8</v>
      </c>
      <c r="X25" s="93" t="s">
        <v>7</v>
      </c>
      <c r="Y25" s="93" t="s">
        <v>24</v>
      </c>
      <c r="Z25" s="93" t="s">
        <v>22</v>
      </c>
      <c r="AA25" s="93" t="s">
        <v>12</v>
      </c>
      <c r="AB25" s="93" t="s">
        <v>10</v>
      </c>
      <c r="AC25" s="93" t="s">
        <v>23</v>
      </c>
      <c r="AD25" s="93" t="s">
        <v>13</v>
      </c>
      <c r="AE25" s="93" t="s">
        <v>22</v>
      </c>
      <c r="AF25" s="93" t="s">
        <v>3</v>
      </c>
      <c r="AG25" s="93" t="s">
        <v>13</v>
      </c>
      <c r="AH25" s="93" t="s">
        <v>6</v>
      </c>
      <c r="AI25" s="93" t="s">
        <v>13</v>
      </c>
      <c r="AJ25" s="93" t="s">
        <v>2</v>
      </c>
      <c r="AK25" s="93" t="s">
        <v>10</v>
      </c>
      <c r="AL25" s="93" t="s">
        <v>3</v>
      </c>
      <c r="AM25" s="93" t="s">
        <v>13</v>
      </c>
      <c r="AN25" s="93" t="s">
        <v>26</v>
      </c>
      <c r="AO25" s="93" t="s">
        <v>1</v>
      </c>
      <c r="AP25" s="93" t="s">
        <v>23</v>
      </c>
      <c r="AQ25" s="93" t="s">
        <v>13</v>
      </c>
      <c r="AR25" s="93" t="s">
        <v>4</v>
      </c>
      <c r="AS25" s="93" t="s">
        <v>7</v>
      </c>
      <c r="AT25" s="7"/>
      <c r="AU25" s="14"/>
      <c r="AV25" s="7"/>
      <c r="AW25" s="7"/>
    </row>
    <row r="26" spans="1:49 16384:16384" ht="9.75" customHeight="1" thickBot="1" x14ac:dyDescent="0.3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29"/>
      <c r="AT26" s="7"/>
      <c r="AU26" s="27"/>
      <c r="AV26" s="7"/>
      <c r="AW26" s="7"/>
    </row>
    <row r="27" spans="1:49 16384:16384" ht="16.2" thickBot="1" x14ac:dyDescent="0.35">
      <c r="A27" s="156" t="s">
        <v>71</v>
      </c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28"/>
      <c r="S27" s="28"/>
      <c r="T27" s="7"/>
      <c r="U27" s="7"/>
      <c r="V27" s="7"/>
      <c r="W27" s="88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 16384:16384" ht="16.2" thickBot="1" x14ac:dyDescent="0.3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28"/>
      <c r="S28" s="28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 16384:16384" ht="18.600000000000001" thickTop="1" thickBot="1" x14ac:dyDescent="0.3">
      <c r="A29" s="7"/>
      <c r="B29" s="7" t="s">
        <v>83</v>
      </c>
      <c r="C29" s="76" t="s">
        <v>82</v>
      </c>
      <c r="D29" s="77"/>
      <c r="E29" s="77"/>
      <c r="F29" s="77"/>
      <c r="G29" s="78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 16384:16384" ht="18.600000000000001" thickTop="1" thickBot="1" x14ac:dyDescent="0.3">
      <c r="A30" s="7"/>
      <c r="B30" s="7"/>
      <c r="C30" s="39"/>
      <c r="D30" s="39"/>
      <c r="E30" s="39"/>
      <c r="F30" s="39"/>
      <c r="G30" s="39"/>
      <c r="H30" s="4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 16384:16384" ht="16.5" customHeight="1" thickTop="1" thickBot="1" x14ac:dyDescent="0.35">
      <c r="A31" s="7"/>
      <c r="B31" s="30">
        <v>1</v>
      </c>
      <c r="C31" s="79" t="s">
        <v>31</v>
      </c>
      <c r="D31" s="80"/>
      <c r="E31" s="80"/>
      <c r="F31" s="80"/>
      <c r="G31" s="81"/>
      <c r="H31" s="7"/>
      <c r="I31" s="7"/>
      <c r="J31" s="30">
        <v>8</v>
      </c>
      <c r="K31" s="163" t="s">
        <v>34</v>
      </c>
      <c r="L31" s="164"/>
      <c r="M31" s="164"/>
      <c r="N31" s="164"/>
      <c r="O31" s="165"/>
      <c r="P31" s="7"/>
      <c r="Q31" s="7"/>
      <c r="R31" s="30">
        <v>15</v>
      </c>
      <c r="S31" s="207" t="s">
        <v>41</v>
      </c>
      <c r="T31" s="208"/>
      <c r="U31" s="208"/>
      <c r="V31" s="208"/>
      <c r="W31" s="209"/>
      <c r="X31" s="7"/>
      <c r="Y31" s="7"/>
      <c r="Z31" s="31">
        <v>22</v>
      </c>
      <c r="AA31" s="178" t="s">
        <v>47</v>
      </c>
      <c r="AB31" s="179"/>
      <c r="AC31" s="179"/>
      <c r="AD31" s="179"/>
      <c r="AE31" s="180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XFD31" s="36" t="s">
        <v>54</v>
      </c>
    </row>
    <row r="32" spans="1:49 16384:16384" s="40" customFormat="1" ht="16.5" customHeight="1" thickBot="1" x14ac:dyDescent="0.35">
      <c r="B32" s="41"/>
      <c r="C32" s="42"/>
      <c r="D32" s="42"/>
      <c r="E32" s="42"/>
      <c r="F32" s="42"/>
      <c r="G32" s="42"/>
      <c r="J32" s="41"/>
      <c r="K32" s="43"/>
      <c r="L32" s="43"/>
      <c r="M32" s="43"/>
      <c r="N32" s="43"/>
      <c r="O32" s="43"/>
      <c r="R32" s="41"/>
      <c r="S32" s="44"/>
      <c r="T32" s="44"/>
      <c r="U32" s="44"/>
      <c r="V32" s="44"/>
      <c r="W32" s="44"/>
      <c r="Z32" s="45"/>
      <c r="AA32" s="46"/>
      <c r="AB32" s="46"/>
      <c r="AC32" s="46"/>
      <c r="AD32" s="46"/>
      <c r="AE32" s="46"/>
      <c r="XFD32" s="47"/>
    </row>
    <row r="33" spans="1:49" ht="18.600000000000001" thickTop="1" thickBot="1" x14ac:dyDescent="0.35">
      <c r="A33" s="7"/>
      <c r="B33" s="30">
        <v>2</v>
      </c>
      <c r="C33" s="82" t="s">
        <v>32</v>
      </c>
      <c r="D33" s="83"/>
      <c r="E33" s="83"/>
      <c r="F33" s="83"/>
      <c r="G33" s="84"/>
      <c r="H33" s="7"/>
      <c r="I33" s="7"/>
      <c r="J33" s="30">
        <v>9</v>
      </c>
      <c r="K33" s="166" t="s">
        <v>35</v>
      </c>
      <c r="L33" s="167"/>
      <c r="M33" s="167"/>
      <c r="N33" s="167"/>
      <c r="O33" s="168"/>
      <c r="P33" s="7"/>
      <c r="Q33" s="7"/>
      <c r="R33" s="30">
        <v>16</v>
      </c>
      <c r="S33" s="210" t="s">
        <v>42</v>
      </c>
      <c r="T33" s="211"/>
      <c r="U33" s="211"/>
      <c r="V33" s="211"/>
      <c r="W33" s="212"/>
      <c r="X33" s="7"/>
      <c r="Y33" s="7"/>
      <c r="Z33" s="30">
        <v>23</v>
      </c>
      <c r="AA33" s="181" t="s">
        <v>48</v>
      </c>
      <c r="AB33" s="182"/>
      <c r="AC33" s="182"/>
      <c r="AD33" s="182"/>
      <c r="AE33" s="183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s="40" customFormat="1" ht="18.600000000000001" thickTop="1" thickBot="1" x14ac:dyDescent="0.35">
      <c r="B34" s="41"/>
      <c r="C34" s="65"/>
      <c r="D34" s="65"/>
      <c r="E34" s="65"/>
      <c r="F34" s="65"/>
      <c r="G34" s="65"/>
      <c r="J34" s="41"/>
      <c r="K34" s="66"/>
      <c r="L34" s="66"/>
      <c r="M34" s="66"/>
      <c r="N34" s="66"/>
      <c r="O34" s="66"/>
      <c r="R34" s="41"/>
      <c r="S34" s="52"/>
      <c r="T34" s="52"/>
      <c r="U34" s="52"/>
      <c r="V34" s="52"/>
      <c r="W34" s="52"/>
      <c r="Z34" s="41"/>
      <c r="AA34" s="67"/>
      <c r="AB34" s="67"/>
      <c r="AC34" s="67"/>
      <c r="AD34" s="67"/>
      <c r="AE34" s="67"/>
    </row>
    <row r="35" spans="1:49" ht="18.600000000000001" thickTop="1" thickBot="1" x14ac:dyDescent="0.35">
      <c r="A35" s="7"/>
      <c r="B35" s="30">
        <v>3</v>
      </c>
      <c r="C35" s="157" t="s">
        <v>33</v>
      </c>
      <c r="D35" s="158"/>
      <c r="E35" s="158"/>
      <c r="F35" s="158"/>
      <c r="G35" s="159"/>
      <c r="H35" s="7"/>
      <c r="I35" s="7"/>
      <c r="J35" s="30">
        <v>10</v>
      </c>
      <c r="K35" s="169" t="s">
        <v>36</v>
      </c>
      <c r="L35" s="170"/>
      <c r="M35" s="170"/>
      <c r="N35" s="170"/>
      <c r="O35" s="171"/>
      <c r="P35" s="7"/>
      <c r="Q35" s="7"/>
      <c r="R35" s="30">
        <v>17</v>
      </c>
      <c r="S35" s="213" t="s">
        <v>43</v>
      </c>
      <c r="T35" s="214"/>
      <c r="U35" s="214"/>
      <c r="V35" s="214"/>
      <c r="W35" s="215"/>
      <c r="X35" s="7"/>
      <c r="Y35" s="7"/>
      <c r="Z35" s="30">
        <v>24</v>
      </c>
      <c r="AA35" s="188" t="s">
        <v>49</v>
      </c>
      <c r="AB35" s="189"/>
      <c r="AC35" s="189"/>
      <c r="AD35" s="189"/>
      <c r="AE35" s="190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s="40" customFormat="1" ht="18.600000000000001" thickTop="1" thickBot="1" x14ac:dyDescent="0.35">
      <c r="B36" s="41"/>
      <c r="C36" s="50"/>
      <c r="D36" s="50"/>
      <c r="E36" s="50"/>
      <c r="F36" s="50"/>
      <c r="G36" s="50"/>
      <c r="J36" s="41"/>
      <c r="K36" s="62"/>
      <c r="L36" s="62"/>
      <c r="M36" s="62"/>
      <c r="N36" s="62"/>
      <c r="O36" s="62"/>
      <c r="R36" s="41"/>
      <c r="S36" s="63"/>
      <c r="T36" s="63"/>
      <c r="U36" s="63"/>
      <c r="V36" s="63"/>
      <c r="W36" s="63"/>
      <c r="Z36" s="41"/>
      <c r="AA36" s="64"/>
      <c r="AB36" s="64"/>
      <c r="AC36" s="64"/>
      <c r="AD36" s="64"/>
      <c r="AE36" s="64"/>
    </row>
    <row r="37" spans="1:49" ht="18.600000000000001" thickTop="1" thickBot="1" x14ac:dyDescent="0.35">
      <c r="A37" s="7"/>
      <c r="B37" s="30">
        <v>4</v>
      </c>
      <c r="C37" s="175" t="s">
        <v>30</v>
      </c>
      <c r="D37" s="176"/>
      <c r="E37" s="176"/>
      <c r="F37" s="176"/>
      <c r="G37" s="177"/>
      <c r="H37" s="7"/>
      <c r="I37" s="7"/>
      <c r="J37" s="30">
        <v>11</v>
      </c>
      <c r="K37" s="172" t="s">
        <v>37</v>
      </c>
      <c r="L37" s="173"/>
      <c r="M37" s="173"/>
      <c r="N37" s="173"/>
      <c r="O37" s="174"/>
      <c r="P37" s="7"/>
      <c r="Q37" s="7"/>
      <c r="R37" s="30">
        <v>18</v>
      </c>
      <c r="S37" s="216" t="s">
        <v>44</v>
      </c>
      <c r="T37" s="217"/>
      <c r="U37" s="217"/>
      <c r="V37" s="217"/>
      <c r="W37" s="218"/>
      <c r="X37" s="7"/>
      <c r="Y37" s="7"/>
      <c r="Z37" s="30">
        <v>25</v>
      </c>
      <c r="AA37" s="198" t="s">
        <v>72</v>
      </c>
      <c r="AB37" s="199"/>
      <c r="AC37" s="199"/>
      <c r="AD37" s="199"/>
      <c r="AE37" s="200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s="40" customFormat="1" ht="18" thickBot="1" x14ac:dyDescent="0.35">
      <c r="B38" s="41"/>
      <c r="C38" s="58"/>
      <c r="D38" s="58"/>
      <c r="E38" s="58"/>
      <c r="F38" s="58"/>
      <c r="G38" s="58"/>
      <c r="J38" s="41"/>
      <c r="K38" s="59"/>
      <c r="L38" s="59"/>
      <c r="M38" s="59"/>
      <c r="N38" s="59"/>
      <c r="O38" s="59"/>
      <c r="R38" s="41"/>
      <c r="S38" s="60"/>
      <c r="T38" s="60"/>
      <c r="U38" s="60"/>
      <c r="V38" s="60"/>
      <c r="W38" s="60"/>
      <c r="Z38" s="41"/>
      <c r="AA38" s="61"/>
      <c r="AB38" s="61"/>
      <c r="AC38" s="61"/>
      <c r="AD38" s="61"/>
      <c r="AE38" s="61"/>
    </row>
    <row r="39" spans="1:49" ht="18.600000000000001" thickTop="1" thickBot="1" x14ac:dyDescent="0.35">
      <c r="A39" s="7"/>
      <c r="B39" s="30">
        <v>5</v>
      </c>
      <c r="C39" s="160" t="s">
        <v>29</v>
      </c>
      <c r="D39" s="161"/>
      <c r="E39" s="161"/>
      <c r="F39" s="161"/>
      <c r="G39" s="162"/>
      <c r="H39" s="7"/>
      <c r="I39" s="7"/>
      <c r="J39" s="30">
        <v>12</v>
      </c>
      <c r="K39" s="192" t="s">
        <v>38</v>
      </c>
      <c r="L39" s="193"/>
      <c r="M39" s="193"/>
      <c r="N39" s="193"/>
      <c r="O39" s="194"/>
      <c r="P39" s="7"/>
      <c r="Q39" s="7"/>
      <c r="R39" s="30">
        <v>19</v>
      </c>
      <c r="S39" s="219" t="s">
        <v>45</v>
      </c>
      <c r="T39" s="220"/>
      <c r="U39" s="220"/>
      <c r="V39" s="220"/>
      <c r="W39" s="221"/>
      <c r="X39" s="7"/>
      <c r="Y39" s="7"/>
      <c r="Z39" s="30">
        <v>26</v>
      </c>
      <c r="AA39" s="204" t="s">
        <v>73</v>
      </c>
      <c r="AB39" s="205"/>
      <c r="AC39" s="205"/>
      <c r="AD39" s="205"/>
      <c r="AE39" s="206"/>
      <c r="AF39" s="7"/>
      <c r="AG39" s="7"/>
      <c r="AH39" s="7"/>
      <c r="AI39" s="7"/>
      <c r="AJ39" s="28"/>
      <c r="AK39" s="29"/>
      <c r="AL39" s="28"/>
      <c r="AM39" s="28"/>
      <c r="AN39" s="28"/>
      <c r="AO39" s="28"/>
      <c r="AP39" s="28"/>
      <c r="AQ39" s="7"/>
      <c r="AR39" s="7"/>
      <c r="AS39" s="7"/>
      <c r="AT39" s="7"/>
      <c r="AU39" s="7"/>
      <c r="AV39" s="7"/>
      <c r="AW39" s="7"/>
    </row>
    <row r="40" spans="1:49" s="40" customFormat="1" ht="18.600000000000001" thickTop="1" thickBot="1" x14ac:dyDescent="0.35">
      <c r="B40" s="41"/>
      <c r="C40" s="52"/>
      <c r="D40" s="52"/>
      <c r="E40" s="52"/>
      <c r="F40" s="52"/>
      <c r="G40" s="52"/>
      <c r="J40" s="41"/>
      <c r="K40" s="53"/>
      <c r="L40" s="53"/>
      <c r="M40" s="53"/>
      <c r="N40" s="53"/>
      <c r="O40" s="53"/>
      <c r="R40" s="41"/>
      <c r="S40" s="54"/>
      <c r="T40" s="54"/>
      <c r="U40" s="54"/>
      <c r="V40" s="54"/>
      <c r="W40" s="54"/>
      <c r="Z40" s="41"/>
      <c r="AA40" s="55"/>
      <c r="AB40" s="55"/>
      <c r="AC40" s="55"/>
      <c r="AD40" s="55"/>
      <c r="AE40" s="55"/>
      <c r="AJ40" s="56"/>
      <c r="AK40" s="57"/>
      <c r="AL40" s="56"/>
      <c r="AM40" s="56"/>
      <c r="AN40" s="56"/>
      <c r="AO40" s="56"/>
      <c r="AP40" s="56"/>
    </row>
    <row r="41" spans="1:49" ht="18.600000000000001" thickTop="1" thickBot="1" x14ac:dyDescent="0.35">
      <c r="A41" s="7"/>
      <c r="B41" s="30">
        <v>6</v>
      </c>
      <c r="C41" s="153" t="s">
        <v>27</v>
      </c>
      <c r="D41" s="154"/>
      <c r="E41" s="154"/>
      <c r="F41" s="154"/>
      <c r="G41" s="155"/>
      <c r="H41" s="7"/>
      <c r="I41" s="7"/>
      <c r="J41" s="30">
        <v>13</v>
      </c>
      <c r="K41" s="195" t="s">
        <v>39</v>
      </c>
      <c r="L41" s="196"/>
      <c r="M41" s="196"/>
      <c r="N41" s="196"/>
      <c r="O41" s="197"/>
      <c r="P41" s="7"/>
      <c r="Q41" s="7"/>
      <c r="R41" s="30">
        <v>20</v>
      </c>
      <c r="S41" s="147" t="s">
        <v>57</v>
      </c>
      <c r="T41" s="148"/>
      <c r="U41" s="148"/>
      <c r="V41" s="148"/>
      <c r="W41" s="149"/>
      <c r="X41" s="7"/>
      <c r="Y41" s="7"/>
      <c r="Z41" s="30">
        <v>27</v>
      </c>
      <c r="AA41" s="222" t="s">
        <v>74</v>
      </c>
      <c r="AB41" s="223"/>
      <c r="AC41" s="223"/>
      <c r="AD41" s="223"/>
      <c r="AE41" s="224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s="40" customFormat="1" ht="18.600000000000001" thickTop="1" thickBot="1" x14ac:dyDescent="0.35">
      <c r="B42" s="41"/>
      <c r="C42" s="48"/>
      <c r="D42" s="48"/>
      <c r="E42" s="48"/>
      <c r="F42" s="48"/>
      <c r="G42" s="48"/>
      <c r="J42" s="41"/>
      <c r="K42" s="49"/>
      <c r="L42" s="49"/>
      <c r="M42" s="49"/>
      <c r="N42" s="49"/>
      <c r="O42" s="49"/>
      <c r="R42" s="41"/>
      <c r="S42" s="50"/>
      <c r="T42" s="50"/>
      <c r="U42" s="50"/>
      <c r="V42" s="50"/>
      <c r="W42" s="50"/>
      <c r="Z42" s="41"/>
      <c r="AA42" s="51"/>
      <c r="AB42" s="51"/>
      <c r="AC42" s="51"/>
      <c r="AD42" s="51"/>
      <c r="AE42" s="51"/>
    </row>
    <row r="43" spans="1:49" ht="18.600000000000001" thickTop="1" thickBot="1" x14ac:dyDescent="0.35">
      <c r="A43" s="7"/>
      <c r="B43" s="30">
        <v>7</v>
      </c>
      <c r="C43" s="141" t="s">
        <v>28</v>
      </c>
      <c r="D43" s="142"/>
      <c r="E43" s="142"/>
      <c r="F43" s="142"/>
      <c r="G43" s="143"/>
      <c r="H43" s="7"/>
      <c r="I43" s="7"/>
      <c r="J43" s="30">
        <v>14</v>
      </c>
      <c r="K43" s="144" t="s">
        <v>40</v>
      </c>
      <c r="L43" s="145"/>
      <c r="M43" s="145"/>
      <c r="N43" s="145"/>
      <c r="O43" s="146"/>
      <c r="P43" s="7"/>
      <c r="Q43" s="7"/>
      <c r="R43" s="30">
        <v>21</v>
      </c>
      <c r="S43" s="150" t="s">
        <v>46</v>
      </c>
      <c r="T43" s="151"/>
      <c r="U43" s="151"/>
      <c r="V43" s="151"/>
      <c r="W43" s="152"/>
      <c r="X43" s="7"/>
      <c r="Y43" s="7"/>
      <c r="Z43" s="30">
        <v>28</v>
      </c>
      <c r="AA43" s="72" t="s">
        <v>75</v>
      </c>
      <c r="AB43" s="73"/>
      <c r="AC43" s="73"/>
      <c r="AD43" s="73"/>
      <c r="AE43" s="74"/>
      <c r="AF43" s="75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</row>
    <row r="44" spans="1:49" s="40" customFormat="1" ht="18.600000000000001" thickTop="1" thickBot="1" x14ac:dyDescent="0.35">
      <c r="B44" s="41"/>
      <c r="C44" s="68"/>
      <c r="D44" s="68"/>
      <c r="E44" s="68"/>
      <c r="F44" s="68"/>
      <c r="G44" s="68"/>
      <c r="J44" s="41"/>
      <c r="K44" s="69"/>
      <c r="L44" s="69"/>
      <c r="M44" s="69"/>
      <c r="N44" s="69"/>
      <c r="O44" s="69"/>
      <c r="R44" s="41"/>
      <c r="S44" s="70"/>
      <c r="T44" s="70"/>
      <c r="U44" s="70"/>
      <c r="V44" s="70"/>
      <c r="W44" s="70"/>
      <c r="Z44" s="41"/>
      <c r="AA44" s="71"/>
      <c r="AB44" s="71"/>
      <c r="AC44" s="71"/>
      <c r="AD44" s="71"/>
      <c r="AE44" s="71"/>
    </row>
    <row r="45" spans="1:49" ht="18.600000000000001" thickTop="1" thickBot="1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191" t="s">
        <v>59</v>
      </c>
      <c r="Y45" s="191"/>
      <c r="Z45" s="191"/>
      <c r="AA45" s="201" t="s">
        <v>58</v>
      </c>
      <c r="AB45" s="202"/>
      <c r="AC45" s="202"/>
      <c r="AD45" s="202"/>
      <c r="AE45" s="203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</row>
    <row r="46" spans="1:49" ht="15.6" thickTop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</row>
    <row r="47" spans="1:49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</row>
    <row r="48" spans="1:49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</row>
    <row r="49" spans="1:49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</row>
    <row r="50" spans="1:49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</row>
    <row r="51" spans="1:49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</row>
    <row r="52" spans="1:49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</row>
    <row r="53" spans="1:49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</row>
    <row r="54" spans="1:49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</row>
    <row r="55" spans="1:49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</row>
    <row r="56" spans="1:49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</row>
    <row r="57" spans="1:49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</row>
    <row r="58" spans="1:49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</row>
    <row r="59" spans="1:49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</row>
    <row r="60" spans="1:49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</row>
    <row r="61" spans="1:49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</row>
    <row r="62" spans="1:49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</row>
    <row r="63" spans="1:49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</row>
    <row r="64" spans="1:49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</row>
    <row r="65" spans="1:49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</row>
    <row r="66" spans="1:49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</row>
    <row r="67" spans="1:49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</row>
    <row r="68" spans="1:49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</row>
    <row r="69" spans="1:49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</row>
    <row r="70" spans="1:49" x14ac:dyDescent="0.25">
      <c r="AT70" s="32"/>
    </row>
    <row r="77" spans="1:49" x14ac:dyDescent="0.25">
      <c r="AJ77" s="92" t="s">
        <v>52</v>
      </c>
    </row>
    <row r="122" spans="1:39" ht="21.75" customHeight="1" x14ac:dyDescent="0.25">
      <c r="A122" s="3" t="s">
        <v>65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5"/>
    </row>
    <row r="123" spans="1:39" x14ac:dyDescent="0.25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8"/>
    </row>
    <row r="124" spans="1:39" x14ac:dyDescent="0.25">
      <c r="A124" s="6" t="s">
        <v>61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8"/>
    </row>
    <row r="125" spans="1:39" x14ac:dyDescent="0.25">
      <c r="A125" s="6" t="s">
        <v>67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8"/>
    </row>
    <row r="126" spans="1:39" x14ac:dyDescent="0.25">
      <c r="A126" s="6" t="s">
        <v>62</v>
      </c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8"/>
    </row>
    <row r="127" spans="1:39" x14ac:dyDescent="0.25">
      <c r="A127" s="6" t="s">
        <v>63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8"/>
    </row>
    <row r="128" spans="1:39" x14ac:dyDescent="0.25">
      <c r="A128" s="6" t="s">
        <v>64</v>
      </c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8"/>
    </row>
    <row r="129" spans="1:39" x14ac:dyDescent="0.25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8"/>
    </row>
    <row r="130" spans="1:39" x14ac:dyDescent="0.25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8"/>
    </row>
    <row r="131" spans="1:39" ht="15.6" x14ac:dyDescent="0.3">
      <c r="A131" s="6" t="s">
        <v>69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184">
        <v>3</v>
      </c>
      <c r="N131" s="185"/>
      <c r="O131" s="7"/>
      <c r="P131" s="7"/>
      <c r="Q131" s="13" t="str">
        <f>IF(M131=rta!B52,rta!B51,IF(M131="","","RESPUESTA INCORRECTA"))</f>
        <v>CORRECTO - LA PISTA ES E22</v>
      </c>
      <c r="R131" s="12"/>
      <c r="S131" s="12"/>
      <c r="T131" s="12"/>
      <c r="U131" s="12"/>
      <c r="V131" s="12"/>
      <c r="W131" s="12"/>
      <c r="X131" s="12"/>
      <c r="Y131" s="12"/>
      <c r="Z131" s="12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8"/>
    </row>
    <row r="132" spans="1:39" ht="15.6" thickBot="1" x14ac:dyDescent="0.3">
      <c r="A132" s="6" t="s">
        <v>70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186"/>
      <c r="N132" s="18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8"/>
    </row>
    <row r="133" spans="1:39" ht="15.6" thickBot="1" x14ac:dyDescent="0.3">
      <c r="A133" s="6" t="s">
        <v>66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89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8"/>
    </row>
    <row r="134" spans="1:39" ht="9" customHeight="1" x14ac:dyDescent="0.25">
      <c r="A134" s="9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1"/>
    </row>
  </sheetData>
  <mergeCells count="29">
    <mergeCell ref="AA31:AE31"/>
    <mergeCell ref="AA33:AE33"/>
    <mergeCell ref="M131:N132"/>
    <mergeCell ref="AA35:AE35"/>
    <mergeCell ref="X45:Z45"/>
    <mergeCell ref="K39:O39"/>
    <mergeCell ref="K41:O41"/>
    <mergeCell ref="AA37:AE37"/>
    <mergeCell ref="AA45:AE45"/>
    <mergeCell ref="AA39:AE39"/>
    <mergeCell ref="S31:W31"/>
    <mergeCell ref="S33:W33"/>
    <mergeCell ref="S35:W35"/>
    <mergeCell ref="S37:W37"/>
    <mergeCell ref="S39:W39"/>
    <mergeCell ref="AA41:AE41"/>
    <mergeCell ref="A27:Q27"/>
    <mergeCell ref="C35:G35"/>
    <mergeCell ref="C39:G39"/>
    <mergeCell ref="K31:O31"/>
    <mergeCell ref="K33:O33"/>
    <mergeCell ref="K35:O35"/>
    <mergeCell ref="K37:O37"/>
    <mergeCell ref="C37:G37"/>
    <mergeCell ref="C43:G43"/>
    <mergeCell ref="K43:O43"/>
    <mergeCell ref="S41:W41"/>
    <mergeCell ref="S43:W43"/>
    <mergeCell ref="C41:G41"/>
  </mergeCells>
  <phoneticPr fontId="7" type="noConversion"/>
  <pageMargins left="0.78740157480314965" right="0.98425196850393704" top="0.59055118110236227" bottom="0.59055118110236227" header="0" footer="0"/>
  <pageSetup paperSize="125" orientation="landscape" horizontalDpi="120" verticalDpi="144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B0C1-56C2-48EC-9159-C066386527F5}">
  <dimension ref="C1:BB173"/>
  <sheetViews>
    <sheetView topLeftCell="A2" zoomScale="91" workbookViewId="0">
      <selection activeCell="N16" sqref="N16:S16"/>
    </sheetView>
  </sheetViews>
  <sheetFormatPr baseColWidth="10" defaultColWidth="10.88671875" defaultRowHeight="15.6" x14ac:dyDescent="0.3"/>
  <cols>
    <col min="1" max="2" width="10.88671875" style="98"/>
    <col min="3" max="3" width="14.109375" style="98" customWidth="1"/>
    <col min="4" max="10" width="10.88671875" style="98"/>
    <col min="11" max="11" width="15.6640625" style="98" customWidth="1"/>
    <col min="12" max="16384" width="10.88671875" style="98"/>
  </cols>
  <sheetData>
    <row r="1" spans="3:19" x14ac:dyDescent="0.3">
      <c r="L1" s="98" t="s">
        <v>113</v>
      </c>
    </row>
    <row r="2" spans="3:19" x14ac:dyDescent="0.3">
      <c r="K2" s="98" t="s">
        <v>114</v>
      </c>
      <c r="L2" s="105">
        <v>0.1</v>
      </c>
    </row>
    <row r="3" spans="3:19" x14ac:dyDescent="0.3">
      <c r="K3" s="98" t="s">
        <v>115</v>
      </c>
      <c r="L3" s="105">
        <v>0.2</v>
      </c>
    </row>
    <row r="4" spans="3:19" x14ac:dyDescent="0.3">
      <c r="K4" s="98" t="s">
        <v>116</v>
      </c>
      <c r="L4" s="105">
        <v>0.35</v>
      </c>
    </row>
    <row r="5" spans="3:19" x14ac:dyDescent="0.3">
      <c r="C5" s="106" t="s">
        <v>117</v>
      </c>
      <c r="D5" s="106" t="s">
        <v>118</v>
      </c>
      <c r="E5" s="106" t="s">
        <v>119</v>
      </c>
      <c r="F5" s="106" t="s">
        <v>120</v>
      </c>
      <c r="G5" s="106" t="s">
        <v>121</v>
      </c>
      <c r="H5" s="106" t="s">
        <v>113</v>
      </c>
      <c r="I5" s="106" t="s">
        <v>122</v>
      </c>
    </row>
    <row r="6" spans="3:19" x14ac:dyDescent="0.3">
      <c r="C6" s="107">
        <v>45231</v>
      </c>
      <c r="D6" s="108" t="s">
        <v>123</v>
      </c>
      <c r="E6" s="108" t="s">
        <v>114</v>
      </c>
      <c r="F6" s="108" t="s">
        <v>124</v>
      </c>
      <c r="G6" s="108">
        <v>500000</v>
      </c>
      <c r="H6" s="108"/>
      <c r="I6" s="108"/>
    </row>
    <row r="7" spans="3:19" x14ac:dyDescent="0.3">
      <c r="C7" s="107">
        <v>45235</v>
      </c>
      <c r="D7" s="108" t="s">
        <v>125</v>
      </c>
      <c r="E7" s="108" t="s">
        <v>115</v>
      </c>
      <c r="F7" s="108" t="s">
        <v>126</v>
      </c>
      <c r="G7" s="108">
        <v>2000</v>
      </c>
      <c r="H7" s="108"/>
      <c r="I7" s="108"/>
    </row>
    <row r="8" spans="3:19" x14ac:dyDescent="0.3">
      <c r="C8" s="107">
        <v>45240</v>
      </c>
      <c r="D8" s="108" t="s">
        <v>123</v>
      </c>
      <c r="E8" s="108" t="s">
        <v>116</v>
      </c>
      <c r="F8" s="108" t="s">
        <v>127</v>
      </c>
      <c r="G8" s="108">
        <v>300000</v>
      </c>
      <c r="H8" s="108"/>
      <c r="I8" s="108"/>
    </row>
    <row r="9" spans="3:19" x14ac:dyDescent="0.3">
      <c r="C9" s="107">
        <v>45245</v>
      </c>
      <c r="D9" s="108" t="s">
        <v>125</v>
      </c>
      <c r="E9" s="108" t="s">
        <v>115</v>
      </c>
      <c r="F9" s="108" t="s">
        <v>128</v>
      </c>
      <c r="G9" s="108">
        <v>1800</v>
      </c>
      <c r="H9" s="108"/>
      <c r="I9" s="108"/>
    </row>
    <row r="10" spans="3:19" x14ac:dyDescent="0.3">
      <c r="C10" s="107">
        <v>45250</v>
      </c>
      <c r="D10" s="108" t="s">
        <v>123</v>
      </c>
      <c r="E10" s="108" t="s">
        <v>114</v>
      </c>
      <c r="F10" s="108" t="s">
        <v>129</v>
      </c>
      <c r="G10" s="108">
        <v>450000</v>
      </c>
      <c r="H10" s="108"/>
      <c r="I10" s="108"/>
    </row>
    <row r="11" spans="3:19" x14ac:dyDescent="0.3">
      <c r="C11" s="107">
        <v>45255</v>
      </c>
      <c r="D11" s="108" t="s">
        <v>125</v>
      </c>
      <c r="E11" s="108" t="s">
        <v>115</v>
      </c>
      <c r="F11" s="108" t="s">
        <v>130</v>
      </c>
      <c r="G11" s="108">
        <v>2200</v>
      </c>
      <c r="H11" s="108"/>
      <c r="I11" s="108"/>
    </row>
    <row r="12" spans="3:19" x14ac:dyDescent="0.3">
      <c r="C12" s="107">
        <v>45261</v>
      </c>
      <c r="D12" s="108" t="s">
        <v>125</v>
      </c>
      <c r="E12" s="108" t="s">
        <v>114</v>
      </c>
      <c r="F12" s="108" t="s">
        <v>126</v>
      </c>
      <c r="G12" s="108">
        <v>4500</v>
      </c>
      <c r="H12" s="108"/>
      <c r="I12" s="108"/>
    </row>
    <row r="13" spans="3:19" x14ac:dyDescent="0.3">
      <c r="C13" s="107">
        <v>45265</v>
      </c>
      <c r="D13" s="108" t="s">
        <v>123</v>
      </c>
      <c r="E13" s="108" t="s">
        <v>115</v>
      </c>
      <c r="F13" s="108" t="s">
        <v>124</v>
      </c>
      <c r="G13" s="108">
        <v>250000</v>
      </c>
      <c r="H13" s="108"/>
      <c r="I13" s="108"/>
    </row>
    <row r="14" spans="3:19" x14ac:dyDescent="0.3">
      <c r="C14" s="107">
        <v>45270</v>
      </c>
      <c r="D14" s="108" t="s">
        <v>123</v>
      </c>
      <c r="E14" s="108" t="s">
        <v>116</v>
      </c>
      <c r="F14" s="108" t="s">
        <v>131</v>
      </c>
      <c r="G14" s="108">
        <v>200000</v>
      </c>
      <c r="H14" s="108"/>
      <c r="I14" s="108"/>
    </row>
    <row r="15" spans="3:19" x14ac:dyDescent="0.3">
      <c r="C15" s="107">
        <v>45275</v>
      </c>
      <c r="D15" s="108" t="s">
        <v>125</v>
      </c>
      <c r="E15" s="108" t="s">
        <v>115</v>
      </c>
      <c r="F15" s="108" t="s">
        <v>127</v>
      </c>
      <c r="G15" s="108">
        <v>1600</v>
      </c>
      <c r="H15" s="108"/>
      <c r="I15" s="108"/>
    </row>
    <row r="16" spans="3:19" x14ac:dyDescent="0.3">
      <c r="C16" s="107">
        <v>45280</v>
      </c>
      <c r="D16" s="108" t="s">
        <v>125</v>
      </c>
      <c r="E16" s="108" t="s">
        <v>114</v>
      </c>
      <c r="F16" s="108" t="s">
        <v>128</v>
      </c>
      <c r="G16" s="108">
        <v>5000</v>
      </c>
      <c r="H16" s="108"/>
      <c r="I16" s="108"/>
      <c r="N16" s="225" t="s">
        <v>132</v>
      </c>
      <c r="O16" s="225"/>
      <c r="P16" s="225"/>
      <c r="Q16" s="225"/>
      <c r="R16" s="225"/>
      <c r="S16" s="225"/>
    </row>
    <row r="17" spans="3:54" x14ac:dyDescent="0.3">
      <c r="C17" s="107">
        <v>45285</v>
      </c>
      <c r="D17" s="108" t="s">
        <v>123</v>
      </c>
      <c r="E17" s="108" t="s">
        <v>115</v>
      </c>
      <c r="F17" s="108" t="s">
        <v>129</v>
      </c>
      <c r="G17" s="108">
        <v>350000</v>
      </c>
      <c r="H17" s="108"/>
      <c r="I17" s="108"/>
      <c r="N17" s="225"/>
      <c r="O17" s="225"/>
      <c r="P17" s="225"/>
      <c r="Q17" s="225"/>
      <c r="R17" s="225"/>
      <c r="S17" s="225"/>
    </row>
    <row r="18" spans="3:54" x14ac:dyDescent="0.3">
      <c r="C18" s="107">
        <v>45292</v>
      </c>
      <c r="D18" s="108" t="s">
        <v>123</v>
      </c>
      <c r="E18" s="108" t="s">
        <v>114</v>
      </c>
      <c r="F18" s="108" t="s">
        <v>126</v>
      </c>
      <c r="G18" s="108">
        <v>600000</v>
      </c>
      <c r="H18" s="108"/>
      <c r="I18" s="108"/>
    </row>
    <row r="19" spans="3:54" x14ac:dyDescent="0.3">
      <c r="C19" s="107">
        <v>45296</v>
      </c>
      <c r="D19" s="108" t="s">
        <v>125</v>
      </c>
      <c r="E19" s="108" t="s">
        <v>115</v>
      </c>
      <c r="F19" s="108" t="s">
        <v>124</v>
      </c>
      <c r="G19" s="108">
        <v>2400</v>
      </c>
      <c r="H19" s="108"/>
      <c r="I19" s="108"/>
    </row>
    <row r="20" spans="3:54" x14ac:dyDescent="0.3">
      <c r="C20" s="107">
        <v>45301</v>
      </c>
      <c r="D20" s="108" t="s">
        <v>123</v>
      </c>
      <c r="E20" s="108" t="s">
        <v>116</v>
      </c>
      <c r="F20" s="108" t="s">
        <v>131</v>
      </c>
      <c r="G20" s="108">
        <v>180000</v>
      </c>
      <c r="H20" s="108"/>
      <c r="I20" s="108"/>
    </row>
    <row r="21" spans="3:54" x14ac:dyDescent="0.3">
      <c r="C21" s="107">
        <v>45231</v>
      </c>
      <c r="D21" s="108" t="s">
        <v>123</v>
      </c>
      <c r="E21" s="108" t="s">
        <v>114</v>
      </c>
      <c r="F21" s="108" t="s">
        <v>124</v>
      </c>
      <c r="G21" s="108">
        <v>500000</v>
      </c>
      <c r="H21" s="108"/>
      <c r="I21" s="108"/>
    </row>
    <row r="22" spans="3:54" x14ac:dyDescent="0.3">
      <c r="C22" s="107">
        <v>45235</v>
      </c>
      <c r="D22" s="108" t="s">
        <v>125</v>
      </c>
      <c r="E22" s="108" t="s">
        <v>115</v>
      </c>
      <c r="F22" s="108" t="s">
        <v>126</v>
      </c>
      <c r="G22" s="108">
        <v>2000</v>
      </c>
      <c r="H22" s="108"/>
      <c r="I22" s="108"/>
      <c r="AX22" s="226" t="s">
        <v>133</v>
      </c>
      <c r="AY22" s="227"/>
      <c r="AZ22" s="227"/>
      <c r="BA22" s="227"/>
      <c r="BB22" s="227"/>
    </row>
    <row r="23" spans="3:54" x14ac:dyDescent="0.3">
      <c r="C23" s="107">
        <v>45240</v>
      </c>
      <c r="D23" s="108" t="s">
        <v>123</v>
      </c>
      <c r="E23" s="108" t="s">
        <v>116</v>
      </c>
      <c r="F23" s="108" t="s">
        <v>127</v>
      </c>
      <c r="G23" s="108">
        <v>300000</v>
      </c>
      <c r="H23" s="108"/>
      <c r="I23" s="108"/>
      <c r="AX23" s="227"/>
      <c r="AY23" s="227"/>
      <c r="AZ23" s="227"/>
      <c r="BA23" s="227"/>
      <c r="BB23" s="227"/>
    </row>
    <row r="24" spans="3:54" x14ac:dyDescent="0.3">
      <c r="C24" s="107">
        <v>45245</v>
      </c>
      <c r="D24" s="108" t="s">
        <v>125</v>
      </c>
      <c r="E24" s="108" t="s">
        <v>115</v>
      </c>
      <c r="F24" s="108" t="s">
        <v>128</v>
      </c>
      <c r="G24" s="108">
        <v>1800</v>
      </c>
      <c r="H24" s="108"/>
      <c r="I24" s="108"/>
      <c r="AX24" s="227"/>
      <c r="AY24" s="227"/>
      <c r="AZ24" s="227"/>
      <c r="BA24" s="227"/>
      <c r="BB24" s="227"/>
    </row>
    <row r="25" spans="3:54" x14ac:dyDescent="0.3">
      <c r="C25" s="107">
        <v>45250</v>
      </c>
      <c r="D25" s="108" t="s">
        <v>123</v>
      </c>
      <c r="E25" s="108" t="s">
        <v>114</v>
      </c>
      <c r="F25" s="108" t="s">
        <v>129</v>
      </c>
      <c r="G25" s="108">
        <v>450000</v>
      </c>
      <c r="H25" s="108"/>
      <c r="I25" s="108"/>
      <c r="AX25" s="227"/>
      <c r="AY25" s="227"/>
      <c r="AZ25" s="227"/>
      <c r="BA25" s="227"/>
      <c r="BB25" s="227"/>
    </row>
    <row r="26" spans="3:54" x14ac:dyDescent="0.3">
      <c r="C26" s="107">
        <v>45255</v>
      </c>
      <c r="D26" s="108" t="s">
        <v>125</v>
      </c>
      <c r="E26" s="108" t="s">
        <v>115</v>
      </c>
      <c r="F26" s="108" t="s">
        <v>130</v>
      </c>
      <c r="G26" s="108">
        <v>2200</v>
      </c>
      <c r="H26" s="108"/>
      <c r="I26" s="108"/>
      <c r="AX26" s="227"/>
      <c r="AY26" s="227"/>
      <c r="AZ26" s="227"/>
      <c r="BA26" s="227"/>
      <c r="BB26" s="227"/>
    </row>
    <row r="27" spans="3:54" x14ac:dyDescent="0.3">
      <c r="C27" s="107">
        <v>45261</v>
      </c>
      <c r="D27" s="108" t="s">
        <v>125</v>
      </c>
      <c r="E27" s="108" t="s">
        <v>114</v>
      </c>
      <c r="F27" s="108" t="s">
        <v>126</v>
      </c>
      <c r="G27" s="108">
        <v>4500</v>
      </c>
      <c r="H27" s="108"/>
      <c r="I27" s="108"/>
      <c r="AX27" s="227"/>
      <c r="AY27" s="227"/>
      <c r="AZ27" s="227"/>
      <c r="BA27" s="227"/>
      <c r="BB27" s="227"/>
    </row>
    <row r="28" spans="3:54" x14ac:dyDescent="0.3">
      <c r="C28" s="107">
        <v>45265</v>
      </c>
      <c r="D28" s="108" t="s">
        <v>123</v>
      </c>
      <c r="E28" s="108" t="s">
        <v>115</v>
      </c>
      <c r="F28" s="108" t="s">
        <v>124</v>
      </c>
      <c r="G28" s="108">
        <v>250000</v>
      </c>
      <c r="H28" s="108"/>
      <c r="I28" s="108"/>
      <c r="AX28" s="227"/>
      <c r="AY28" s="227"/>
      <c r="AZ28" s="227"/>
      <c r="BA28" s="227"/>
      <c r="BB28" s="227"/>
    </row>
    <row r="29" spans="3:54" x14ac:dyDescent="0.3">
      <c r="C29" s="107">
        <v>45270</v>
      </c>
      <c r="D29" s="108" t="s">
        <v>123</v>
      </c>
      <c r="E29" s="108" t="s">
        <v>116</v>
      </c>
      <c r="F29" s="108" t="s">
        <v>131</v>
      </c>
      <c r="G29" s="108">
        <v>200000</v>
      </c>
      <c r="H29" s="108"/>
      <c r="I29" s="108"/>
      <c r="AX29" s="227"/>
      <c r="AY29" s="227"/>
      <c r="AZ29" s="227"/>
      <c r="BA29" s="227"/>
      <c r="BB29" s="227"/>
    </row>
    <row r="30" spans="3:54" x14ac:dyDescent="0.3">
      <c r="C30" s="107">
        <v>45275</v>
      </c>
      <c r="D30" s="108" t="s">
        <v>125</v>
      </c>
      <c r="E30" s="108" t="s">
        <v>115</v>
      </c>
      <c r="F30" s="108" t="s">
        <v>127</v>
      </c>
      <c r="G30" s="108">
        <v>1600</v>
      </c>
      <c r="H30" s="108"/>
      <c r="I30" s="108"/>
      <c r="AX30" s="227"/>
      <c r="AY30" s="227"/>
      <c r="AZ30" s="227"/>
      <c r="BA30" s="227"/>
      <c r="BB30" s="227"/>
    </row>
    <row r="31" spans="3:54" x14ac:dyDescent="0.3">
      <c r="C31" s="107">
        <v>45280</v>
      </c>
      <c r="D31" s="108" t="s">
        <v>125</v>
      </c>
      <c r="E31" s="108" t="s">
        <v>114</v>
      </c>
      <c r="F31" s="108" t="s">
        <v>128</v>
      </c>
      <c r="G31" s="108">
        <v>5000</v>
      </c>
      <c r="H31" s="108"/>
      <c r="I31" s="108"/>
    </row>
    <row r="32" spans="3:54" x14ac:dyDescent="0.3">
      <c r="C32" s="107">
        <v>45285</v>
      </c>
      <c r="D32" s="108" t="s">
        <v>123</v>
      </c>
      <c r="E32" s="108" t="s">
        <v>115</v>
      </c>
      <c r="F32" s="108" t="s">
        <v>129</v>
      </c>
      <c r="G32" s="108">
        <v>350000</v>
      </c>
      <c r="H32" s="108"/>
      <c r="I32" s="108"/>
    </row>
    <row r="33" spans="3:9" x14ac:dyDescent="0.3">
      <c r="C33" s="107">
        <v>45292</v>
      </c>
      <c r="D33" s="108" t="s">
        <v>123</v>
      </c>
      <c r="E33" s="108" t="s">
        <v>114</v>
      </c>
      <c r="F33" s="108" t="s">
        <v>126</v>
      </c>
      <c r="G33" s="108">
        <v>600000</v>
      </c>
      <c r="H33" s="108"/>
      <c r="I33" s="108"/>
    </row>
    <row r="34" spans="3:9" x14ac:dyDescent="0.3">
      <c r="C34" s="107">
        <v>45296</v>
      </c>
      <c r="D34" s="108" t="s">
        <v>125</v>
      </c>
      <c r="E34" s="108" t="s">
        <v>115</v>
      </c>
      <c r="F34" s="108" t="s">
        <v>124</v>
      </c>
      <c r="G34" s="108">
        <v>2400</v>
      </c>
      <c r="H34" s="108"/>
      <c r="I34" s="108"/>
    </row>
    <row r="35" spans="3:9" x14ac:dyDescent="0.3">
      <c r="C35" s="107">
        <v>45301</v>
      </c>
      <c r="D35" s="108" t="s">
        <v>123</v>
      </c>
      <c r="E35" s="108" t="s">
        <v>116</v>
      </c>
      <c r="F35" s="108" t="s">
        <v>131</v>
      </c>
      <c r="G35" s="108">
        <v>180000</v>
      </c>
      <c r="H35" s="108"/>
      <c r="I35" s="108"/>
    </row>
    <row r="36" spans="3:9" x14ac:dyDescent="0.3">
      <c r="C36" s="107">
        <v>45337</v>
      </c>
      <c r="D36" s="108" t="s">
        <v>125</v>
      </c>
      <c r="E36" s="108" t="s">
        <v>115</v>
      </c>
      <c r="F36" s="108" t="s">
        <v>127</v>
      </c>
      <c r="G36" s="108">
        <v>1700</v>
      </c>
      <c r="H36" s="108"/>
      <c r="I36" s="108"/>
    </row>
    <row r="37" spans="3:9" x14ac:dyDescent="0.3">
      <c r="C37" s="107">
        <v>45342</v>
      </c>
      <c r="D37" s="108" t="s">
        <v>123</v>
      </c>
      <c r="E37" s="108" t="s">
        <v>114</v>
      </c>
      <c r="F37" s="108" t="s">
        <v>130</v>
      </c>
      <c r="G37" s="108">
        <v>480000</v>
      </c>
      <c r="H37" s="108"/>
      <c r="I37" s="108"/>
    </row>
    <row r="38" spans="3:9" x14ac:dyDescent="0.3">
      <c r="C38" s="107">
        <v>45347</v>
      </c>
      <c r="D38" s="108" t="s">
        <v>123</v>
      </c>
      <c r="E38" s="108" t="s">
        <v>115</v>
      </c>
      <c r="F38" s="108" t="s">
        <v>128</v>
      </c>
      <c r="G38" s="108">
        <v>280000</v>
      </c>
      <c r="H38" s="108"/>
      <c r="I38" s="108"/>
    </row>
    <row r="39" spans="3:9" x14ac:dyDescent="0.3">
      <c r="C39" s="107">
        <v>45352</v>
      </c>
      <c r="D39" s="108" t="s">
        <v>125</v>
      </c>
      <c r="E39" s="108" t="s">
        <v>115</v>
      </c>
      <c r="F39" s="108" t="s">
        <v>129</v>
      </c>
      <c r="G39" s="108">
        <v>2300</v>
      </c>
      <c r="H39" s="108"/>
      <c r="I39" s="108"/>
    </row>
    <row r="40" spans="3:9" x14ac:dyDescent="0.3">
      <c r="C40" s="107">
        <v>45356</v>
      </c>
      <c r="D40" s="108" t="s">
        <v>123</v>
      </c>
      <c r="E40" s="108" t="s">
        <v>114</v>
      </c>
      <c r="F40" s="108" t="s">
        <v>126</v>
      </c>
      <c r="G40" s="108">
        <v>520000</v>
      </c>
      <c r="H40" s="108"/>
      <c r="I40" s="108"/>
    </row>
    <row r="41" spans="3:9" x14ac:dyDescent="0.3">
      <c r="C41" s="107">
        <v>45361</v>
      </c>
      <c r="D41" s="108" t="s">
        <v>123</v>
      </c>
      <c r="E41" s="108" t="s">
        <v>116</v>
      </c>
      <c r="F41" s="108" t="s">
        <v>124</v>
      </c>
      <c r="G41" s="108">
        <v>320000</v>
      </c>
      <c r="H41" s="108"/>
      <c r="I41" s="108"/>
    </row>
    <row r="42" spans="3:9" x14ac:dyDescent="0.3">
      <c r="C42" s="107">
        <v>45366</v>
      </c>
      <c r="D42" s="108" t="s">
        <v>125</v>
      </c>
      <c r="E42" s="108" t="s">
        <v>115</v>
      </c>
      <c r="F42" s="108" t="s">
        <v>131</v>
      </c>
      <c r="G42" s="108">
        <v>1900</v>
      </c>
      <c r="H42" s="108"/>
      <c r="I42" s="108"/>
    </row>
    <row r="43" spans="3:9" x14ac:dyDescent="0.3">
      <c r="C43" s="107">
        <v>45371</v>
      </c>
      <c r="D43" s="108" t="s">
        <v>125</v>
      </c>
      <c r="E43" s="108" t="s">
        <v>114</v>
      </c>
      <c r="F43" s="108" t="s">
        <v>127</v>
      </c>
      <c r="G43" s="108">
        <v>5500</v>
      </c>
      <c r="H43" s="108"/>
      <c r="I43" s="108"/>
    </row>
    <row r="44" spans="3:9" x14ac:dyDescent="0.3">
      <c r="C44" s="107">
        <v>45376</v>
      </c>
      <c r="D44" s="108" t="s">
        <v>123</v>
      </c>
      <c r="E44" s="108" t="s">
        <v>115</v>
      </c>
      <c r="F44" s="108" t="s">
        <v>130</v>
      </c>
      <c r="G44" s="108">
        <v>380000</v>
      </c>
      <c r="H44" s="108"/>
      <c r="I44" s="108"/>
    </row>
    <row r="45" spans="3:9" x14ac:dyDescent="0.3">
      <c r="C45" s="107">
        <v>45383</v>
      </c>
      <c r="D45" s="108" t="s">
        <v>123</v>
      </c>
      <c r="E45" s="108" t="s">
        <v>114</v>
      </c>
      <c r="F45" s="108" t="s">
        <v>128</v>
      </c>
      <c r="G45" s="108">
        <v>650000</v>
      </c>
      <c r="H45" s="108"/>
      <c r="I45" s="108"/>
    </row>
    <row r="46" spans="3:9" x14ac:dyDescent="0.3">
      <c r="C46" s="107">
        <v>45387</v>
      </c>
      <c r="D46" s="108" t="s">
        <v>125</v>
      </c>
      <c r="E46" s="108" t="s">
        <v>115</v>
      </c>
      <c r="F46" s="108" t="s">
        <v>129</v>
      </c>
      <c r="G46" s="108">
        <v>2500</v>
      </c>
      <c r="H46" s="108"/>
      <c r="I46" s="108"/>
    </row>
    <row r="47" spans="3:9" x14ac:dyDescent="0.3">
      <c r="C47" s="107">
        <v>45392</v>
      </c>
      <c r="D47" s="108" t="s">
        <v>123</v>
      </c>
      <c r="E47" s="108" t="s">
        <v>116</v>
      </c>
      <c r="F47" s="108" t="s">
        <v>126</v>
      </c>
      <c r="G47" s="108">
        <v>220000</v>
      </c>
      <c r="H47" s="108"/>
      <c r="I47" s="108"/>
    </row>
    <row r="48" spans="3:9" x14ac:dyDescent="0.3">
      <c r="C48" s="107">
        <v>45397</v>
      </c>
      <c r="D48" s="108" t="s">
        <v>123</v>
      </c>
      <c r="E48" s="108" t="s">
        <v>115</v>
      </c>
      <c r="F48" s="108" t="s">
        <v>124</v>
      </c>
      <c r="G48" s="108">
        <v>260000</v>
      </c>
      <c r="H48" s="108"/>
      <c r="I48" s="108"/>
    </row>
    <row r="49" spans="3:9" x14ac:dyDescent="0.3">
      <c r="C49" s="107">
        <v>45402</v>
      </c>
      <c r="D49" s="108" t="s">
        <v>125</v>
      </c>
      <c r="E49" s="108" t="s">
        <v>115</v>
      </c>
      <c r="F49" s="108" t="s">
        <v>131</v>
      </c>
      <c r="G49" s="108">
        <v>2000</v>
      </c>
      <c r="H49" s="108"/>
      <c r="I49" s="108"/>
    </row>
    <row r="50" spans="3:9" x14ac:dyDescent="0.3">
      <c r="C50" s="107">
        <v>45407</v>
      </c>
      <c r="D50" s="108" t="s">
        <v>125</v>
      </c>
      <c r="E50" s="108" t="s">
        <v>114</v>
      </c>
      <c r="F50" s="108" t="s">
        <v>127</v>
      </c>
      <c r="G50" s="108">
        <v>6000</v>
      </c>
      <c r="H50" s="108"/>
      <c r="I50" s="108"/>
    </row>
    <row r="51" spans="3:9" x14ac:dyDescent="0.3">
      <c r="C51" s="107">
        <v>45413</v>
      </c>
      <c r="D51" s="108" t="s">
        <v>123</v>
      </c>
      <c r="E51" s="108" t="s">
        <v>115</v>
      </c>
      <c r="F51" s="108" t="s">
        <v>130</v>
      </c>
      <c r="G51" s="108">
        <v>320000</v>
      </c>
      <c r="H51" s="108"/>
      <c r="I51" s="108"/>
    </row>
    <row r="52" spans="3:9" x14ac:dyDescent="0.3">
      <c r="C52" s="107">
        <v>45417</v>
      </c>
      <c r="D52" s="108" t="s">
        <v>125</v>
      </c>
      <c r="E52" s="108" t="s">
        <v>114</v>
      </c>
      <c r="F52" s="108" t="s">
        <v>128</v>
      </c>
      <c r="G52" s="108">
        <v>4800</v>
      </c>
      <c r="H52" s="108"/>
      <c r="I52" s="108"/>
    </row>
    <row r="53" spans="3:9" x14ac:dyDescent="0.3">
      <c r="C53" s="107">
        <v>45422</v>
      </c>
      <c r="D53" s="108" t="s">
        <v>125</v>
      </c>
      <c r="E53" s="108" t="s">
        <v>115</v>
      </c>
      <c r="F53" s="108" t="s">
        <v>129</v>
      </c>
      <c r="G53" s="108">
        <v>2700</v>
      </c>
      <c r="H53" s="108"/>
      <c r="I53" s="108"/>
    </row>
    <row r="54" spans="3:9" x14ac:dyDescent="0.3">
      <c r="C54" s="107">
        <v>45427</v>
      </c>
      <c r="D54" s="108" t="s">
        <v>123</v>
      </c>
      <c r="E54" s="108" t="s">
        <v>114</v>
      </c>
      <c r="F54" s="108" t="s">
        <v>126</v>
      </c>
      <c r="G54" s="108">
        <v>550000</v>
      </c>
      <c r="H54" s="108"/>
      <c r="I54" s="108"/>
    </row>
    <row r="55" spans="3:9" x14ac:dyDescent="0.3">
      <c r="C55" s="107">
        <v>45432</v>
      </c>
      <c r="D55" s="108" t="s">
        <v>123</v>
      </c>
      <c r="E55" s="108" t="s">
        <v>116</v>
      </c>
      <c r="F55" s="108" t="s">
        <v>124</v>
      </c>
      <c r="G55" s="108">
        <v>240000</v>
      </c>
      <c r="H55" s="108"/>
      <c r="I55" s="108"/>
    </row>
    <row r="56" spans="3:9" x14ac:dyDescent="0.3">
      <c r="C56" s="107">
        <v>45437</v>
      </c>
      <c r="D56" s="108" t="s">
        <v>125</v>
      </c>
      <c r="E56" s="108" t="s">
        <v>115</v>
      </c>
      <c r="F56" s="108" t="s">
        <v>131</v>
      </c>
      <c r="G56" s="108">
        <v>2100</v>
      </c>
      <c r="H56" s="108"/>
      <c r="I56" s="108"/>
    </row>
    <row r="57" spans="3:9" x14ac:dyDescent="0.3">
      <c r="C57" s="107">
        <v>45444</v>
      </c>
      <c r="D57" s="108" t="s">
        <v>123</v>
      </c>
      <c r="E57" s="108" t="s">
        <v>114</v>
      </c>
      <c r="F57" s="108" t="s">
        <v>127</v>
      </c>
      <c r="G57" s="108">
        <v>520000</v>
      </c>
      <c r="H57" s="108"/>
      <c r="I57" s="108"/>
    </row>
    <row r="58" spans="3:9" x14ac:dyDescent="0.3">
      <c r="C58" s="107">
        <v>45448</v>
      </c>
      <c r="D58" s="108" t="s">
        <v>125</v>
      </c>
      <c r="E58" s="108" t="s">
        <v>115</v>
      </c>
      <c r="F58" s="108" t="s">
        <v>130</v>
      </c>
      <c r="G58" s="108">
        <v>2300</v>
      </c>
      <c r="H58" s="108"/>
      <c r="I58" s="108"/>
    </row>
    <row r="59" spans="3:9" x14ac:dyDescent="0.3">
      <c r="C59" s="107">
        <v>45453</v>
      </c>
      <c r="D59" s="108" t="s">
        <v>123</v>
      </c>
      <c r="E59" s="108" t="s">
        <v>115</v>
      </c>
      <c r="F59" s="108" t="s">
        <v>128</v>
      </c>
      <c r="G59" s="108">
        <v>290000</v>
      </c>
      <c r="H59" s="108"/>
      <c r="I59" s="108"/>
    </row>
    <row r="60" spans="3:9" x14ac:dyDescent="0.3">
      <c r="C60" s="107">
        <v>45231</v>
      </c>
      <c r="D60" s="108" t="s">
        <v>125</v>
      </c>
      <c r="E60" s="108" t="s">
        <v>115</v>
      </c>
      <c r="F60" s="108" t="s">
        <v>126</v>
      </c>
      <c r="G60" s="108">
        <v>2100</v>
      </c>
      <c r="H60" s="108"/>
      <c r="I60" s="108"/>
    </row>
    <row r="61" spans="3:9" x14ac:dyDescent="0.3">
      <c r="C61" s="107">
        <v>45235</v>
      </c>
      <c r="D61" s="108" t="s">
        <v>123</v>
      </c>
      <c r="E61" s="108" t="s">
        <v>116</v>
      </c>
      <c r="F61" s="108" t="s">
        <v>127</v>
      </c>
      <c r="G61" s="108">
        <v>280000</v>
      </c>
      <c r="H61" s="108"/>
      <c r="I61" s="108"/>
    </row>
    <row r="62" spans="3:9" x14ac:dyDescent="0.3">
      <c r="C62" s="107">
        <v>45240</v>
      </c>
      <c r="D62" s="108" t="s">
        <v>123</v>
      </c>
      <c r="E62" s="108" t="s">
        <v>114</v>
      </c>
      <c r="F62" s="108" t="s">
        <v>130</v>
      </c>
      <c r="G62" s="108">
        <v>560000</v>
      </c>
      <c r="H62" s="108"/>
      <c r="I62" s="108"/>
    </row>
    <row r="63" spans="3:9" x14ac:dyDescent="0.3">
      <c r="C63" s="107">
        <v>45245</v>
      </c>
      <c r="D63" s="108" t="s">
        <v>125</v>
      </c>
      <c r="E63" s="108" t="s">
        <v>115</v>
      </c>
      <c r="F63" s="108" t="s">
        <v>124</v>
      </c>
      <c r="G63" s="108">
        <v>1900</v>
      </c>
      <c r="H63" s="108"/>
      <c r="I63" s="108"/>
    </row>
    <row r="64" spans="3:9" x14ac:dyDescent="0.3">
      <c r="C64" s="107">
        <v>45250</v>
      </c>
      <c r="D64" s="108" t="s">
        <v>123</v>
      </c>
      <c r="E64" s="108" t="s">
        <v>115</v>
      </c>
      <c r="F64" s="108" t="s">
        <v>128</v>
      </c>
      <c r="G64" s="108">
        <v>320000</v>
      </c>
      <c r="H64" s="108"/>
      <c r="I64" s="108"/>
    </row>
    <row r="65" spans="3:9" x14ac:dyDescent="0.3">
      <c r="C65" s="107">
        <v>45255</v>
      </c>
      <c r="D65" s="108" t="s">
        <v>123</v>
      </c>
      <c r="E65" s="108" t="s">
        <v>114</v>
      </c>
      <c r="F65" s="108" t="s">
        <v>129</v>
      </c>
      <c r="G65" s="108">
        <v>480000</v>
      </c>
      <c r="H65" s="108"/>
      <c r="I65" s="108"/>
    </row>
    <row r="66" spans="3:9" x14ac:dyDescent="0.3">
      <c r="C66" s="107">
        <v>45261</v>
      </c>
      <c r="D66" s="108" t="s">
        <v>125</v>
      </c>
      <c r="E66" s="108" t="s">
        <v>114</v>
      </c>
      <c r="F66" s="108" t="s">
        <v>126</v>
      </c>
      <c r="G66" s="108">
        <v>4100</v>
      </c>
      <c r="H66" s="108"/>
      <c r="I66" s="108"/>
    </row>
    <row r="67" spans="3:9" x14ac:dyDescent="0.3">
      <c r="C67" s="107">
        <v>45265</v>
      </c>
      <c r="D67" s="108" t="s">
        <v>125</v>
      </c>
      <c r="E67" s="108" t="s">
        <v>115</v>
      </c>
      <c r="F67" s="108" t="s">
        <v>124</v>
      </c>
      <c r="G67" s="108">
        <v>2300</v>
      </c>
      <c r="H67" s="108"/>
      <c r="I67" s="108"/>
    </row>
    <row r="68" spans="3:9" x14ac:dyDescent="0.3">
      <c r="C68" s="107">
        <v>45270</v>
      </c>
      <c r="D68" s="108" t="s">
        <v>123</v>
      </c>
      <c r="E68" s="108" t="s">
        <v>116</v>
      </c>
      <c r="F68" s="108" t="s">
        <v>131</v>
      </c>
      <c r="G68" s="108">
        <v>180000</v>
      </c>
      <c r="H68" s="108"/>
      <c r="I68" s="108"/>
    </row>
    <row r="69" spans="3:9" x14ac:dyDescent="0.3">
      <c r="C69" s="107">
        <v>45275</v>
      </c>
      <c r="D69" s="108" t="s">
        <v>123</v>
      </c>
      <c r="E69" s="108" t="s">
        <v>115</v>
      </c>
      <c r="F69" s="108" t="s">
        <v>130</v>
      </c>
      <c r="G69" s="108">
        <v>380000</v>
      </c>
      <c r="H69" s="108"/>
      <c r="I69" s="108"/>
    </row>
    <row r="70" spans="3:9" x14ac:dyDescent="0.3">
      <c r="C70" s="107">
        <v>45280</v>
      </c>
      <c r="D70" s="108" t="s">
        <v>125</v>
      </c>
      <c r="E70" s="108" t="s">
        <v>115</v>
      </c>
      <c r="F70" s="108" t="s">
        <v>129</v>
      </c>
      <c r="G70" s="108">
        <v>2600</v>
      </c>
      <c r="H70" s="108"/>
      <c r="I70" s="108"/>
    </row>
    <row r="71" spans="3:9" x14ac:dyDescent="0.3">
      <c r="C71" s="107">
        <v>45285</v>
      </c>
      <c r="D71" s="108" t="s">
        <v>123</v>
      </c>
      <c r="E71" s="108" t="s">
        <v>114</v>
      </c>
      <c r="F71" s="108" t="s">
        <v>126</v>
      </c>
      <c r="G71" s="108">
        <v>620000</v>
      </c>
      <c r="H71" s="108"/>
      <c r="I71" s="108"/>
    </row>
    <row r="72" spans="3:9" x14ac:dyDescent="0.3">
      <c r="C72" s="107">
        <v>45292</v>
      </c>
      <c r="D72" s="108" t="s">
        <v>123</v>
      </c>
      <c r="E72" s="108" t="s">
        <v>115</v>
      </c>
      <c r="F72" s="108" t="s">
        <v>124</v>
      </c>
      <c r="G72" s="108">
        <v>250000</v>
      </c>
      <c r="H72" s="108"/>
      <c r="I72" s="108"/>
    </row>
    <row r="73" spans="3:9" x14ac:dyDescent="0.3">
      <c r="C73" s="107">
        <v>45296</v>
      </c>
      <c r="D73" s="108" t="s">
        <v>125</v>
      </c>
      <c r="E73" s="108" t="s">
        <v>115</v>
      </c>
      <c r="F73" s="108" t="s">
        <v>131</v>
      </c>
      <c r="G73" s="108">
        <v>2000</v>
      </c>
      <c r="H73" s="108"/>
      <c r="I73" s="108"/>
    </row>
    <row r="74" spans="3:9" x14ac:dyDescent="0.3">
      <c r="C74" s="107">
        <v>45301</v>
      </c>
      <c r="D74" s="108" t="s">
        <v>123</v>
      </c>
      <c r="E74" s="108" t="s">
        <v>116</v>
      </c>
      <c r="F74" s="108" t="s">
        <v>127</v>
      </c>
      <c r="G74" s="108">
        <v>210000</v>
      </c>
      <c r="H74" s="108"/>
      <c r="I74" s="108"/>
    </row>
    <row r="75" spans="3:9" x14ac:dyDescent="0.3">
      <c r="C75" s="107">
        <v>45337</v>
      </c>
      <c r="D75" s="108" t="s">
        <v>125</v>
      </c>
      <c r="E75" s="108" t="s">
        <v>115</v>
      </c>
      <c r="F75" s="108" t="s">
        <v>128</v>
      </c>
      <c r="G75" s="108">
        <v>1700</v>
      </c>
      <c r="H75" s="108"/>
      <c r="I75" s="108"/>
    </row>
    <row r="76" spans="3:9" x14ac:dyDescent="0.3">
      <c r="C76" s="107">
        <v>45342</v>
      </c>
      <c r="D76" s="108" t="s">
        <v>123</v>
      </c>
      <c r="E76" s="108" t="s">
        <v>114</v>
      </c>
      <c r="F76" s="108" t="s">
        <v>130</v>
      </c>
      <c r="G76" s="108">
        <v>450000</v>
      </c>
      <c r="H76" s="108"/>
      <c r="I76" s="108"/>
    </row>
    <row r="77" spans="3:9" x14ac:dyDescent="0.3">
      <c r="C77" s="107">
        <v>45347</v>
      </c>
      <c r="D77" s="108" t="s">
        <v>123</v>
      </c>
      <c r="E77" s="108" t="s">
        <v>115</v>
      </c>
      <c r="F77" s="108" t="s">
        <v>129</v>
      </c>
      <c r="G77" s="108">
        <v>320000</v>
      </c>
      <c r="H77" s="108"/>
      <c r="I77" s="108"/>
    </row>
    <row r="78" spans="3:9" x14ac:dyDescent="0.3">
      <c r="C78" s="107">
        <v>45352</v>
      </c>
      <c r="D78" s="108" t="s">
        <v>125</v>
      </c>
      <c r="E78" s="108" t="s">
        <v>115</v>
      </c>
      <c r="F78" s="108" t="s">
        <v>124</v>
      </c>
      <c r="G78" s="108">
        <v>2100</v>
      </c>
      <c r="H78" s="108"/>
      <c r="I78" s="108"/>
    </row>
    <row r="79" spans="3:9" x14ac:dyDescent="0.3">
      <c r="C79" s="107">
        <v>45356</v>
      </c>
      <c r="D79" s="108" t="s">
        <v>123</v>
      </c>
      <c r="E79" s="108" t="s">
        <v>114</v>
      </c>
      <c r="F79" s="108" t="s">
        <v>126</v>
      </c>
      <c r="G79" s="108">
        <v>530000</v>
      </c>
      <c r="H79" s="108"/>
      <c r="I79" s="108"/>
    </row>
    <row r="80" spans="3:9" x14ac:dyDescent="0.3">
      <c r="C80" s="107">
        <v>45361</v>
      </c>
      <c r="D80" s="108" t="s">
        <v>125</v>
      </c>
      <c r="E80" s="108" t="s">
        <v>116</v>
      </c>
      <c r="F80" s="108" t="s">
        <v>127</v>
      </c>
      <c r="G80" s="108">
        <v>3500</v>
      </c>
      <c r="H80" s="108"/>
      <c r="I80" s="108"/>
    </row>
    <row r="81" spans="3:9" x14ac:dyDescent="0.3">
      <c r="C81" s="107">
        <v>45366</v>
      </c>
      <c r="D81" s="108" t="s">
        <v>125</v>
      </c>
      <c r="E81" s="108" t="s">
        <v>115</v>
      </c>
      <c r="F81" s="108" t="s">
        <v>131</v>
      </c>
      <c r="G81" s="108">
        <v>1900</v>
      </c>
      <c r="H81" s="108"/>
      <c r="I81" s="108"/>
    </row>
    <row r="82" spans="3:9" x14ac:dyDescent="0.3">
      <c r="C82" s="107">
        <v>45371</v>
      </c>
      <c r="D82" s="108" t="s">
        <v>123</v>
      </c>
      <c r="E82" s="108" t="s">
        <v>114</v>
      </c>
      <c r="F82" s="108" t="s">
        <v>128</v>
      </c>
      <c r="G82" s="108">
        <v>650000</v>
      </c>
      <c r="H82" s="108"/>
      <c r="I82" s="108"/>
    </row>
    <row r="83" spans="3:9" x14ac:dyDescent="0.3">
      <c r="C83" s="107">
        <v>45376</v>
      </c>
      <c r="D83" s="108" t="s">
        <v>123</v>
      </c>
      <c r="E83" s="108" t="s">
        <v>115</v>
      </c>
      <c r="F83" s="108" t="s">
        <v>130</v>
      </c>
      <c r="G83" s="108">
        <v>380000</v>
      </c>
      <c r="H83" s="108"/>
      <c r="I83" s="108"/>
    </row>
    <row r="84" spans="3:9" x14ac:dyDescent="0.3">
      <c r="C84" s="107">
        <v>45383</v>
      </c>
      <c r="D84" s="108" t="s">
        <v>123</v>
      </c>
      <c r="E84" s="108" t="s">
        <v>115</v>
      </c>
      <c r="F84" s="108" t="s">
        <v>129</v>
      </c>
      <c r="G84" s="108">
        <v>260000</v>
      </c>
      <c r="H84" s="108"/>
      <c r="I84" s="108"/>
    </row>
    <row r="85" spans="3:9" x14ac:dyDescent="0.3">
      <c r="C85" s="107">
        <v>45387</v>
      </c>
      <c r="D85" s="108" t="s">
        <v>125</v>
      </c>
      <c r="E85" s="108" t="s">
        <v>115</v>
      </c>
      <c r="F85" s="108" t="s">
        <v>126</v>
      </c>
      <c r="G85" s="108">
        <v>2000</v>
      </c>
      <c r="H85" s="108"/>
      <c r="I85" s="108"/>
    </row>
    <row r="86" spans="3:9" x14ac:dyDescent="0.3">
      <c r="C86" s="107">
        <v>45392</v>
      </c>
      <c r="D86" s="108" t="s">
        <v>123</v>
      </c>
      <c r="E86" s="108" t="s">
        <v>116</v>
      </c>
      <c r="F86" s="108" t="s">
        <v>124</v>
      </c>
      <c r="G86" s="108">
        <v>220000</v>
      </c>
      <c r="H86" s="108"/>
      <c r="I86" s="108"/>
    </row>
    <row r="87" spans="3:9" x14ac:dyDescent="0.3">
      <c r="C87" s="107">
        <v>45397</v>
      </c>
      <c r="D87" s="108" t="s">
        <v>125</v>
      </c>
      <c r="E87" s="108" t="s">
        <v>115</v>
      </c>
      <c r="F87" s="108" t="s">
        <v>127</v>
      </c>
      <c r="G87" s="108">
        <v>1700</v>
      </c>
      <c r="H87" s="108"/>
      <c r="I87" s="108"/>
    </row>
    <row r="88" spans="3:9" x14ac:dyDescent="0.3">
      <c r="C88" s="107">
        <v>45402</v>
      </c>
      <c r="D88" s="108" t="s">
        <v>123</v>
      </c>
      <c r="E88" s="108" t="s">
        <v>115</v>
      </c>
      <c r="F88" s="108" t="s">
        <v>130</v>
      </c>
      <c r="G88" s="108">
        <v>340000</v>
      </c>
      <c r="H88" s="108"/>
      <c r="I88" s="108"/>
    </row>
    <row r="89" spans="3:9" x14ac:dyDescent="0.3">
      <c r="C89" s="107">
        <v>45407</v>
      </c>
      <c r="D89" s="108" t="s">
        <v>123</v>
      </c>
      <c r="E89" s="108" t="s">
        <v>114</v>
      </c>
      <c r="F89" s="108" t="s">
        <v>129</v>
      </c>
      <c r="G89" s="108">
        <v>550000</v>
      </c>
      <c r="H89" s="108"/>
      <c r="I89" s="108"/>
    </row>
    <row r="90" spans="3:9" x14ac:dyDescent="0.3">
      <c r="C90" s="107">
        <v>45413</v>
      </c>
      <c r="D90" s="108" t="s">
        <v>123</v>
      </c>
      <c r="E90" s="108" t="s">
        <v>115</v>
      </c>
      <c r="F90" s="108" t="s">
        <v>128</v>
      </c>
      <c r="G90" s="108">
        <v>290000</v>
      </c>
      <c r="H90" s="108"/>
      <c r="I90" s="108"/>
    </row>
    <row r="91" spans="3:9" x14ac:dyDescent="0.3">
      <c r="C91" s="107">
        <v>45417</v>
      </c>
      <c r="D91" s="108" t="s">
        <v>125</v>
      </c>
      <c r="E91" s="108" t="s">
        <v>115</v>
      </c>
      <c r="F91" s="108" t="s">
        <v>126</v>
      </c>
      <c r="G91" s="108">
        <v>2200</v>
      </c>
      <c r="H91" s="108"/>
      <c r="I91" s="108"/>
    </row>
    <row r="92" spans="3:9" x14ac:dyDescent="0.3">
      <c r="C92" s="107">
        <v>45422</v>
      </c>
      <c r="D92" s="108" t="s">
        <v>125</v>
      </c>
      <c r="E92" s="108" t="s">
        <v>114</v>
      </c>
      <c r="F92" s="108" t="s">
        <v>131</v>
      </c>
      <c r="G92" s="108">
        <v>3800</v>
      </c>
      <c r="H92" s="108"/>
      <c r="I92" s="108"/>
    </row>
    <row r="93" spans="3:9" x14ac:dyDescent="0.3">
      <c r="C93" s="107">
        <v>45427</v>
      </c>
      <c r="D93" s="108" t="s">
        <v>123</v>
      </c>
      <c r="E93" s="108" t="s">
        <v>114</v>
      </c>
      <c r="F93" s="108" t="s">
        <v>126</v>
      </c>
      <c r="G93" s="108">
        <v>590000</v>
      </c>
      <c r="H93" s="108"/>
      <c r="I93" s="108"/>
    </row>
    <row r="94" spans="3:9" x14ac:dyDescent="0.3">
      <c r="C94" s="107">
        <v>45432</v>
      </c>
      <c r="D94" s="108" t="s">
        <v>125</v>
      </c>
      <c r="E94" s="108" t="s">
        <v>115</v>
      </c>
      <c r="F94" s="108" t="s">
        <v>124</v>
      </c>
      <c r="G94" s="108">
        <v>2400</v>
      </c>
      <c r="H94" s="108"/>
      <c r="I94" s="108"/>
    </row>
    <row r="95" spans="3:9" x14ac:dyDescent="0.3">
      <c r="C95" s="107">
        <v>45437</v>
      </c>
      <c r="D95" s="108" t="s">
        <v>125</v>
      </c>
      <c r="E95" s="108" t="s">
        <v>115</v>
      </c>
      <c r="F95" s="108" t="s">
        <v>127</v>
      </c>
      <c r="G95" s="108">
        <v>1800</v>
      </c>
      <c r="H95" s="108"/>
      <c r="I95" s="108"/>
    </row>
    <row r="96" spans="3:9" x14ac:dyDescent="0.3">
      <c r="C96" s="107">
        <v>45444</v>
      </c>
      <c r="D96" s="108" t="s">
        <v>123</v>
      </c>
      <c r="E96" s="108" t="s">
        <v>116</v>
      </c>
      <c r="F96" s="108" t="s">
        <v>130</v>
      </c>
      <c r="G96" s="108">
        <v>250000</v>
      </c>
      <c r="H96" s="108"/>
      <c r="I96" s="108"/>
    </row>
    <row r="97" spans="3:9" x14ac:dyDescent="0.3">
      <c r="C97" s="107">
        <v>45448</v>
      </c>
      <c r="D97" s="108" t="s">
        <v>123</v>
      </c>
      <c r="E97" s="108" t="s">
        <v>114</v>
      </c>
      <c r="F97" s="108" t="s">
        <v>129</v>
      </c>
      <c r="G97" s="108">
        <v>520000</v>
      </c>
      <c r="H97" s="108"/>
      <c r="I97" s="108"/>
    </row>
    <row r="98" spans="3:9" x14ac:dyDescent="0.3">
      <c r="C98" s="107">
        <v>45231</v>
      </c>
      <c r="D98" s="108" t="s">
        <v>123</v>
      </c>
      <c r="E98" s="108" t="s">
        <v>114</v>
      </c>
      <c r="F98" s="108" t="s">
        <v>128</v>
      </c>
      <c r="G98" s="108">
        <v>720000</v>
      </c>
      <c r="H98" s="108"/>
      <c r="I98" s="108"/>
    </row>
    <row r="99" spans="3:9" x14ac:dyDescent="0.3">
      <c r="C99" s="107">
        <v>45235</v>
      </c>
      <c r="D99" s="108" t="s">
        <v>125</v>
      </c>
      <c r="E99" s="108" t="s">
        <v>115</v>
      </c>
      <c r="F99" s="108" t="s">
        <v>129</v>
      </c>
      <c r="G99" s="108">
        <v>2700</v>
      </c>
      <c r="H99" s="108"/>
      <c r="I99" s="108"/>
    </row>
    <row r="100" spans="3:9" x14ac:dyDescent="0.3">
      <c r="C100" s="107">
        <v>45240</v>
      </c>
      <c r="D100" s="108" t="s">
        <v>123</v>
      </c>
      <c r="E100" s="108" t="s">
        <v>116</v>
      </c>
      <c r="F100" s="108" t="s">
        <v>130</v>
      </c>
      <c r="G100" s="108">
        <v>350000</v>
      </c>
      <c r="H100" s="108"/>
      <c r="I100" s="108"/>
    </row>
    <row r="101" spans="3:9" x14ac:dyDescent="0.3">
      <c r="C101" s="107">
        <v>45245</v>
      </c>
      <c r="D101" s="108" t="s">
        <v>125</v>
      </c>
      <c r="E101" s="108" t="s">
        <v>115</v>
      </c>
      <c r="F101" s="108" t="s">
        <v>126</v>
      </c>
      <c r="G101" s="108">
        <v>1900</v>
      </c>
      <c r="H101" s="108"/>
      <c r="I101" s="108"/>
    </row>
    <row r="102" spans="3:9" x14ac:dyDescent="0.3">
      <c r="C102" s="107">
        <v>45250</v>
      </c>
      <c r="D102" s="108" t="s">
        <v>123</v>
      </c>
      <c r="E102" s="108" t="s">
        <v>115</v>
      </c>
      <c r="F102" s="108" t="s">
        <v>124</v>
      </c>
      <c r="G102" s="108">
        <v>290000</v>
      </c>
      <c r="H102" s="108"/>
      <c r="I102" s="108"/>
    </row>
    <row r="103" spans="3:9" x14ac:dyDescent="0.3">
      <c r="C103" s="107">
        <v>45255</v>
      </c>
      <c r="D103" s="108" t="s">
        <v>123</v>
      </c>
      <c r="E103" s="108" t="s">
        <v>114</v>
      </c>
      <c r="F103" s="108" t="s">
        <v>127</v>
      </c>
      <c r="G103" s="108">
        <v>540000</v>
      </c>
      <c r="H103" s="108"/>
      <c r="I103" s="108"/>
    </row>
    <row r="104" spans="3:9" x14ac:dyDescent="0.3">
      <c r="C104" s="107">
        <v>45261</v>
      </c>
      <c r="D104" s="108" t="s">
        <v>125</v>
      </c>
      <c r="E104" s="108" t="s">
        <v>114</v>
      </c>
      <c r="F104" s="108" t="s">
        <v>131</v>
      </c>
      <c r="G104" s="108">
        <v>4200</v>
      </c>
      <c r="H104" s="108"/>
      <c r="I104" s="108"/>
    </row>
    <row r="105" spans="3:9" x14ac:dyDescent="0.3">
      <c r="C105" s="107">
        <v>45265</v>
      </c>
      <c r="D105" s="108" t="s">
        <v>123</v>
      </c>
      <c r="E105" s="108" t="s">
        <v>115</v>
      </c>
      <c r="F105" s="108" t="s">
        <v>130</v>
      </c>
      <c r="G105" s="108">
        <v>310000</v>
      </c>
      <c r="H105" s="108"/>
      <c r="I105" s="108"/>
    </row>
    <row r="106" spans="3:9" x14ac:dyDescent="0.3">
      <c r="C106" s="107">
        <v>45270</v>
      </c>
      <c r="D106" s="108" t="s">
        <v>123</v>
      </c>
      <c r="E106" s="108" t="s">
        <v>116</v>
      </c>
      <c r="F106" s="108" t="s">
        <v>129</v>
      </c>
      <c r="G106" s="108">
        <v>190000</v>
      </c>
      <c r="H106" s="108"/>
      <c r="I106" s="108"/>
    </row>
    <row r="107" spans="3:9" x14ac:dyDescent="0.3">
      <c r="C107" s="107">
        <v>45275</v>
      </c>
      <c r="D107" s="108" t="s">
        <v>125</v>
      </c>
      <c r="E107" s="108" t="s">
        <v>115</v>
      </c>
      <c r="F107" s="108" t="s">
        <v>128</v>
      </c>
      <c r="G107" s="108">
        <v>2000</v>
      </c>
      <c r="H107" s="108"/>
      <c r="I107" s="108"/>
    </row>
    <row r="108" spans="3:9" x14ac:dyDescent="0.3">
      <c r="C108" s="107">
        <v>45280</v>
      </c>
      <c r="D108" s="108" t="s">
        <v>125</v>
      </c>
      <c r="E108" s="108" t="s">
        <v>114</v>
      </c>
      <c r="F108" s="108" t="s">
        <v>126</v>
      </c>
      <c r="G108" s="108">
        <v>4300</v>
      </c>
      <c r="H108" s="108"/>
      <c r="I108" s="108"/>
    </row>
    <row r="109" spans="3:9" x14ac:dyDescent="0.3">
      <c r="C109" s="107">
        <v>45285</v>
      </c>
      <c r="D109" s="108" t="s">
        <v>123</v>
      </c>
      <c r="E109" s="108" t="s">
        <v>115</v>
      </c>
      <c r="F109" s="108" t="s">
        <v>124</v>
      </c>
      <c r="G109" s="108">
        <v>270000</v>
      </c>
      <c r="H109" s="108"/>
      <c r="I109" s="108"/>
    </row>
    <row r="110" spans="3:9" x14ac:dyDescent="0.3">
      <c r="C110" s="107">
        <v>45292</v>
      </c>
      <c r="D110" s="108" t="s">
        <v>123</v>
      </c>
      <c r="E110" s="108" t="s">
        <v>114</v>
      </c>
      <c r="F110" s="108" t="s">
        <v>127</v>
      </c>
      <c r="G110" s="108">
        <v>610000</v>
      </c>
      <c r="H110" s="108"/>
      <c r="I110" s="108"/>
    </row>
    <row r="111" spans="3:9" x14ac:dyDescent="0.3">
      <c r="C111" s="107">
        <v>45296</v>
      </c>
      <c r="D111" s="108" t="s">
        <v>125</v>
      </c>
      <c r="E111" s="108" t="s">
        <v>115</v>
      </c>
      <c r="F111" s="108" t="s">
        <v>131</v>
      </c>
      <c r="G111" s="108">
        <v>2200</v>
      </c>
      <c r="H111" s="108"/>
      <c r="I111" s="108"/>
    </row>
    <row r="112" spans="3:9" x14ac:dyDescent="0.3">
      <c r="C112" s="107">
        <v>45301</v>
      </c>
      <c r="D112" s="108" t="s">
        <v>123</v>
      </c>
      <c r="E112" s="108" t="s">
        <v>116</v>
      </c>
      <c r="F112" s="108" t="s">
        <v>130</v>
      </c>
      <c r="G112" s="108">
        <v>230000</v>
      </c>
      <c r="H112" s="108"/>
      <c r="I112" s="108"/>
    </row>
    <row r="113" spans="3:9" x14ac:dyDescent="0.3">
      <c r="C113" s="107">
        <v>45337</v>
      </c>
      <c r="D113" s="108" t="s">
        <v>125</v>
      </c>
      <c r="E113" s="108" t="s">
        <v>115</v>
      </c>
      <c r="F113" s="108" t="s">
        <v>126</v>
      </c>
      <c r="G113" s="108">
        <v>1800</v>
      </c>
      <c r="H113" s="108"/>
      <c r="I113" s="108"/>
    </row>
    <row r="114" spans="3:9" x14ac:dyDescent="0.3">
      <c r="C114" s="107">
        <v>45342</v>
      </c>
      <c r="D114" s="108" t="s">
        <v>123</v>
      </c>
      <c r="E114" s="108" t="s">
        <v>114</v>
      </c>
      <c r="F114" s="108" t="s">
        <v>128</v>
      </c>
      <c r="G114" s="108">
        <v>480000</v>
      </c>
      <c r="H114" s="108"/>
      <c r="I114" s="108"/>
    </row>
    <row r="115" spans="3:9" x14ac:dyDescent="0.3">
      <c r="C115" s="107">
        <v>45347</v>
      </c>
      <c r="D115" s="108" t="s">
        <v>123</v>
      </c>
      <c r="E115" s="108" t="s">
        <v>115</v>
      </c>
      <c r="F115" s="108" t="s">
        <v>129</v>
      </c>
      <c r="G115" s="108">
        <v>320000</v>
      </c>
      <c r="H115" s="108"/>
      <c r="I115" s="108"/>
    </row>
    <row r="116" spans="3:9" x14ac:dyDescent="0.3">
      <c r="C116" s="107">
        <v>45352</v>
      </c>
      <c r="D116" s="108" t="s">
        <v>125</v>
      </c>
      <c r="E116" s="108" t="s">
        <v>115</v>
      </c>
      <c r="F116" s="108" t="s">
        <v>124</v>
      </c>
      <c r="G116" s="108">
        <v>2000</v>
      </c>
      <c r="H116" s="108"/>
      <c r="I116" s="108"/>
    </row>
    <row r="117" spans="3:9" x14ac:dyDescent="0.3">
      <c r="C117" s="107">
        <v>45356</v>
      </c>
      <c r="D117" s="108" t="s">
        <v>123</v>
      </c>
      <c r="E117" s="108" t="s">
        <v>114</v>
      </c>
      <c r="F117" s="108" t="s">
        <v>127</v>
      </c>
      <c r="G117" s="108">
        <v>530000</v>
      </c>
      <c r="H117" s="108"/>
      <c r="I117" s="108"/>
    </row>
    <row r="118" spans="3:9" x14ac:dyDescent="0.3">
      <c r="C118" s="107">
        <v>45361</v>
      </c>
      <c r="D118" s="108" t="s">
        <v>125</v>
      </c>
      <c r="E118" s="108" t="s">
        <v>116</v>
      </c>
      <c r="F118" s="108" t="s">
        <v>130</v>
      </c>
      <c r="G118" s="108">
        <v>3600</v>
      </c>
      <c r="H118" s="108"/>
      <c r="I118" s="108"/>
    </row>
    <row r="119" spans="3:9" x14ac:dyDescent="0.3">
      <c r="C119" s="107">
        <v>45366</v>
      </c>
      <c r="D119" s="108" t="s">
        <v>125</v>
      </c>
      <c r="E119" s="108" t="s">
        <v>115</v>
      </c>
      <c r="F119" s="108" t="s">
        <v>131</v>
      </c>
      <c r="G119" s="108">
        <v>1800</v>
      </c>
      <c r="H119" s="108"/>
      <c r="I119" s="108"/>
    </row>
    <row r="120" spans="3:9" x14ac:dyDescent="0.3">
      <c r="C120" s="107">
        <v>45371</v>
      </c>
      <c r="D120" s="108" t="s">
        <v>123</v>
      </c>
      <c r="E120" s="108" t="s">
        <v>114</v>
      </c>
      <c r="F120" s="108" t="s">
        <v>128</v>
      </c>
      <c r="G120" s="108">
        <v>680000</v>
      </c>
      <c r="H120" s="108"/>
      <c r="I120" s="108"/>
    </row>
    <row r="121" spans="3:9" x14ac:dyDescent="0.3">
      <c r="C121" s="107">
        <v>45376</v>
      </c>
      <c r="D121" s="108" t="s">
        <v>123</v>
      </c>
      <c r="E121" s="108" t="s">
        <v>115</v>
      </c>
      <c r="F121" s="108" t="s">
        <v>124</v>
      </c>
      <c r="G121" s="108">
        <v>340000</v>
      </c>
      <c r="H121" s="108"/>
      <c r="I121" s="108"/>
    </row>
    <row r="122" spans="3:9" x14ac:dyDescent="0.3">
      <c r="C122" s="107">
        <v>45383</v>
      </c>
      <c r="D122" s="108" t="s">
        <v>123</v>
      </c>
      <c r="E122" s="108" t="s">
        <v>115</v>
      </c>
      <c r="F122" s="108" t="s">
        <v>129</v>
      </c>
      <c r="G122" s="108">
        <v>280000</v>
      </c>
      <c r="H122" s="108"/>
      <c r="I122" s="108"/>
    </row>
    <row r="123" spans="3:9" x14ac:dyDescent="0.3">
      <c r="C123" s="107">
        <v>45387</v>
      </c>
      <c r="D123" s="108" t="s">
        <v>125</v>
      </c>
      <c r="E123" s="108" t="s">
        <v>115</v>
      </c>
      <c r="F123" s="108" t="s">
        <v>126</v>
      </c>
      <c r="G123" s="108">
        <v>2100</v>
      </c>
      <c r="H123" s="108"/>
      <c r="I123" s="108"/>
    </row>
    <row r="124" spans="3:9" x14ac:dyDescent="0.3">
      <c r="C124" s="107">
        <v>45392</v>
      </c>
      <c r="D124" s="108" t="s">
        <v>123</v>
      </c>
      <c r="E124" s="108" t="s">
        <v>116</v>
      </c>
      <c r="F124" s="108" t="s">
        <v>131</v>
      </c>
      <c r="G124" s="108">
        <v>190000</v>
      </c>
      <c r="H124" s="108"/>
      <c r="I124" s="108"/>
    </row>
    <row r="125" spans="3:9" x14ac:dyDescent="0.3">
      <c r="C125" s="107">
        <v>45397</v>
      </c>
      <c r="D125" s="108" t="s">
        <v>125</v>
      </c>
      <c r="E125" s="108" t="s">
        <v>115</v>
      </c>
      <c r="F125" s="108" t="s">
        <v>127</v>
      </c>
      <c r="G125" s="108">
        <v>1600</v>
      </c>
      <c r="H125" s="108"/>
      <c r="I125" s="108"/>
    </row>
    <row r="126" spans="3:9" x14ac:dyDescent="0.3">
      <c r="C126" s="107">
        <v>45402</v>
      </c>
      <c r="D126" s="108" t="s">
        <v>123</v>
      </c>
      <c r="E126" s="108" t="s">
        <v>115</v>
      </c>
      <c r="F126" s="108" t="s">
        <v>130</v>
      </c>
      <c r="G126" s="108">
        <v>330000</v>
      </c>
      <c r="H126" s="108"/>
      <c r="I126" s="108"/>
    </row>
    <row r="127" spans="3:9" x14ac:dyDescent="0.3">
      <c r="C127" s="107">
        <v>45407</v>
      </c>
      <c r="D127" s="108" t="s">
        <v>123</v>
      </c>
      <c r="E127" s="108" t="s">
        <v>114</v>
      </c>
      <c r="F127" s="108" t="s">
        <v>128</v>
      </c>
      <c r="G127" s="108">
        <v>590000</v>
      </c>
      <c r="H127" s="108"/>
      <c r="I127" s="108"/>
    </row>
    <row r="128" spans="3:9" x14ac:dyDescent="0.3">
      <c r="C128" s="107">
        <v>45413</v>
      </c>
      <c r="D128" s="108" t="s">
        <v>123</v>
      </c>
      <c r="E128" s="108" t="s">
        <v>115</v>
      </c>
      <c r="F128" s="108" t="s">
        <v>124</v>
      </c>
      <c r="G128" s="108">
        <v>300000</v>
      </c>
      <c r="H128" s="108"/>
      <c r="I128" s="108"/>
    </row>
    <row r="129" spans="3:9" x14ac:dyDescent="0.3">
      <c r="C129" s="107">
        <v>45417</v>
      </c>
      <c r="D129" s="108" t="s">
        <v>125</v>
      </c>
      <c r="E129" s="108" t="s">
        <v>115</v>
      </c>
      <c r="F129" s="108" t="s">
        <v>126</v>
      </c>
      <c r="G129" s="108">
        <v>2300</v>
      </c>
      <c r="H129" s="108"/>
      <c r="I129" s="108"/>
    </row>
    <row r="130" spans="3:9" x14ac:dyDescent="0.3">
      <c r="C130" s="107">
        <v>45422</v>
      </c>
      <c r="D130" s="108" t="s">
        <v>125</v>
      </c>
      <c r="E130" s="108" t="s">
        <v>114</v>
      </c>
      <c r="F130" s="108" t="s">
        <v>131</v>
      </c>
      <c r="G130" s="108">
        <v>3800</v>
      </c>
      <c r="H130" s="108"/>
      <c r="I130" s="108"/>
    </row>
    <row r="131" spans="3:9" x14ac:dyDescent="0.3">
      <c r="C131" s="107">
        <v>45427</v>
      </c>
      <c r="D131" s="108" t="s">
        <v>123</v>
      </c>
      <c r="E131" s="108" t="s">
        <v>114</v>
      </c>
      <c r="F131" s="108" t="s">
        <v>126</v>
      </c>
      <c r="G131" s="108">
        <v>610000</v>
      </c>
      <c r="H131" s="108"/>
      <c r="I131" s="108"/>
    </row>
    <row r="132" spans="3:9" x14ac:dyDescent="0.3">
      <c r="C132" s="107">
        <v>45432</v>
      </c>
      <c r="D132" s="108" t="s">
        <v>125</v>
      </c>
      <c r="E132" s="108" t="s">
        <v>115</v>
      </c>
      <c r="F132" s="108" t="s">
        <v>124</v>
      </c>
      <c r="G132" s="108">
        <v>2400</v>
      </c>
      <c r="H132" s="108"/>
      <c r="I132" s="108"/>
    </row>
    <row r="133" spans="3:9" x14ac:dyDescent="0.3">
      <c r="C133" s="107">
        <v>45437</v>
      </c>
      <c r="D133" s="108" t="s">
        <v>125</v>
      </c>
      <c r="E133" s="108" t="s">
        <v>115</v>
      </c>
      <c r="F133" s="108" t="s">
        <v>127</v>
      </c>
      <c r="G133" s="108">
        <v>1900</v>
      </c>
      <c r="H133" s="108"/>
      <c r="I133" s="108"/>
    </row>
    <row r="134" spans="3:9" x14ac:dyDescent="0.3">
      <c r="C134" s="107">
        <v>45444</v>
      </c>
      <c r="D134" s="108" t="s">
        <v>123</v>
      </c>
      <c r="E134" s="108" t="s">
        <v>116</v>
      </c>
      <c r="F134" s="108" t="s">
        <v>130</v>
      </c>
      <c r="G134" s="108">
        <v>260000</v>
      </c>
      <c r="H134" s="108"/>
      <c r="I134" s="108"/>
    </row>
    <row r="135" spans="3:9" x14ac:dyDescent="0.3">
      <c r="C135" s="107">
        <v>45448</v>
      </c>
      <c r="D135" s="108" t="s">
        <v>123</v>
      </c>
      <c r="E135" s="108" t="s">
        <v>114</v>
      </c>
      <c r="F135" s="108" t="s">
        <v>129</v>
      </c>
      <c r="G135" s="108">
        <v>550000</v>
      </c>
      <c r="H135" s="108"/>
      <c r="I135" s="108"/>
    </row>
    <row r="136" spans="3:9" x14ac:dyDescent="0.3">
      <c r="C136" s="107">
        <v>45231</v>
      </c>
      <c r="D136" s="108" t="s">
        <v>123</v>
      </c>
      <c r="E136" s="108" t="s">
        <v>115</v>
      </c>
      <c r="F136" s="108" t="s">
        <v>126</v>
      </c>
      <c r="G136" s="108">
        <v>280000</v>
      </c>
      <c r="H136" s="108"/>
      <c r="I136" s="108"/>
    </row>
    <row r="137" spans="3:9" x14ac:dyDescent="0.3">
      <c r="C137" s="107">
        <v>45235</v>
      </c>
      <c r="D137" s="108" t="s">
        <v>125</v>
      </c>
      <c r="E137" s="108" t="s">
        <v>115</v>
      </c>
      <c r="F137" s="108" t="s">
        <v>124</v>
      </c>
      <c r="G137" s="108">
        <v>2000</v>
      </c>
      <c r="H137" s="108"/>
      <c r="I137" s="108"/>
    </row>
    <row r="138" spans="3:9" x14ac:dyDescent="0.3">
      <c r="C138" s="107">
        <v>45240</v>
      </c>
      <c r="D138" s="108" t="s">
        <v>123</v>
      </c>
      <c r="E138" s="108" t="s">
        <v>114</v>
      </c>
      <c r="F138" s="108" t="s">
        <v>130</v>
      </c>
      <c r="G138" s="108">
        <v>620000</v>
      </c>
      <c r="H138" s="108"/>
      <c r="I138" s="108"/>
    </row>
    <row r="139" spans="3:9" x14ac:dyDescent="0.3">
      <c r="C139" s="107">
        <v>45245</v>
      </c>
      <c r="D139" s="108" t="s">
        <v>125</v>
      </c>
      <c r="E139" s="108" t="s">
        <v>115</v>
      </c>
      <c r="F139" s="108" t="s">
        <v>131</v>
      </c>
      <c r="G139" s="108">
        <v>1800</v>
      </c>
      <c r="H139" s="108"/>
      <c r="I139" s="108"/>
    </row>
    <row r="140" spans="3:9" x14ac:dyDescent="0.3">
      <c r="C140" s="107">
        <v>45250</v>
      </c>
      <c r="D140" s="108" t="s">
        <v>123</v>
      </c>
      <c r="E140" s="108" t="s">
        <v>115</v>
      </c>
      <c r="F140" s="108" t="s">
        <v>127</v>
      </c>
      <c r="G140" s="108">
        <v>350000</v>
      </c>
      <c r="H140" s="108"/>
      <c r="I140" s="108"/>
    </row>
    <row r="141" spans="3:9" x14ac:dyDescent="0.3">
      <c r="C141" s="107">
        <v>45255</v>
      </c>
      <c r="D141" s="108" t="s">
        <v>123</v>
      </c>
      <c r="E141" s="108" t="s">
        <v>114</v>
      </c>
      <c r="F141" s="108" t="s">
        <v>129</v>
      </c>
      <c r="G141" s="108">
        <v>550000</v>
      </c>
      <c r="H141" s="108"/>
      <c r="I141" s="108"/>
    </row>
    <row r="142" spans="3:9" x14ac:dyDescent="0.3">
      <c r="C142" s="107">
        <v>45261</v>
      </c>
      <c r="D142" s="108" t="s">
        <v>125</v>
      </c>
      <c r="E142" s="108" t="s">
        <v>114</v>
      </c>
      <c r="F142" s="108" t="s">
        <v>128</v>
      </c>
      <c r="G142" s="108">
        <v>4500</v>
      </c>
      <c r="H142" s="108"/>
      <c r="I142" s="108"/>
    </row>
    <row r="143" spans="3:9" x14ac:dyDescent="0.3">
      <c r="C143" s="107">
        <v>45265</v>
      </c>
      <c r="D143" s="108" t="s">
        <v>123</v>
      </c>
      <c r="E143" s="108" t="s">
        <v>115</v>
      </c>
      <c r="F143" s="108" t="s">
        <v>124</v>
      </c>
      <c r="G143" s="108">
        <v>290000</v>
      </c>
      <c r="H143" s="108"/>
      <c r="I143" s="108"/>
    </row>
    <row r="144" spans="3:9" x14ac:dyDescent="0.3">
      <c r="C144" s="107">
        <v>45270</v>
      </c>
      <c r="D144" s="108" t="s">
        <v>123</v>
      </c>
      <c r="E144" s="108" t="s">
        <v>116</v>
      </c>
      <c r="F144" s="108" t="s">
        <v>126</v>
      </c>
      <c r="G144" s="108">
        <v>220000</v>
      </c>
      <c r="H144" s="108"/>
      <c r="I144" s="108"/>
    </row>
    <row r="145" spans="3:9" x14ac:dyDescent="0.3">
      <c r="C145" s="107">
        <v>45275</v>
      </c>
      <c r="D145" s="108" t="s">
        <v>125</v>
      </c>
      <c r="E145" s="108" t="s">
        <v>115</v>
      </c>
      <c r="F145" s="108" t="s">
        <v>127</v>
      </c>
      <c r="G145" s="108">
        <v>1700</v>
      </c>
      <c r="H145" s="108"/>
      <c r="I145" s="108"/>
    </row>
    <row r="146" spans="3:9" x14ac:dyDescent="0.3">
      <c r="C146" s="107">
        <v>45280</v>
      </c>
      <c r="D146" s="108" t="s">
        <v>125</v>
      </c>
      <c r="E146" s="108" t="s">
        <v>114</v>
      </c>
      <c r="F146" s="108" t="s">
        <v>130</v>
      </c>
      <c r="G146" s="108">
        <v>4600</v>
      </c>
      <c r="H146" s="108"/>
      <c r="I146" s="108"/>
    </row>
    <row r="147" spans="3:9" x14ac:dyDescent="0.3">
      <c r="C147" s="107">
        <v>45285</v>
      </c>
      <c r="D147" s="108" t="s">
        <v>123</v>
      </c>
      <c r="E147" s="108" t="s">
        <v>115</v>
      </c>
      <c r="F147" s="108" t="s">
        <v>129</v>
      </c>
      <c r="G147" s="108">
        <v>320000</v>
      </c>
      <c r="H147" s="108"/>
      <c r="I147" s="108"/>
    </row>
    <row r="148" spans="3:9" x14ac:dyDescent="0.3">
      <c r="C148" s="107">
        <v>45292</v>
      </c>
      <c r="D148" s="108" t="s">
        <v>123</v>
      </c>
      <c r="E148" s="108" t="s">
        <v>114</v>
      </c>
      <c r="F148" s="108" t="s">
        <v>126</v>
      </c>
      <c r="G148" s="108">
        <v>640000</v>
      </c>
      <c r="H148" s="108"/>
      <c r="I148" s="108"/>
    </row>
    <row r="149" spans="3:9" x14ac:dyDescent="0.3">
      <c r="C149" s="107">
        <v>45296</v>
      </c>
      <c r="D149" s="108" t="s">
        <v>125</v>
      </c>
      <c r="E149" s="108" t="s">
        <v>115</v>
      </c>
      <c r="F149" s="108" t="s">
        <v>124</v>
      </c>
      <c r="G149" s="108">
        <v>2400</v>
      </c>
      <c r="H149" s="108"/>
      <c r="I149" s="108"/>
    </row>
    <row r="150" spans="3:9" x14ac:dyDescent="0.3">
      <c r="C150" s="107">
        <v>45301</v>
      </c>
      <c r="D150" s="108" t="s">
        <v>123</v>
      </c>
      <c r="E150" s="108" t="s">
        <v>116</v>
      </c>
      <c r="F150" s="108" t="s">
        <v>131</v>
      </c>
      <c r="G150" s="108">
        <v>200000</v>
      </c>
      <c r="H150" s="108"/>
      <c r="I150" s="108"/>
    </row>
    <row r="151" spans="3:9" x14ac:dyDescent="0.3">
      <c r="C151" s="107">
        <v>45337</v>
      </c>
      <c r="D151" s="108" t="s">
        <v>125</v>
      </c>
      <c r="E151" s="108" t="s">
        <v>115</v>
      </c>
      <c r="F151" s="108" t="s">
        <v>127</v>
      </c>
      <c r="G151" s="108">
        <v>1600</v>
      </c>
      <c r="H151" s="108"/>
      <c r="I151" s="108"/>
    </row>
    <row r="152" spans="3:9" x14ac:dyDescent="0.3">
      <c r="C152" s="107">
        <v>45342</v>
      </c>
      <c r="D152" s="108" t="s">
        <v>123</v>
      </c>
      <c r="E152" s="108" t="s">
        <v>114</v>
      </c>
      <c r="F152" s="108" t="s">
        <v>130</v>
      </c>
      <c r="G152" s="108">
        <v>480000</v>
      </c>
      <c r="H152" s="108"/>
      <c r="I152" s="108"/>
    </row>
    <row r="153" spans="3:9" x14ac:dyDescent="0.3">
      <c r="C153" s="107">
        <v>45347</v>
      </c>
      <c r="D153" s="108" t="s">
        <v>123</v>
      </c>
      <c r="E153" s="108" t="s">
        <v>115</v>
      </c>
      <c r="F153" s="108" t="s">
        <v>128</v>
      </c>
      <c r="G153" s="108">
        <v>330000</v>
      </c>
      <c r="H153" s="108"/>
      <c r="I153" s="108"/>
    </row>
    <row r="154" spans="3:9" x14ac:dyDescent="0.3">
      <c r="C154" s="107">
        <v>45352</v>
      </c>
      <c r="D154" s="108" t="s">
        <v>125</v>
      </c>
      <c r="E154" s="108" t="s">
        <v>115</v>
      </c>
      <c r="F154" s="108" t="s">
        <v>129</v>
      </c>
      <c r="G154" s="108">
        <v>2200</v>
      </c>
      <c r="H154" s="108"/>
      <c r="I154" s="108"/>
    </row>
    <row r="155" spans="3:9" x14ac:dyDescent="0.3">
      <c r="C155" s="107">
        <v>45356</v>
      </c>
      <c r="D155" s="108" t="s">
        <v>123</v>
      </c>
      <c r="E155" s="108" t="s">
        <v>114</v>
      </c>
      <c r="F155" s="108" t="s">
        <v>126</v>
      </c>
      <c r="G155" s="108">
        <v>570000</v>
      </c>
      <c r="H155" s="108"/>
      <c r="I155" s="108"/>
    </row>
    <row r="156" spans="3:9" x14ac:dyDescent="0.3">
      <c r="C156" s="107">
        <v>45361</v>
      </c>
      <c r="D156" s="108" t="s">
        <v>125</v>
      </c>
      <c r="E156" s="108" t="s">
        <v>116</v>
      </c>
      <c r="F156" s="108" t="s">
        <v>124</v>
      </c>
      <c r="G156" s="108">
        <v>3500</v>
      </c>
      <c r="H156" s="108"/>
      <c r="I156" s="108"/>
    </row>
    <row r="157" spans="3:9" x14ac:dyDescent="0.3">
      <c r="C157" s="107">
        <v>45366</v>
      </c>
      <c r="D157" s="108" t="s">
        <v>125</v>
      </c>
      <c r="E157" s="108" t="s">
        <v>115</v>
      </c>
      <c r="F157" s="108" t="s">
        <v>131</v>
      </c>
      <c r="G157" s="108">
        <v>1900</v>
      </c>
      <c r="H157" s="108"/>
      <c r="I157" s="108"/>
    </row>
    <row r="158" spans="3:9" x14ac:dyDescent="0.3">
      <c r="C158" s="107">
        <v>45371</v>
      </c>
      <c r="D158" s="108" t="s">
        <v>123</v>
      </c>
      <c r="E158" s="108" t="s">
        <v>114</v>
      </c>
      <c r="F158" s="108" t="s">
        <v>128</v>
      </c>
      <c r="G158" s="108">
        <v>670000</v>
      </c>
      <c r="H158" s="108"/>
      <c r="I158" s="108"/>
    </row>
    <row r="159" spans="3:9" x14ac:dyDescent="0.3">
      <c r="C159" s="107">
        <v>45376</v>
      </c>
      <c r="D159" s="108" t="s">
        <v>123</v>
      </c>
      <c r="E159" s="108" t="s">
        <v>115</v>
      </c>
      <c r="F159" s="108" t="s">
        <v>130</v>
      </c>
      <c r="G159" s="108">
        <v>390000</v>
      </c>
      <c r="H159" s="108"/>
      <c r="I159" s="108"/>
    </row>
    <row r="160" spans="3:9" x14ac:dyDescent="0.3">
      <c r="C160" s="107">
        <v>45383</v>
      </c>
      <c r="D160" s="108" t="s">
        <v>123</v>
      </c>
      <c r="E160" s="108" t="s">
        <v>115</v>
      </c>
      <c r="F160" s="108" t="s">
        <v>129</v>
      </c>
      <c r="G160" s="108">
        <v>250000</v>
      </c>
      <c r="H160" s="108"/>
      <c r="I160" s="108"/>
    </row>
    <row r="161" spans="3:9" x14ac:dyDescent="0.3">
      <c r="C161" s="107">
        <v>45387</v>
      </c>
      <c r="D161" s="108" t="s">
        <v>125</v>
      </c>
      <c r="E161" s="108" t="s">
        <v>115</v>
      </c>
      <c r="F161" s="108" t="s">
        <v>126</v>
      </c>
      <c r="G161" s="108">
        <v>2100</v>
      </c>
      <c r="H161" s="108"/>
      <c r="I161" s="108"/>
    </row>
    <row r="162" spans="3:9" x14ac:dyDescent="0.3">
      <c r="C162" s="107">
        <v>45392</v>
      </c>
      <c r="D162" s="108" t="s">
        <v>123</v>
      </c>
      <c r="E162" s="108" t="s">
        <v>116</v>
      </c>
      <c r="F162" s="108" t="s">
        <v>131</v>
      </c>
      <c r="G162" s="108">
        <v>180000</v>
      </c>
      <c r="H162" s="108"/>
      <c r="I162" s="108"/>
    </row>
    <row r="163" spans="3:9" x14ac:dyDescent="0.3">
      <c r="C163" s="107">
        <v>45397</v>
      </c>
      <c r="D163" s="108" t="s">
        <v>125</v>
      </c>
      <c r="E163" s="108" t="s">
        <v>115</v>
      </c>
      <c r="F163" s="108" t="s">
        <v>127</v>
      </c>
      <c r="G163" s="108">
        <v>1700</v>
      </c>
      <c r="H163" s="108"/>
      <c r="I163" s="108"/>
    </row>
    <row r="164" spans="3:9" x14ac:dyDescent="0.3">
      <c r="C164" s="107">
        <v>45402</v>
      </c>
      <c r="D164" s="108" t="s">
        <v>123</v>
      </c>
      <c r="E164" s="108" t="s">
        <v>115</v>
      </c>
      <c r="F164" s="108" t="s">
        <v>130</v>
      </c>
      <c r="G164" s="108">
        <v>360000</v>
      </c>
      <c r="H164" s="108"/>
      <c r="I164" s="108"/>
    </row>
    <row r="165" spans="3:9" x14ac:dyDescent="0.3">
      <c r="C165" s="107">
        <v>45407</v>
      </c>
      <c r="D165" s="108" t="s">
        <v>123</v>
      </c>
      <c r="E165" s="108" t="s">
        <v>114</v>
      </c>
      <c r="F165" s="108" t="s">
        <v>128</v>
      </c>
      <c r="G165" s="108">
        <v>630000</v>
      </c>
      <c r="H165" s="108"/>
      <c r="I165" s="108"/>
    </row>
    <row r="166" spans="3:9" x14ac:dyDescent="0.3">
      <c r="C166" s="107">
        <v>45413</v>
      </c>
      <c r="D166" s="108" t="s">
        <v>123</v>
      </c>
      <c r="E166" s="108" t="s">
        <v>115</v>
      </c>
      <c r="F166" s="108" t="s">
        <v>124</v>
      </c>
      <c r="G166" s="108">
        <v>300000</v>
      </c>
      <c r="H166" s="108"/>
      <c r="I166" s="108"/>
    </row>
    <row r="167" spans="3:9" x14ac:dyDescent="0.3">
      <c r="C167" s="107">
        <v>45417</v>
      </c>
      <c r="D167" s="108" t="s">
        <v>125</v>
      </c>
      <c r="E167" s="108" t="s">
        <v>115</v>
      </c>
      <c r="F167" s="108" t="s">
        <v>126</v>
      </c>
      <c r="G167" s="108">
        <v>2300</v>
      </c>
      <c r="H167" s="108"/>
      <c r="I167" s="108"/>
    </row>
    <row r="168" spans="3:9" x14ac:dyDescent="0.3">
      <c r="C168" s="107">
        <v>45422</v>
      </c>
      <c r="D168" s="108" t="s">
        <v>125</v>
      </c>
      <c r="E168" s="108" t="s">
        <v>114</v>
      </c>
      <c r="F168" s="108" t="s">
        <v>131</v>
      </c>
      <c r="G168" s="108">
        <v>3800</v>
      </c>
      <c r="H168" s="108"/>
      <c r="I168" s="108"/>
    </row>
    <row r="169" spans="3:9" x14ac:dyDescent="0.3">
      <c r="C169" s="107">
        <v>45427</v>
      </c>
      <c r="D169" s="108" t="s">
        <v>123</v>
      </c>
      <c r="E169" s="108" t="s">
        <v>114</v>
      </c>
      <c r="F169" s="108" t="s">
        <v>126</v>
      </c>
      <c r="G169" s="108">
        <v>590000</v>
      </c>
      <c r="H169" s="108"/>
      <c r="I169" s="108"/>
    </row>
    <row r="170" spans="3:9" x14ac:dyDescent="0.3">
      <c r="C170" s="107">
        <v>45432</v>
      </c>
      <c r="D170" s="108" t="s">
        <v>125</v>
      </c>
      <c r="E170" s="108" t="s">
        <v>115</v>
      </c>
      <c r="F170" s="108" t="s">
        <v>124</v>
      </c>
      <c r="G170" s="108">
        <v>2400</v>
      </c>
      <c r="H170" s="108"/>
      <c r="I170" s="108"/>
    </row>
    <row r="171" spans="3:9" x14ac:dyDescent="0.3">
      <c r="C171" s="107">
        <v>45437</v>
      </c>
      <c r="D171" s="108" t="s">
        <v>125</v>
      </c>
      <c r="E171" s="108" t="s">
        <v>115</v>
      </c>
      <c r="F171" s="108" t="s">
        <v>127</v>
      </c>
      <c r="G171" s="108">
        <v>1900</v>
      </c>
      <c r="H171" s="108"/>
      <c r="I171" s="108"/>
    </row>
    <row r="172" spans="3:9" x14ac:dyDescent="0.3">
      <c r="C172" s="107">
        <v>45444</v>
      </c>
      <c r="D172" s="108" t="s">
        <v>123</v>
      </c>
      <c r="E172" s="108" t="s">
        <v>116</v>
      </c>
      <c r="F172" s="108" t="s">
        <v>130</v>
      </c>
      <c r="G172" s="108">
        <v>250000</v>
      </c>
      <c r="H172" s="108"/>
      <c r="I172" s="108"/>
    </row>
    <row r="173" spans="3:9" x14ac:dyDescent="0.3">
      <c r="C173" s="107">
        <v>45448</v>
      </c>
      <c r="D173" s="108" t="s">
        <v>123</v>
      </c>
      <c r="E173" s="108" t="s">
        <v>114</v>
      </c>
      <c r="F173" s="108" t="s">
        <v>129</v>
      </c>
      <c r="G173" s="108">
        <v>520000</v>
      </c>
      <c r="H173" s="108"/>
      <c r="I173" s="108"/>
    </row>
  </sheetData>
  <mergeCells count="3">
    <mergeCell ref="N16:S16"/>
    <mergeCell ref="N17:S17"/>
    <mergeCell ref="AX22:BB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59F27-A16A-4F60-9D9C-C2A428314244}">
  <dimension ref="C5:Q173"/>
  <sheetViews>
    <sheetView zoomScale="88" zoomScaleNormal="93" workbookViewId="0">
      <selection activeCell="O4" sqref="O4"/>
    </sheetView>
  </sheetViews>
  <sheetFormatPr baseColWidth="10" defaultColWidth="10.88671875" defaultRowHeight="15.6" x14ac:dyDescent="0.3"/>
  <cols>
    <col min="1" max="5" width="10.88671875" style="98"/>
    <col min="6" max="6" width="11.5546875" style="98" customWidth="1"/>
    <col min="7" max="8" width="10.88671875" style="98"/>
    <col min="9" max="9" width="14.5546875" style="98" customWidth="1"/>
    <col min="10" max="12" width="10.88671875" style="98"/>
    <col min="13" max="13" width="15.5546875" style="98" customWidth="1"/>
    <col min="14" max="15" width="10.88671875" style="98"/>
    <col min="16" max="16" width="13.77734375" style="98" customWidth="1"/>
    <col min="17" max="16384" width="10.88671875" style="98"/>
  </cols>
  <sheetData>
    <row r="5" spans="3:17" ht="16.2" thickBot="1" x14ac:dyDescent="0.35"/>
    <row r="6" spans="3:17" ht="32.4" thickTop="1" thickBot="1" x14ac:dyDescent="0.35">
      <c r="C6" s="237" t="s">
        <v>89</v>
      </c>
      <c r="D6" s="238"/>
      <c r="E6" s="239"/>
      <c r="F6" s="237" t="s">
        <v>90</v>
      </c>
      <c r="G6" s="240"/>
      <c r="H6" s="101" t="s">
        <v>91</v>
      </c>
      <c r="I6" s="101" t="s">
        <v>92</v>
      </c>
      <c r="J6" s="237" t="s">
        <v>93</v>
      </c>
      <c r="K6" s="239"/>
      <c r="L6" s="100" t="s">
        <v>94</v>
      </c>
      <c r="M6" s="100" t="s">
        <v>92</v>
      </c>
      <c r="N6" s="100" t="s">
        <v>95</v>
      </c>
      <c r="O6" s="100" t="s">
        <v>96</v>
      </c>
      <c r="P6" s="100" t="s">
        <v>92</v>
      </c>
      <c r="Q6" s="100" t="s">
        <v>97</v>
      </c>
    </row>
    <row r="7" spans="3:17" ht="16.8" thickTop="1" thickBot="1" x14ac:dyDescent="0.35">
      <c r="C7" s="228" t="s">
        <v>98</v>
      </c>
      <c r="D7" s="229"/>
      <c r="E7" s="230"/>
      <c r="F7" s="231">
        <v>8</v>
      </c>
      <c r="G7" s="232"/>
      <c r="H7" s="241"/>
      <c r="I7" s="102"/>
      <c r="J7" s="231">
        <v>10</v>
      </c>
      <c r="K7" s="233"/>
      <c r="L7" s="234">
        <v>0.4</v>
      </c>
      <c r="M7" s="102"/>
      <c r="N7" s="103">
        <v>6.5</v>
      </c>
      <c r="O7" s="234">
        <v>0.35</v>
      </c>
      <c r="P7" s="102"/>
      <c r="Q7" s="102"/>
    </row>
    <row r="8" spans="3:17" ht="16.8" thickTop="1" thickBot="1" x14ac:dyDescent="0.35">
      <c r="C8" s="228" t="s">
        <v>99</v>
      </c>
      <c r="D8" s="229"/>
      <c r="E8" s="230"/>
      <c r="F8" s="231">
        <v>6.4</v>
      </c>
      <c r="G8" s="232"/>
      <c r="H8" s="242"/>
      <c r="I8" s="102"/>
      <c r="J8" s="231">
        <v>9</v>
      </c>
      <c r="K8" s="233"/>
      <c r="L8" s="235"/>
      <c r="M8" s="102"/>
      <c r="N8" s="103">
        <v>10</v>
      </c>
      <c r="O8" s="235"/>
      <c r="P8" s="102"/>
      <c r="Q8" s="102"/>
    </row>
    <row r="9" spans="3:17" ht="16.8" thickTop="1" thickBot="1" x14ac:dyDescent="0.35">
      <c r="C9" s="228" t="s">
        <v>100</v>
      </c>
      <c r="D9" s="229"/>
      <c r="E9" s="230"/>
      <c r="F9" s="231">
        <v>9</v>
      </c>
      <c r="G9" s="232"/>
      <c r="H9" s="242"/>
      <c r="I9" s="102"/>
      <c r="J9" s="231">
        <v>9.5</v>
      </c>
      <c r="K9" s="233"/>
      <c r="L9" s="235"/>
      <c r="M9" s="102"/>
      <c r="N9" s="103">
        <v>9</v>
      </c>
      <c r="O9" s="235"/>
      <c r="P9" s="102"/>
      <c r="Q9" s="102"/>
    </row>
    <row r="10" spans="3:17" ht="16.8" thickTop="1" thickBot="1" x14ac:dyDescent="0.35">
      <c r="C10" s="228" t="s">
        <v>101</v>
      </c>
      <c r="D10" s="229"/>
      <c r="E10" s="230"/>
      <c r="F10" s="231">
        <v>4.3</v>
      </c>
      <c r="G10" s="232"/>
      <c r="H10" s="242"/>
      <c r="I10" s="102"/>
      <c r="J10" s="231">
        <v>8</v>
      </c>
      <c r="K10" s="233"/>
      <c r="L10" s="235"/>
      <c r="M10" s="102"/>
      <c r="N10" s="103">
        <v>8.5</v>
      </c>
      <c r="O10" s="235"/>
      <c r="P10" s="102"/>
      <c r="Q10" s="102"/>
    </row>
    <row r="11" spans="3:17" ht="16.8" thickTop="1" thickBot="1" x14ac:dyDescent="0.35">
      <c r="C11" s="228" t="s">
        <v>102</v>
      </c>
      <c r="D11" s="229"/>
      <c r="E11" s="230"/>
      <c r="F11" s="231">
        <v>5.6</v>
      </c>
      <c r="G11" s="232"/>
      <c r="H11" s="242"/>
      <c r="I11" s="102"/>
      <c r="J11" s="231">
        <v>8.9</v>
      </c>
      <c r="K11" s="233"/>
      <c r="L11" s="235"/>
      <c r="M11" s="102"/>
      <c r="N11" s="103">
        <v>7</v>
      </c>
      <c r="O11" s="235"/>
      <c r="P11" s="102"/>
      <c r="Q11" s="102"/>
    </row>
    <row r="12" spans="3:17" ht="16.8" thickTop="1" thickBot="1" x14ac:dyDescent="0.35">
      <c r="C12" s="228" t="s">
        <v>103</v>
      </c>
      <c r="D12" s="229"/>
      <c r="E12" s="230"/>
      <c r="F12" s="231">
        <v>2</v>
      </c>
      <c r="G12" s="232"/>
      <c r="H12" s="242"/>
      <c r="I12" s="102"/>
      <c r="J12" s="231">
        <v>4</v>
      </c>
      <c r="K12" s="233"/>
      <c r="L12" s="235"/>
      <c r="M12" s="102"/>
      <c r="N12" s="103">
        <v>9.4</v>
      </c>
      <c r="O12" s="235"/>
      <c r="P12" s="102"/>
      <c r="Q12" s="102"/>
    </row>
    <row r="13" spans="3:17" ht="16.8" thickTop="1" thickBot="1" x14ac:dyDescent="0.35">
      <c r="C13" s="228" t="s">
        <v>104</v>
      </c>
      <c r="D13" s="229"/>
      <c r="E13" s="230"/>
      <c r="F13" s="231">
        <v>0</v>
      </c>
      <c r="G13" s="232"/>
      <c r="H13" s="242"/>
      <c r="I13" s="102"/>
      <c r="J13" s="231">
        <v>6.9</v>
      </c>
      <c r="K13" s="233"/>
      <c r="L13" s="235"/>
      <c r="M13" s="102"/>
      <c r="N13" s="103">
        <v>10</v>
      </c>
      <c r="O13" s="235"/>
      <c r="P13" s="102"/>
      <c r="Q13" s="102"/>
    </row>
    <row r="14" spans="3:17" ht="16.8" thickTop="1" thickBot="1" x14ac:dyDescent="0.35">
      <c r="C14" s="228" t="s">
        <v>105</v>
      </c>
      <c r="D14" s="229"/>
      <c r="E14" s="230"/>
      <c r="F14" s="231">
        <v>8</v>
      </c>
      <c r="G14" s="232"/>
      <c r="H14" s="242"/>
      <c r="I14" s="102"/>
      <c r="J14" s="231">
        <v>7</v>
      </c>
      <c r="K14" s="233"/>
      <c r="L14" s="235"/>
      <c r="M14" s="102"/>
      <c r="N14" s="103">
        <v>8.9</v>
      </c>
      <c r="O14" s="235"/>
      <c r="P14" s="102"/>
      <c r="Q14" s="102"/>
    </row>
    <row r="15" spans="3:17" ht="16.8" thickTop="1" thickBot="1" x14ac:dyDescent="0.35">
      <c r="C15" s="228" t="s">
        <v>106</v>
      </c>
      <c r="D15" s="229"/>
      <c r="E15" s="230"/>
      <c r="F15" s="231">
        <v>8.4</v>
      </c>
      <c r="G15" s="232"/>
      <c r="H15" s="242"/>
      <c r="I15" s="102"/>
      <c r="J15" s="231">
        <v>8.9</v>
      </c>
      <c r="K15" s="233"/>
      <c r="L15" s="235"/>
      <c r="M15" s="102"/>
      <c r="N15" s="103">
        <v>9</v>
      </c>
      <c r="O15" s="235"/>
      <c r="P15" s="102"/>
      <c r="Q15" s="102"/>
    </row>
    <row r="16" spans="3:17" ht="16.8" thickTop="1" thickBot="1" x14ac:dyDescent="0.35">
      <c r="C16" s="228" t="s">
        <v>107</v>
      </c>
      <c r="D16" s="229"/>
      <c r="E16" s="230"/>
      <c r="F16" s="231">
        <v>2.6</v>
      </c>
      <c r="G16" s="232"/>
      <c r="H16" s="242"/>
      <c r="I16" s="102"/>
      <c r="J16" s="231">
        <v>9.1999999999999993</v>
      </c>
      <c r="K16" s="233"/>
      <c r="L16" s="235"/>
      <c r="M16" s="102"/>
      <c r="N16" s="103">
        <v>9.5</v>
      </c>
      <c r="O16" s="235"/>
      <c r="P16" s="102"/>
      <c r="Q16" s="102"/>
    </row>
    <row r="17" spans="3:17" ht="16.8" thickTop="1" thickBot="1" x14ac:dyDescent="0.35">
      <c r="C17" s="228" t="s">
        <v>108</v>
      </c>
      <c r="D17" s="229"/>
      <c r="E17" s="230"/>
      <c r="F17" s="231">
        <v>9</v>
      </c>
      <c r="G17" s="232"/>
      <c r="H17" s="242"/>
      <c r="I17" s="102"/>
      <c r="J17" s="231">
        <v>8</v>
      </c>
      <c r="K17" s="233"/>
      <c r="L17" s="235"/>
      <c r="M17" s="102"/>
      <c r="N17" s="103">
        <v>2.2000000000000002</v>
      </c>
      <c r="O17" s="235"/>
      <c r="P17" s="102"/>
      <c r="Q17" s="102"/>
    </row>
    <row r="18" spans="3:17" ht="16.8" thickTop="1" thickBot="1" x14ac:dyDescent="0.35">
      <c r="C18" s="228" t="s">
        <v>109</v>
      </c>
      <c r="D18" s="229"/>
      <c r="E18" s="230"/>
      <c r="F18" s="231">
        <v>10</v>
      </c>
      <c r="G18" s="232"/>
      <c r="H18" s="242"/>
      <c r="I18" s="102"/>
      <c r="J18" s="231">
        <v>8.4</v>
      </c>
      <c r="K18" s="233"/>
      <c r="L18" s="235"/>
      <c r="M18" s="102"/>
      <c r="N18" s="103">
        <v>8</v>
      </c>
      <c r="O18" s="235"/>
      <c r="P18" s="102"/>
      <c r="Q18" s="102"/>
    </row>
    <row r="19" spans="3:17" ht="16.8" thickTop="1" thickBot="1" x14ac:dyDescent="0.35">
      <c r="C19" s="228" t="s">
        <v>110</v>
      </c>
      <c r="D19" s="229"/>
      <c r="E19" s="230"/>
      <c r="F19" s="231">
        <v>9.5</v>
      </c>
      <c r="G19" s="232"/>
      <c r="H19" s="242"/>
      <c r="I19" s="102"/>
      <c r="J19" s="231">
        <v>10</v>
      </c>
      <c r="K19" s="233"/>
      <c r="L19" s="235"/>
      <c r="M19" s="102"/>
      <c r="N19" s="103">
        <v>3.8</v>
      </c>
      <c r="O19" s="235"/>
      <c r="P19" s="102"/>
      <c r="Q19" s="102"/>
    </row>
    <row r="20" spans="3:17" ht="16.8" thickTop="1" thickBot="1" x14ac:dyDescent="0.35">
      <c r="C20" s="228" t="s">
        <v>111</v>
      </c>
      <c r="D20" s="229"/>
      <c r="E20" s="230"/>
      <c r="F20" s="231">
        <v>4.8</v>
      </c>
      <c r="G20" s="232"/>
      <c r="H20" s="242"/>
      <c r="I20" s="102"/>
      <c r="J20" s="231">
        <v>6.8</v>
      </c>
      <c r="K20" s="233"/>
      <c r="L20" s="235"/>
      <c r="M20" s="102"/>
      <c r="N20" s="103">
        <v>9.3000000000000007</v>
      </c>
      <c r="O20" s="235"/>
      <c r="P20" s="102"/>
      <c r="Q20" s="102"/>
    </row>
    <row r="21" spans="3:17" ht="16.8" thickTop="1" thickBot="1" x14ac:dyDescent="0.35">
      <c r="C21" s="228" t="s">
        <v>112</v>
      </c>
      <c r="D21" s="229"/>
      <c r="E21" s="230"/>
      <c r="F21" s="231">
        <v>6</v>
      </c>
      <c r="G21" s="232"/>
      <c r="H21" s="243"/>
      <c r="I21" s="102"/>
      <c r="J21" s="231">
        <v>7.5</v>
      </c>
      <c r="K21" s="233"/>
      <c r="L21" s="236"/>
      <c r="M21" s="102"/>
      <c r="N21" s="103">
        <v>4.7</v>
      </c>
      <c r="O21" s="236"/>
      <c r="P21" s="102"/>
      <c r="Q21" s="102"/>
    </row>
    <row r="22" spans="3:17" ht="16.2" thickTop="1" x14ac:dyDescent="0.3">
      <c r="G22" s="104"/>
      <c r="H22" s="104"/>
      <c r="I22" s="104"/>
    </row>
    <row r="23" spans="3:17" x14ac:dyDescent="0.3">
      <c r="G23" s="104"/>
      <c r="H23" s="104"/>
      <c r="I23" s="104"/>
    </row>
    <row r="24" spans="3:17" x14ac:dyDescent="0.3">
      <c r="G24" s="104"/>
      <c r="H24" s="104"/>
      <c r="I24" s="104"/>
    </row>
    <row r="25" spans="3:17" x14ac:dyDescent="0.3">
      <c r="G25" s="104"/>
      <c r="H25" s="104"/>
      <c r="I25" s="104"/>
    </row>
    <row r="26" spans="3:17" x14ac:dyDescent="0.3">
      <c r="G26" s="104"/>
      <c r="H26" s="104"/>
      <c r="I26" s="104"/>
    </row>
    <row r="27" spans="3:17" x14ac:dyDescent="0.3">
      <c r="G27" s="104"/>
      <c r="H27" s="104"/>
      <c r="I27" s="104"/>
    </row>
    <row r="28" spans="3:17" x14ac:dyDescent="0.3">
      <c r="G28" s="104"/>
      <c r="H28" s="104"/>
      <c r="I28" s="104"/>
    </row>
    <row r="29" spans="3:17" x14ac:dyDescent="0.3">
      <c r="G29" s="104"/>
      <c r="H29" s="104"/>
      <c r="I29" s="104"/>
    </row>
    <row r="30" spans="3:17" x14ac:dyDescent="0.3">
      <c r="G30" s="104"/>
      <c r="H30" s="104"/>
      <c r="I30" s="104"/>
    </row>
    <row r="31" spans="3:17" x14ac:dyDescent="0.3">
      <c r="G31" s="104"/>
      <c r="H31" s="104"/>
      <c r="I31" s="104"/>
    </row>
    <row r="32" spans="3:17" x14ac:dyDescent="0.3">
      <c r="G32" s="104"/>
      <c r="H32" s="104"/>
      <c r="I32" s="104"/>
    </row>
    <row r="33" spans="6:9" x14ac:dyDescent="0.3">
      <c r="G33" s="104"/>
      <c r="H33" s="104"/>
      <c r="I33" s="104"/>
    </row>
    <row r="34" spans="6:9" x14ac:dyDescent="0.3">
      <c r="G34" s="104"/>
      <c r="H34" s="104"/>
      <c r="I34" s="104"/>
    </row>
    <row r="35" spans="6:9" x14ac:dyDescent="0.3">
      <c r="G35" s="104"/>
      <c r="H35" s="104"/>
      <c r="I35" s="104"/>
    </row>
    <row r="36" spans="6:9" x14ac:dyDescent="0.3">
      <c r="G36" s="104"/>
      <c r="H36" s="104"/>
      <c r="I36" s="104"/>
    </row>
    <row r="37" spans="6:9" x14ac:dyDescent="0.3">
      <c r="G37" s="104"/>
      <c r="H37" s="104"/>
      <c r="I37" s="104"/>
    </row>
    <row r="38" spans="6:9" x14ac:dyDescent="0.3">
      <c r="G38" s="104"/>
      <c r="H38" s="104"/>
      <c r="I38" s="104"/>
    </row>
    <row r="39" spans="6:9" x14ac:dyDescent="0.3">
      <c r="G39" s="104"/>
      <c r="H39" s="104"/>
      <c r="I39" s="104"/>
    </row>
    <row r="40" spans="6:9" x14ac:dyDescent="0.3">
      <c r="G40" s="104"/>
      <c r="H40" s="104"/>
      <c r="I40" s="104"/>
    </row>
    <row r="41" spans="6:9" x14ac:dyDescent="0.3">
      <c r="G41" s="104"/>
      <c r="H41" s="104"/>
      <c r="I41" s="104"/>
    </row>
    <row r="42" spans="6:9" x14ac:dyDescent="0.3">
      <c r="G42" s="104"/>
      <c r="H42" s="104"/>
      <c r="I42" s="104"/>
    </row>
    <row r="43" spans="6:9" x14ac:dyDescent="0.3">
      <c r="G43" s="104"/>
      <c r="H43" s="104"/>
      <c r="I43" s="104"/>
    </row>
    <row r="44" spans="6:9" x14ac:dyDescent="0.3">
      <c r="G44" s="104"/>
      <c r="H44" s="104"/>
      <c r="I44" s="104"/>
    </row>
    <row r="45" spans="6:9" ht="16.2" thickBot="1" x14ac:dyDescent="0.35">
      <c r="G45" s="104"/>
      <c r="H45" s="104"/>
      <c r="I45" s="104"/>
    </row>
    <row r="46" spans="6:9" ht="32.4" thickTop="1" thickBot="1" x14ac:dyDescent="0.35">
      <c r="F46" s="99" t="s">
        <v>90</v>
      </c>
      <c r="G46" s="104"/>
      <c r="H46" s="104"/>
      <c r="I46" s="104"/>
    </row>
    <row r="47" spans="6:9" ht="16.2" thickTop="1" x14ac:dyDescent="0.3">
      <c r="G47" s="104"/>
      <c r="H47" s="104"/>
      <c r="I47" s="104"/>
    </row>
    <row r="48" spans="6:9" ht="16.2" thickBot="1" x14ac:dyDescent="0.35">
      <c r="G48" s="104"/>
      <c r="H48" s="104"/>
      <c r="I48" s="104"/>
    </row>
    <row r="49" spans="6:9" ht="32.4" thickTop="1" thickBot="1" x14ac:dyDescent="0.35">
      <c r="F49" s="99" t="s">
        <v>90</v>
      </c>
      <c r="G49" s="104"/>
      <c r="H49" s="104"/>
      <c r="I49" s="104"/>
    </row>
    <row r="50" spans="6:9" ht="16.2" thickTop="1" x14ac:dyDescent="0.3">
      <c r="G50" s="104"/>
      <c r="H50" s="104"/>
      <c r="I50" s="104"/>
    </row>
    <row r="51" spans="6:9" x14ac:dyDescent="0.3">
      <c r="G51" s="104"/>
      <c r="H51" s="104"/>
      <c r="I51" s="104"/>
    </row>
    <row r="52" spans="6:9" x14ac:dyDescent="0.3">
      <c r="G52" s="104"/>
      <c r="H52" s="104"/>
      <c r="I52" s="104"/>
    </row>
    <row r="53" spans="6:9" x14ac:dyDescent="0.3">
      <c r="G53" s="104"/>
      <c r="H53" s="104"/>
      <c r="I53" s="104"/>
    </row>
    <row r="54" spans="6:9" x14ac:dyDescent="0.3">
      <c r="G54" s="104"/>
      <c r="H54" s="104"/>
      <c r="I54" s="104"/>
    </row>
    <row r="55" spans="6:9" x14ac:dyDescent="0.3">
      <c r="G55" s="104"/>
      <c r="H55" s="104"/>
      <c r="I55" s="104"/>
    </row>
    <row r="56" spans="6:9" x14ac:dyDescent="0.3">
      <c r="G56" s="104"/>
      <c r="H56" s="104"/>
      <c r="I56" s="104"/>
    </row>
    <row r="57" spans="6:9" x14ac:dyDescent="0.3">
      <c r="G57" s="104"/>
      <c r="H57" s="104"/>
      <c r="I57" s="104"/>
    </row>
    <row r="58" spans="6:9" x14ac:dyDescent="0.3">
      <c r="G58" s="104"/>
      <c r="H58" s="104"/>
      <c r="I58" s="104"/>
    </row>
    <row r="59" spans="6:9" x14ac:dyDescent="0.3">
      <c r="G59" s="104"/>
      <c r="H59" s="104"/>
      <c r="I59" s="104"/>
    </row>
    <row r="60" spans="6:9" x14ac:dyDescent="0.3">
      <c r="G60" s="104"/>
      <c r="H60" s="104"/>
      <c r="I60" s="104"/>
    </row>
    <row r="61" spans="6:9" ht="16.2" thickBot="1" x14ac:dyDescent="0.35">
      <c r="G61" s="104"/>
      <c r="H61" s="104"/>
      <c r="I61" s="104"/>
    </row>
    <row r="62" spans="6:9" ht="32.4" thickTop="1" thickBot="1" x14ac:dyDescent="0.35">
      <c r="F62" s="99" t="s">
        <v>90</v>
      </c>
      <c r="G62" s="104"/>
      <c r="H62" s="104"/>
      <c r="I62" s="104"/>
    </row>
    <row r="63" spans="6:9" ht="16.2" thickTop="1" x14ac:dyDescent="0.3">
      <c r="G63" s="104"/>
      <c r="H63" s="104"/>
      <c r="I63" s="104"/>
    </row>
    <row r="64" spans="6:9" ht="16.2" thickBot="1" x14ac:dyDescent="0.35">
      <c r="G64" s="104"/>
      <c r="H64" s="104"/>
      <c r="I64" s="104"/>
    </row>
    <row r="65" spans="6:9" ht="32.4" thickTop="1" thickBot="1" x14ac:dyDescent="0.35">
      <c r="F65" s="99" t="s">
        <v>90</v>
      </c>
      <c r="G65" s="104"/>
      <c r="H65" s="104"/>
      <c r="I65" s="104"/>
    </row>
    <row r="66" spans="6:9" ht="16.2" thickTop="1" x14ac:dyDescent="0.3">
      <c r="G66" s="104"/>
      <c r="H66" s="104"/>
      <c r="I66" s="104"/>
    </row>
    <row r="67" spans="6:9" x14ac:dyDescent="0.3">
      <c r="G67" s="104"/>
      <c r="H67" s="104"/>
      <c r="I67" s="104"/>
    </row>
    <row r="68" spans="6:9" x14ac:dyDescent="0.3">
      <c r="G68" s="104"/>
      <c r="H68" s="104"/>
      <c r="I68" s="104"/>
    </row>
    <row r="69" spans="6:9" x14ac:dyDescent="0.3">
      <c r="G69" s="104"/>
      <c r="H69" s="104"/>
      <c r="I69" s="104"/>
    </row>
    <row r="70" spans="6:9" x14ac:dyDescent="0.3">
      <c r="G70" s="104"/>
      <c r="H70" s="104"/>
      <c r="I70" s="104"/>
    </row>
    <row r="71" spans="6:9" x14ac:dyDescent="0.3">
      <c r="G71" s="104"/>
      <c r="H71" s="104"/>
      <c r="I71" s="104"/>
    </row>
    <row r="72" spans="6:9" x14ac:dyDescent="0.3">
      <c r="G72" s="104"/>
      <c r="H72" s="104"/>
      <c r="I72" s="104"/>
    </row>
    <row r="73" spans="6:9" x14ac:dyDescent="0.3">
      <c r="G73" s="104"/>
      <c r="H73" s="104"/>
      <c r="I73" s="104"/>
    </row>
    <row r="74" spans="6:9" x14ac:dyDescent="0.3">
      <c r="G74" s="104"/>
      <c r="H74" s="104"/>
      <c r="I74" s="104"/>
    </row>
    <row r="75" spans="6:9" x14ac:dyDescent="0.3">
      <c r="G75" s="104"/>
      <c r="H75" s="104"/>
      <c r="I75" s="104"/>
    </row>
    <row r="76" spans="6:9" x14ac:dyDescent="0.3">
      <c r="G76" s="104"/>
      <c r="H76" s="104"/>
      <c r="I76" s="104"/>
    </row>
    <row r="77" spans="6:9" x14ac:dyDescent="0.3">
      <c r="G77" s="104"/>
      <c r="H77" s="104"/>
      <c r="I77" s="104"/>
    </row>
    <row r="78" spans="6:9" x14ac:dyDescent="0.3">
      <c r="G78" s="104"/>
      <c r="H78" s="104"/>
      <c r="I78" s="104"/>
    </row>
    <row r="79" spans="6:9" x14ac:dyDescent="0.3">
      <c r="G79" s="104"/>
      <c r="H79" s="104"/>
      <c r="I79" s="104"/>
    </row>
    <row r="80" spans="6:9" x14ac:dyDescent="0.3">
      <c r="G80" s="104"/>
      <c r="H80" s="104"/>
      <c r="I80" s="104"/>
    </row>
    <row r="81" spans="7:9" x14ac:dyDescent="0.3">
      <c r="G81" s="104"/>
      <c r="H81" s="104"/>
      <c r="I81" s="104"/>
    </row>
    <row r="82" spans="7:9" x14ac:dyDescent="0.3">
      <c r="G82" s="104"/>
      <c r="H82" s="104"/>
      <c r="I82" s="104"/>
    </row>
    <row r="83" spans="7:9" x14ac:dyDescent="0.3">
      <c r="G83" s="104"/>
      <c r="H83" s="104"/>
      <c r="I83" s="104"/>
    </row>
    <row r="84" spans="7:9" x14ac:dyDescent="0.3">
      <c r="G84" s="104"/>
      <c r="H84" s="104"/>
      <c r="I84" s="104"/>
    </row>
    <row r="85" spans="7:9" x14ac:dyDescent="0.3">
      <c r="G85" s="104"/>
      <c r="H85" s="104"/>
      <c r="I85" s="104"/>
    </row>
    <row r="86" spans="7:9" x14ac:dyDescent="0.3">
      <c r="G86" s="104"/>
      <c r="H86" s="104"/>
      <c r="I86" s="104"/>
    </row>
    <row r="87" spans="7:9" x14ac:dyDescent="0.3">
      <c r="G87" s="104"/>
      <c r="H87" s="104"/>
      <c r="I87" s="104"/>
    </row>
    <row r="88" spans="7:9" x14ac:dyDescent="0.3">
      <c r="G88" s="104"/>
      <c r="H88" s="104"/>
      <c r="I88" s="104"/>
    </row>
    <row r="89" spans="7:9" x14ac:dyDescent="0.3">
      <c r="G89" s="104"/>
      <c r="H89" s="104"/>
      <c r="I89" s="104"/>
    </row>
    <row r="90" spans="7:9" x14ac:dyDescent="0.3">
      <c r="G90" s="104"/>
      <c r="H90" s="104"/>
      <c r="I90" s="104"/>
    </row>
    <row r="91" spans="7:9" x14ac:dyDescent="0.3">
      <c r="G91" s="104"/>
      <c r="H91" s="104"/>
      <c r="I91" s="104"/>
    </row>
    <row r="92" spans="7:9" x14ac:dyDescent="0.3">
      <c r="G92" s="104"/>
      <c r="H92" s="104"/>
      <c r="I92" s="104"/>
    </row>
    <row r="93" spans="7:9" x14ac:dyDescent="0.3">
      <c r="G93" s="104"/>
      <c r="H93" s="104"/>
      <c r="I93" s="104"/>
    </row>
    <row r="94" spans="7:9" x14ac:dyDescent="0.3">
      <c r="G94" s="104"/>
      <c r="H94" s="104"/>
      <c r="I94" s="104"/>
    </row>
    <row r="95" spans="7:9" x14ac:dyDescent="0.3">
      <c r="G95" s="104"/>
      <c r="H95" s="104"/>
      <c r="I95" s="104"/>
    </row>
    <row r="96" spans="7:9" x14ac:dyDescent="0.3">
      <c r="G96" s="104"/>
      <c r="H96" s="104"/>
      <c r="I96" s="104"/>
    </row>
    <row r="97" spans="7:9" x14ac:dyDescent="0.3">
      <c r="G97" s="104"/>
      <c r="H97" s="104"/>
      <c r="I97" s="104"/>
    </row>
    <row r="98" spans="7:9" x14ac:dyDescent="0.3">
      <c r="G98" s="104"/>
      <c r="H98" s="104"/>
      <c r="I98" s="104"/>
    </row>
    <row r="99" spans="7:9" x14ac:dyDescent="0.3">
      <c r="G99" s="104"/>
      <c r="H99" s="104"/>
      <c r="I99" s="104"/>
    </row>
    <row r="100" spans="7:9" x14ac:dyDescent="0.3">
      <c r="G100" s="104"/>
      <c r="H100" s="104"/>
      <c r="I100" s="104"/>
    </row>
    <row r="101" spans="7:9" x14ac:dyDescent="0.3">
      <c r="G101" s="104"/>
      <c r="H101" s="104"/>
      <c r="I101" s="104"/>
    </row>
    <row r="102" spans="7:9" x14ac:dyDescent="0.3">
      <c r="G102" s="104"/>
      <c r="H102" s="104"/>
      <c r="I102" s="104"/>
    </row>
    <row r="103" spans="7:9" x14ac:dyDescent="0.3">
      <c r="G103" s="104"/>
      <c r="H103" s="104"/>
      <c r="I103" s="104"/>
    </row>
    <row r="104" spans="7:9" x14ac:dyDescent="0.3">
      <c r="G104" s="104"/>
      <c r="H104" s="104"/>
      <c r="I104" s="104"/>
    </row>
    <row r="105" spans="7:9" x14ac:dyDescent="0.3">
      <c r="G105" s="104"/>
      <c r="H105" s="104"/>
      <c r="I105" s="104"/>
    </row>
    <row r="106" spans="7:9" x14ac:dyDescent="0.3">
      <c r="G106" s="104"/>
      <c r="H106" s="104"/>
      <c r="I106" s="104"/>
    </row>
    <row r="107" spans="7:9" x14ac:dyDescent="0.3">
      <c r="G107" s="104"/>
      <c r="H107" s="104"/>
      <c r="I107" s="104"/>
    </row>
    <row r="108" spans="7:9" x14ac:dyDescent="0.3">
      <c r="G108" s="104"/>
      <c r="H108" s="104"/>
      <c r="I108" s="104"/>
    </row>
    <row r="109" spans="7:9" x14ac:dyDescent="0.3">
      <c r="G109" s="104"/>
      <c r="H109" s="104"/>
      <c r="I109" s="104"/>
    </row>
    <row r="110" spans="7:9" x14ac:dyDescent="0.3">
      <c r="G110" s="104"/>
      <c r="H110" s="104"/>
      <c r="I110" s="104"/>
    </row>
    <row r="111" spans="7:9" x14ac:dyDescent="0.3">
      <c r="G111" s="104"/>
      <c r="H111" s="104"/>
      <c r="I111" s="104"/>
    </row>
    <row r="112" spans="7:9" x14ac:dyDescent="0.3">
      <c r="G112" s="104"/>
      <c r="H112" s="104"/>
      <c r="I112" s="104"/>
    </row>
    <row r="113" spans="7:9" x14ac:dyDescent="0.3">
      <c r="G113" s="104"/>
      <c r="H113" s="104"/>
      <c r="I113" s="104"/>
    </row>
    <row r="114" spans="7:9" x14ac:dyDescent="0.3">
      <c r="G114" s="104"/>
      <c r="H114" s="104"/>
      <c r="I114" s="104"/>
    </row>
    <row r="115" spans="7:9" x14ac:dyDescent="0.3">
      <c r="G115" s="104"/>
      <c r="H115" s="104"/>
      <c r="I115" s="104"/>
    </row>
    <row r="116" spans="7:9" x14ac:dyDescent="0.3">
      <c r="G116" s="104"/>
      <c r="H116" s="104"/>
      <c r="I116" s="104"/>
    </row>
    <row r="117" spans="7:9" x14ac:dyDescent="0.3">
      <c r="G117" s="104"/>
      <c r="H117" s="104"/>
      <c r="I117" s="104"/>
    </row>
    <row r="118" spans="7:9" x14ac:dyDescent="0.3">
      <c r="G118" s="104"/>
      <c r="H118" s="104"/>
      <c r="I118" s="104"/>
    </row>
    <row r="119" spans="7:9" x14ac:dyDescent="0.3">
      <c r="G119" s="104"/>
      <c r="H119" s="104"/>
      <c r="I119" s="104"/>
    </row>
    <row r="120" spans="7:9" x14ac:dyDescent="0.3">
      <c r="G120" s="104"/>
      <c r="H120" s="104"/>
      <c r="I120" s="104"/>
    </row>
    <row r="121" spans="7:9" x14ac:dyDescent="0.3">
      <c r="G121" s="104"/>
      <c r="H121" s="104"/>
      <c r="I121" s="104"/>
    </row>
    <row r="122" spans="7:9" x14ac:dyDescent="0.3">
      <c r="G122" s="104"/>
      <c r="H122" s="104"/>
      <c r="I122" s="104"/>
    </row>
    <row r="123" spans="7:9" x14ac:dyDescent="0.3">
      <c r="G123" s="104"/>
      <c r="H123" s="104"/>
      <c r="I123" s="104"/>
    </row>
    <row r="124" spans="7:9" x14ac:dyDescent="0.3">
      <c r="G124" s="104"/>
      <c r="H124" s="104"/>
      <c r="I124" s="104"/>
    </row>
    <row r="125" spans="7:9" x14ac:dyDescent="0.3">
      <c r="G125" s="104"/>
      <c r="H125" s="104"/>
      <c r="I125" s="104"/>
    </row>
    <row r="126" spans="7:9" x14ac:dyDescent="0.3">
      <c r="G126" s="104"/>
      <c r="H126" s="104"/>
      <c r="I126" s="104"/>
    </row>
    <row r="127" spans="7:9" x14ac:dyDescent="0.3">
      <c r="G127" s="104"/>
      <c r="H127" s="104"/>
      <c r="I127" s="104"/>
    </row>
    <row r="128" spans="7:9" x14ac:dyDescent="0.3">
      <c r="G128" s="104"/>
      <c r="H128" s="104"/>
      <c r="I128" s="104"/>
    </row>
    <row r="129" spans="7:9" x14ac:dyDescent="0.3">
      <c r="G129" s="104"/>
      <c r="H129" s="104"/>
      <c r="I129" s="104"/>
    </row>
    <row r="130" spans="7:9" x14ac:dyDescent="0.3">
      <c r="G130" s="104"/>
      <c r="H130" s="104"/>
      <c r="I130" s="104"/>
    </row>
    <row r="131" spans="7:9" x14ac:dyDescent="0.3">
      <c r="G131" s="104"/>
      <c r="H131" s="104"/>
      <c r="I131" s="104"/>
    </row>
    <row r="132" spans="7:9" x14ac:dyDescent="0.3">
      <c r="G132" s="104"/>
      <c r="H132" s="104"/>
      <c r="I132" s="104"/>
    </row>
    <row r="133" spans="7:9" x14ac:dyDescent="0.3">
      <c r="G133" s="104"/>
      <c r="H133" s="104"/>
      <c r="I133" s="104"/>
    </row>
    <row r="134" spans="7:9" x14ac:dyDescent="0.3">
      <c r="G134" s="104"/>
      <c r="H134" s="104"/>
      <c r="I134" s="104"/>
    </row>
    <row r="135" spans="7:9" x14ac:dyDescent="0.3">
      <c r="G135" s="104"/>
      <c r="H135" s="104"/>
      <c r="I135" s="104"/>
    </row>
    <row r="136" spans="7:9" x14ac:dyDescent="0.3">
      <c r="G136" s="104"/>
      <c r="H136" s="104"/>
      <c r="I136" s="104"/>
    </row>
    <row r="137" spans="7:9" x14ac:dyDescent="0.3">
      <c r="G137" s="104"/>
      <c r="H137" s="104"/>
      <c r="I137" s="104"/>
    </row>
    <row r="138" spans="7:9" x14ac:dyDescent="0.3">
      <c r="G138" s="104"/>
      <c r="H138" s="104"/>
      <c r="I138" s="104"/>
    </row>
    <row r="139" spans="7:9" x14ac:dyDescent="0.3">
      <c r="G139" s="104"/>
      <c r="H139" s="104"/>
      <c r="I139" s="104"/>
    </row>
    <row r="140" spans="7:9" x14ac:dyDescent="0.3">
      <c r="G140" s="104"/>
      <c r="H140" s="104"/>
      <c r="I140" s="104"/>
    </row>
    <row r="141" spans="7:9" x14ac:dyDescent="0.3">
      <c r="G141" s="104"/>
      <c r="H141" s="104"/>
      <c r="I141" s="104"/>
    </row>
    <row r="142" spans="7:9" x14ac:dyDescent="0.3">
      <c r="G142" s="104"/>
      <c r="H142" s="104"/>
      <c r="I142" s="104"/>
    </row>
    <row r="143" spans="7:9" x14ac:dyDescent="0.3">
      <c r="G143" s="104"/>
      <c r="H143" s="104"/>
      <c r="I143" s="104"/>
    </row>
    <row r="144" spans="7:9" x14ac:dyDescent="0.3">
      <c r="G144" s="104"/>
      <c r="H144" s="104"/>
      <c r="I144" s="104"/>
    </row>
    <row r="145" spans="7:9" x14ac:dyDescent="0.3">
      <c r="G145" s="104"/>
      <c r="H145" s="104"/>
      <c r="I145" s="104"/>
    </row>
    <row r="146" spans="7:9" x14ac:dyDescent="0.3">
      <c r="G146" s="104"/>
      <c r="H146" s="104"/>
      <c r="I146" s="104"/>
    </row>
    <row r="147" spans="7:9" x14ac:dyDescent="0.3">
      <c r="G147" s="104"/>
      <c r="H147" s="104"/>
      <c r="I147" s="104"/>
    </row>
    <row r="148" spans="7:9" x14ac:dyDescent="0.3">
      <c r="G148" s="104"/>
      <c r="H148" s="104"/>
      <c r="I148" s="104"/>
    </row>
    <row r="149" spans="7:9" x14ac:dyDescent="0.3">
      <c r="G149" s="104"/>
      <c r="H149" s="104"/>
      <c r="I149" s="104"/>
    </row>
    <row r="150" spans="7:9" x14ac:dyDescent="0.3">
      <c r="G150" s="104"/>
      <c r="H150" s="104"/>
      <c r="I150" s="104"/>
    </row>
    <row r="151" spans="7:9" x14ac:dyDescent="0.3">
      <c r="G151" s="104"/>
      <c r="H151" s="104"/>
      <c r="I151" s="104"/>
    </row>
    <row r="152" spans="7:9" x14ac:dyDescent="0.3">
      <c r="G152" s="104"/>
      <c r="H152" s="104"/>
      <c r="I152" s="104"/>
    </row>
    <row r="153" spans="7:9" x14ac:dyDescent="0.3">
      <c r="G153" s="104"/>
      <c r="H153" s="104"/>
      <c r="I153" s="104"/>
    </row>
    <row r="154" spans="7:9" x14ac:dyDescent="0.3">
      <c r="G154" s="104"/>
      <c r="H154" s="104"/>
      <c r="I154" s="104"/>
    </row>
    <row r="155" spans="7:9" x14ac:dyDescent="0.3">
      <c r="G155" s="104"/>
      <c r="H155" s="104"/>
      <c r="I155" s="104"/>
    </row>
    <row r="156" spans="7:9" x14ac:dyDescent="0.3">
      <c r="G156" s="104"/>
      <c r="H156" s="104"/>
      <c r="I156" s="104"/>
    </row>
    <row r="157" spans="7:9" x14ac:dyDescent="0.3">
      <c r="G157" s="104"/>
      <c r="H157" s="104"/>
      <c r="I157" s="104"/>
    </row>
    <row r="158" spans="7:9" x14ac:dyDescent="0.3">
      <c r="G158" s="104"/>
      <c r="H158" s="104"/>
      <c r="I158" s="104"/>
    </row>
    <row r="159" spans="7:9" x14ac:dyDescent="0.3">
      <c r="G159" s="104"/>
      <c r="H159" s="104"/>
      <c r="I159" s="104"/>
    </row>
    <row r="160" spans="7:9" x14ac:dyDescent="0.3">
      <c r="G160" s="104"/>
      <c r="H160" s="104"/>
      <c r="I160" s="104"/>
    </row>
    <row r="161" spans="7:9" x14ac:dyDescent="0.3">
      <c r="G161" s="104"/>
      <c r="H161" s="104"/>
      <c r="I161" s="104"/>
    </row>
    <row r="162" spans="7:9" x14ac:dyDescent="0.3">
      <c r="G162" s="104"/>
      <c r="H162" s="104"/>
      <c r="I162" s="104"/>
    </row>
    <row r="163" spans="7:9" x14ac:dyDescent="0.3">
      <c r="G163" s="104"/>
      <c r="H163" s="104"/>
      <c r="I163" s="104"/>
    </row>
    <row r="164" spans="7:9" x14ac:dyDescent="0.3">
      <c r="G164" s="104"/>
      <c r="H164" s="104"/>
      <c r="I164" s="104"/>
    </row>
    <row r="165" spans="7:9" x14ac:dyDescent="0.3">
      <c r="G165" s="104"/>
      <c r="H165" s="104"/>
      <c r="I165" s="104"/>
    </row>
    <row r="166" spans="7:9" x14ac:dyDescent="0.3">
      <c r="G166" s="104"/>
      <c r="H166" s="104"/>
      <c r="I166" s="104"/>
    </row>
    <row r="167" spans="7:9" x14ac:dyDescent="0.3">
      <c r="G167" s="104"/>
      <c r="H167" s="104"/>
      <c r="I167" s="104"/>
    </row>
    <row r="168" spans="7:9" x14ac:dyDescent="0.3">
      <c r="G168" s="104"/>
      <c r="H168" s="104"/>
      <c r="I168" s="104"/>
    </row>
    <row r="169" spans="7:9" x14ac:dyDescent="0.3">
      <c r="G169" s="104"/>
      <c r="H169" s="104"/>
      <c r="I169" s="104"/>
    </row>
    <row r="170" spans="7:9" x14ac:dyDescent="0.3">
      <c r="G170" s="104"/>
      <c r="H170" s="104"/>
      <c r="I170" s="104"/>
    </row>
    <row r="171" spans="7:9" x14ac:dyDescent="0.3">
      <c r="G171" s="104"/>
      <c r="H171" s="104"/>
      <c r="I171" s="104"/>
    </row>
    <row r="172" spans="7:9" x14ac:dyDescent="0.3">
      <c r="G172" s="104"/>
      <c r="H172" s="104"/>
      <c r="I172" s="104"/>
    </row>
    <row r="173" spans="7:9" x14ac:dyDescent="0.3">
      <c r="G173" s="104"/>
      <c r="H173" s="104"/>
      <c r="I173" s="104"/>
    </row>
  </sheetData>
  <mergeCells count="51">
    <mergeCell ref="C6:E6"/>
    <mergeCell ref="F6:G6"/>
    <mergeCell ref="J6:K6"/>
    <mergeCell ref="C7:E7"/>
    <mergeCell ref="F7:G7"/>
    <mergeCell ref="H7:H21"/>
    <mergeCell ref="J7:K7"/>
    <mergeCell ref="J10:K10"/>
    <mergeCell ref="C11:E11"/>
    <mergeCell ref="F11:G11"/>
    <mergeCell ref="J13:K13"/>
    <mergeCell ref="C14:E14"/>
    <mergeCell ref="F14:G14"/>
    <mergeCell ref="J14:K14"/>
    <mergeCell ref="C15:E15"/>
    <mergeCell ref="F15:G15"/>
    <mergeCell ref="L7:L21"/>
    <mergeCell ref="O7:O21"/>
    <mergeCell ref="C8:E8"/>
    <mergeCell ref="F8:G8"/>
    <mergeCell ref="J8:K8"/>
    <mergeCell ref="C9:E9"/>
    <mergeCell ref="F9:G9"/>
    <mergeCell ref="J9:K9"/>
    <mergeCell ref="C10:E10"/>
    <mergeCell ref="F10:G10"/>
    <mergeCell ref="J11:K11"/>
    <mergeCell ref="C12:E12"/>
    <mergeCell ref="F12:G12"/>
    <mergeCell ref="J12:K12"/>
    <mergeCell ref="C13:E13"/>
    <mergeCell ref="F13:G13"/>
    <mergeCell ref="J15:K15"/>
    <mergeCell ref="C16:E16"/>
    <mergeCell ref="F16:G16"/>
    <mergeCell ref="J16:K16"/>
    <mergeCell ref="C17:E17"/>
    <mergeCell ref="F17:G17"/>
    <mergeCell ref="J17:K17"/>
    <mergeCell ref="C18:E18"/>
    <mergeCell ref="F18:G18"/>
    <mergeCell ref="J18:K18"/>
    <mergeCell ref="C19:E19"/>
    <mergeCell ref="F19:G19"/>
    <mergeCell ref="J19:K19"/>
    <mergeCell ref="C20:E20"/>
    <mergeCell ref="F20:G20"/>
    <mergeCell ref="J20:K20"/>
    <mergeCell ref="C21:E21"/>
    <mergeCell ref="F21:G21"/>
    <mergeCell ref="J21:K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4CA1-805E-4631-B8A4-762B17014A3D}">
  <dimension ref="B2:L16"/>
  <sheetViews>
    <sheetView zoomScale="103" zoomScaleNormal="151" workbookViewId="0">
      <selection activeCell="F22" sqref="F22"/>
    </sheetView>
  </sheetViews>
  <sheetFormatPr baseColWidth="10" defaultColWidth="11.5546875" defaultRowHeight="14.4" x14ac:dyDescent="0.3"/>
  <cols>
    <col min="1" max="1" width="11.5546875" style="109"/>
    <col min="2" max="2" width="12.77734375" style="109" customWidth="1"/>
    <col min="3" max="3" width="11.5546875" style="109"/>
    <col min="4" max="4" width="12.44140625" style="109" customWidth="1"/>
    <col min="5" max="6" width="11.5546875" style="109"/>
    <col min="7" max="7" width="18.44140625" style="109" bestFit="1" customWidth="1"/>
    <col min="8" max="8" width="11.44140625" style="109" bestFit="1" customWidth="1"/>
    <col min="9" max="9" width="11.5546875" style="109"/>
    <col min="10" max="10" width="11.44140625" style="109" bestFit="1" customWidth="1"/>
    <col min="11" max="16384" width="11.5546875" style="109"/>
  </cols>
  <sheetData>
    <row r="2" spans="2:12" ht="15" thickBot="1" x14ac:dyDescent="0.35"/>
    <row r="3" spans="2:12" ht="28.8" x14ac:dyDescent="0.3">
      <c r="B3" s="110" t="s">
        <v>134</v>
      </c>
      <c r="C3" s="111" t="s">
        <v>135</v>
      </c>
      <c r="D3" s="111" t="s">
        <v>136</v>
      </c>
      <c r="E3" s="111" t="s">
        <v>137</v>
      </c>
      <c r="F3" s="111" t="s">
        <v>138</v>
      </c>
      <c r="G3" s="112" t="s">
        <v>139</v>
      </c>
      <c r="H3" s="111" t="s">
        <v>140</v>
      </c>
      <c r="I3" s="111" t="s">
        <v>141</v>
      </c>
      <c r="J3" s="111" t="s">
        <v>142</v>
      </c>
      <c r="K3" s="111" t="s">
        <v>143</v>
      </c>
      <c r="L3" s="113" t="s">
        <v>144</v>
      </c>
    </row>
    <row r="4" spans="2:12" x14ac:dyDescent="0.3">
      <c r="B4" s="114"/>
      <c r="C4" s="115"/>
      <c r="D4" s="116"/>
      <c r="E4" s="116"/>
      <c r="F4" s="115"/>
      <c r="G4" s="115"/>
      <c r="H4" s="115"/>
      <c r="I4" s="115"/>
      <c r="J4" s="115"/>
      <c r="K4" s="115"/>
      <c r="L4" s="117"/>
    </row>
    <row r="5" spans="2:12" x14ac:dyDescent="0.3">
      <c r="B5" s="114" t="s">
        <v>145</v>
      </c>
      <c r="C5" s="115">
        <v>20</v>
      </c>
      <c r="D5" s="115">
        <v>1</v>
      </c>
      <c r="E5" s="115">
        <v>2</v>
      </c>
      <c r="F5" s="118">
        <v>20000</v>
      </c>
      <c r="G5" s="118">
        <v>8500</v>
      </c>
      <c r="H5" s="118"/>
      <c r="I5" s="118"/>
      <c r="J5" s="118">
        <v>10000</v>
      </c>
      <c r="K5" s="118"/>
      <c r="L5" s="119"/>
    </row>
    <row r="6" spans="2:12" x14ac:dyDescent="0.3">
      <c r="B6" s="114" t="s">
        <v>146</v>
      </c>
      <c r="C6" s="115">
        <v>15</v>
      </c>
      <c r="D6" s="115">
        <v>3</v>
      </c>
      <c r="E6" s="115">
        <v>1</v>
      </c>
      <c r="F6" s="118">
        <v>20000</v>
      </c>
      <c r="G6" s="118">
        <v>8500</v>
      </c>
      <c r="H6" s="118"/>
      <c r="I6" s="118"/>
      <c r="J6" s="118"/>
      <c r="K6" s="118"/>
      <c r="L6" s="119"/>
    </row>
    <row r="7" spans="2:12" x14ac:dyDescent="0.3">
      <c r="B7" s="114" t="s">
        <v>147</v>
      </c>
      <c r="C7" s="115">
        <v>10</v>
      </c>
      <c r="D7" s="115">
        <v>5</v>
      </c>
      <c r="E7" s="115">
        <v>2</v>
      </c>
      <c r="F7" s="118">
        <v>20000</v>
      </c>
      <c r="G7" s="118">
        <v>8500</v>
      </c>
      <c r="H7" s="118"/>
      <c r="I7" s="118"/>
      <c r="J7" s="118">
        <v>250000</v>
      </c>
      <c r="K7" s="118"/>
      <c r="L7" s="119"/>
    </row>
    <row r="8" spans="2:12" x14ac:dyDescent="0.3">
      <c r="B8" s="114" t="s">
        <v>148</v>
      </c>
      <c r="C8" s="115">
        <v>10</v>
      </c>
      <c r="D8" s="115">
        <v>0</v>
      </c>
      <c r="E8" s="115">
        <v>2</v>
      </c>
      <c r="F8" s="118">
        <v>20000</v>
      </c>
      <c r="G8" s="118">
        <v>8500</v>
      </c>
      <c r="H8" s="118"/>
      <c r="I8" s="118"/>
      <c r="J8" s="118"/>
      <c r="K8" s="118"/>
      <c r="L8" s="119"/>
    </row>
    <row r="9" spans="2:12" x14ac:dyDescent="0.3">
      <c r="B9" s="114" t="s">
        <v>149</v>
      </c>
      <c r="C9" s="115">
        <v>10</v>
      </c>
      <c r="D9" s="115">
        <v>0</v>
      </c>
      <c r="E9" s="115">
        <v>1</v>
      </c>
      <c r="F9" s="118">
        <v>20000</v>
      </c>
      <c r="G9" s="118">
        <v>8500</v>
      </c>
      <c r="H9" s="118"/>
      <c r="I9" s="118"/>
      <c r="J9" s="118">
        <v>45000</v>
      </c>
      <c r="K9" s="118"/>
      <c r="L9" s="119"/>
    </row>
    <row r="10" spans="2:12" x14ac:dyDescent="0.3">
      <c r="B10" s="114" t="s">
        <v>150</v>
      </c>
      <c r="C10" s="115">
        <v>8</v>
      </c>
      <c r="D10" s="115">
        <v>2</v>
      </c>
      <c r="E10" s="115">
        <v>1</v>
      </c>
      <c r="F10" s="118">
        <v>20000</v>
      </c>
      <c r="G10" s="118">
        <v>8500</v>
      </c>
      <c r="H10" s="118"/>
      <c r="I10" s="118"/>
      <c r="J10" s="118"/>
      <c r="K10" s="118"/>
      <c r="L10" s="119"/>
    </row>
    <row r="11" spans="2:12" x14ac:dyDescent="0.3">
      <c r="B11" s="114" t="s">
        <v>151</v>
      </c>
      <c r="C11" s="115">
        <v>6</v>
      </c>
      <c r="D11" s="115">
        <v>1</v>
      </c>
      <c r="E11" s="115">
        <v>1</v>
      </c>
      <c r="F11" s="118">
        <v>30000</v>
      </c>
      <c r="G11" s="118">
        <v>8500</v>
      </c>
      <c r="H11" s="118"/>
      <c r="I11" s="118"/>
      <c r="J11" s="118"/>
      <c r="K11" s="118"/>
      <c r="L11" s="119"/>
    </row>
    <row r="12" spans="2:12" x14ac:dyDescent="0.3">
      <c r="B12" s="114" t="s">
        <v>152</v>
      </c>
      <c r="C12" s="115">
        <v>12</v>
      </c>
      <c r="D12" s="115">
        <v>1</v>
      </c>
      <c r="E12" s="115">
        <v>1</v>
      </c>
      <c r="F12" s="118">
        <v>25000</v>
      </c>
      <c r="G12" s="118">
        <v>9500</v>
      </c>
      <c r="H12" s="118"/>
      <c r="I12" s="118"/>
      <c r="J12" s="118">
        <v>60000</v>
      </c>
      <c r="K12" s="118"/>
      <c r="L12" s="119"/>
    </row>
    <row r="13" spans="2:12" x14ac:dyDescent="0.3">
      <c r="B13" s="114" t="s">
        <v>153</v>
      </c>
      <c r="C13" s="115">
        <v>6</v>
      </c>
      <c r="D13" s="115">
        <v>3</v>
      </c>
      <c r="E13" s="115">
        <v>1</v>
      </c>
      <c r="F13" s="118">
        <v>25000</v>
      </c>
      <c r="G13" s="118">
        <v>9500</v>
      </c>
      <c r="H13" s="118"/>
      <c r="I13" s="118"/>
      <c r="J13" s="118"/>
      <c r="K13" s="118"/>
      <c r="L13" s="119"/>
    </row>
    <row r="14" spans="2:12" x14ac:dyDescent="0.3">
      <c r="B14" s="114" t="s">
        <v>154</v>
      </c>
      <c r="C14" s="115">
        <v>5</v>
      </c>
      <c r="D14" s="115">
        <v>1</v>
      </c>
      <c r="E14" s="115">
        <v>1</v>
      </c>
      <c r="F14" s="118">
        <v>30000</v>
      </c>
      <c r="G14" s="118">
        <v>9500</v>
      </c>
      <c r="H14" s="118"/>
      <c r="I14" s="118"/>
      <c r="J14" s="118"/>
      <c r="K14" s="118"/>
      <c r="L14" s="119"/>
    </row>
    <row r="15" spans="2:12" x14ac:dyDescent="0.3">
      <c r="B15" s="114" t="s">
        <v>155</v>
      </c>
      <c r="C15" s="115">
        <v>2</v>
      </c>
      <c r="D15" s="115">
        <v>2</v>
      </c>
      <c r="E15" s="115">
        <v>1</v>
      </c>
      <c r="F15" s="118">
        <v>30000</v>
      </c>
      <c r="G15" s="118">
        <v>9500</v>
      </c>
      <c r="H15" s="118"/>
      <c r="I15" s="118"/>
      <c r="J15" s="118">
        <v>30000</v>
      </c>
      <c r="K15" s="118"/>
      <c r="L15" s="119"/>
    </row>
    <row r="16" spans="2:12" ht="15" thickBot="1" x14ac:dyDescent="0.35">
      <c r="B16" s="120" t="s">
        <v>156</v>
      </c>
      <c r="C16" s="121">
        <v>6</v>
      </c>
      <c r="D16" s="121">
        <v>4</v>
      </c>
      <c r="E16" s="121">
        <v>1</v>
      </c>
      <c r="F16" s="122">
        <v>30000</v>
      </c>
      <c r="G16" s="122">
        <v>9500</v>
      </c>
      <c r="H16" s="118"/>
      <c r="I16" s="118"/>
      <c r="J16" s="121"/>
      <c r="K16" s="118"/>
      <c r="L16" s="11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XFD1048576"/>
  <sheetViews>
    <sheetView topLeftCell="B3" workbookViewId="0">
      <selection activeCell="M17" sqref="M17"/>
    </sheetView>
  </sheetViews>
  <sheetFormatPr baseColWidth="10" defaultColWidth="10.77734375" defaultRowHeight="13.2" x14ac:dyDescent="0.25"/>
  <sheetData>
    <row r="3" spans="2:14" x14ac:dyDescent="0.25">
      <c r="B3" s="2" t="s">
        <v>53</v>
      </c>
    </row>
    <row r="7" spans="2:14" x14ac:dyDescent="0.25">
      <c r="F7" s="95"/>
      <c r="I7" s="95"/>
      <c r="L7" s="95"/>
      <c r="N7" s="95"/>
    </row>
    <row r="15" spans="2:14" x14ac:dyDescent="0.25">
      <c r="J15" s="96">
        <v>0.63680555555555551</v>
      </c>
    </row>
    <row r="1048576" spans="16384:16384" x14ac:dyDescent="0.25">
      <c r="XFD1048576" t="s">
        <v>50</v>
      </c>
    </row>
  </sheetData>
  <phoneticPr fontId="7" type="noConversion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A25:HV28"/>
  <sheetViews>
    <sheetView topLeftCell="GY1" workbookViewId="0">
      <selection activeCell="HV28" sqref="HV28"/>
    </sheetView>
  </sheetViews>
  <sheetFormatPr baseColWidth="10" defaultColWidth="10.77734375" defaultRowHeight="13.2" x14ac:dyDescent="0.25"/>
  <sheetData>
    <row r="25" spans="27:230" x14ac:dyDescent="0.25">
      <c r="AA25" s="91" t="s">
        <v>51</v>
      </c>
    </row>
    <row r="28" spans="27:230" x14ac:dyDescent="0.25">
      <c r="HV28" t="s">
        <v>55</v>
      </c>
    </row>
  </sheetData>
  <phoneticPr fontId="7" type="noConversion"/>
  <pageMargins left="0.75" right="0.75" top="1" bottom="1" header="0" footer="0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4"/>
  <sheetViews>
    <sheetView showGridLines="0" workbookViewId="0">
      <selection activeCell="X6" sqref="X6"/>
    </sheetView>
  </sheetViews>
  <sheetFormatPr baseColWidth="10" defaultColWidth="10.77734375" defaultRowHeight="13.2" x14ac:dyDescent="0.25"/>
  <cols>
    <col min="20" max="20" width="4" customWidth="1"/>
  </cols>
  <sheetData>
    <row r="1" spans="1:20" x14ac:dyDescent="0.25">
      <c r="N1" s="33" t="s">
        <v>80</v>
      </c>
    </row>
    <row r="2" spans="1:20" x14ac:dyDescent="0.25">
      <c r="A2" s="37" t="s">
        <v>84</v>
      </c>
      <c r="N2" s="33" t="s">
        <v>81</v>
      </c>
      <c r="T2" s="34" t="s">
        <v>79</v>
      </c>
    </row>
    <row r="3" spans="1:20" x14ac:dyDescent="0.25">
      <c r="A3" s="37" t="s">
        <v>85</v>
      </c>
    </row>
    <row r="99" spans="1:1" x14ac:dyDescent="0.25">
      <c r="A99" s="34" t="s">
        <v>78</v>
      </c>
    </row>
    <row r="100" spans="1:1" x14ac:dyDescent="0.25">
      <c r="A100" s="33" t="s">
        <v>86</v>
      </c>
    </row>
    <row r="101" spans="1:1" x14ac:dyDescent="0.25">
      <c r="A101" s="38" t="s">
        <v>87</v>
      </c>
    </row>
    <row r="102" spans="1:1" x14ac:dyDescent="0.25">
      <c r="A102" s="38" t="s">
        <v>88</v>
      </c>
    </row>
    <row r="104" spans="1:1" x14ac:dyDescent="0.25">
      <c r="A104" t="s">
        <v>77</v>
      </c>
    </row>
  </sheetData>
  <phoneticPr fontId="7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"/>
  <sheetViews>
    <sheetView workbookViewId="0">
      <selection activeCell="F9" sqref="F9"/>
    </sheetView>
  </sheetViews>
  <sheetFormatPr baseColWidth="10" defaultColWidth="10.77734375" defaultRowHeight="13.2" x14ac:dyDescent="0.25"/>
  <cols>
    <col min="5" max="5" width="12.21875" customWidth="1"/>
  </cols>
  <sheetData>
    <row r="2" spans="1:1" x14ac:dyDescent="0.25">
      <c r="A2" t="s">
        <v>76</v>
      </c>
    </row>
  </sheetData>
  <phoneticPr fontId="7" type="noConversion"/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51:B52"/>
  <sheetViews>
    <sheetView topLeftCell="A36" workbookViewId="0">
      <selection activeCell="B51" sqref="B51"/>
    </sheetView>
  </sheetViews>
  <sheetFormatPr baseColWidth="10" defaultColWidth="10.77734375" defaultRowHeight="13.2" x14ac:dyDescent="0.25"/>
  <cols>
    <col min="1" max="1" width="11.44140625" customWidth="1"/>
    <col min="2" max="2" width="9.77734375" hidden="1" customWidth="1"/>
  </cols>
  <sheetData>
    <row r="51" spans="2:2" x14ac:dyDescent="0.25">
      <c r="B51" s="2" t="s">
        <v>68</v>
      </c>
    </row>
    <row r="52" spans="2:2" x14ac:dyDescent="0.25">
      <c r="B52" s="2">
        <v>3</v>
      </c>
    </row>
  </sheetData>
  <phoneticPr fontId="7" type="noConversion"/>
  <pageMargins left="0.75" right="0.75" top="1" bottom="1" header="0" footer="0"/>
  <pageSetup orientation="portrait" horizontalDpi="30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2</vt:i4>
      </vt:variant>
    </vt:vector>
  </HeadingPairs>
  <TitlesOfParts>
    <vt:vector size="12" baseType="lpstr">
      <vt:lpstr>Reto 1</vt:lpstr>
      <vt:lpstr>Hoja1</vt:lpstr>
      <vt:lpstr>Reto3</vt:lpstr>
      <vt:lpstr>Reto 4</vt:lpstr>
      <vt:lpstr>Reto final</vt:lpstr>
      <vt:lpstr>Hoja2</vt:lpstr>
      <vt:lpstr>Hoja3</vt:lpstr>
      <vt:lpstr>Hoja4</vt:lpstr>
      <vt:lpstr>Hoja5</vt:lpstr>
      <vt:lpstr>rta</vt:lpstr>
      <vt:lpstr>as</vt:lpstr>
      <vt:lpstr>SUMATORIA</vt:lpstr>
    </vt:vector>
  </TitlesOfParts>
  <Company>UNAD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biblio05</dc:creator>
  <cp:lastModifiedBy>HARBEY EMIR CELY MENDOZA</cp:lastModifiedBy>
  <cp:lastPrinted>2026-08-10T19:34:15Z</cp:lastPrinted>
  <dcterms:created xsi:type="dcterms:W3CDTF">2006-11-09T14:01:31Z</dcterms:created>
  <dcterms:modified xsi:type="dcterms:W3CDTF">2026-08-14T20:43:53Z</dcterms:modified>
</cp:coreProperties>
</file>