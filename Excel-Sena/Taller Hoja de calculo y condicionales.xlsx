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m-\Desktop\"/>
    </mc:Choice>
  </mc:AlternateContent>
  <xr:revisionPtr revIDLastSave="0" documentId="13_ncr:1_{44FF3857-4FA0-4B10-B239-5130C25127CC}" xr6:coauthVersionLast="47" xr6:coauthVersionMax="47" xr10:uidLastSave="{00000000-0000-0000-0000-000000000000}"/>
  <bookViews>
    <workbookView xWindow="0" yWindow="12" windowWidth="23256" windowHeight="13176" activeTab="1" xr2:uid="{E6AE2711-1569-4E2D-ADAC-9E0D3012260A}"/>
  </bookViews>
  <sheets>
    <sheet name="Operaciones" sheetId="2" r:id="rId1"/>
    <sheet name="Formulas Básicas" sheetId="1" r:id="rId2"/>
    <sheet name="Condicional" sheetId="5" r:id="rId3"/>
    <sheet name="Condicionales" sheetId="3" r:id="rId4"/>
    <sheet name="Calculo de Centroid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2" i="2" l="1"/>
  <c r="I52" i="2"/>
  <c r="J52" i="2"/>
  <c r="K52" i="2"/>
  <c r="H53" i="2"/>
  <c r="I53" i="2"/>
  <c r="J53" i="2"/>
  <c r="K53" i="2"/>
  <c r="H54" i="2"/>
  <c r="I54" i="2"/>
  <c r="J54" i="2"/>
  <c r="K54" i="2"/>
  <c r="H55" i="2"/>
  <c r="I55" i="2"/>
  <c r="J55" i="2"/>
  <c r="K55" i="2"/>
  <c r="H56" i="2"/>
  <c r="I56" i="2"/>
  <c r="J56" i="2"/>
  <c r="K56" i="2"/>
  <c r="H57" i="2"/>
  <c r="I57" i="2"/>
  <c r="J57" i="2"/>
  <c r="K57" i="2"/>
  <c r="H58" i="2"/>
  <c r="I58" i="2"/>
  <c r="J58" i="2"/>
  <c r="K58" i="2"/>
  <c r="H59" i="2"/>
  <c r="I59" i="2"/>
  <c r="J59" i="2"/>
  <c r="K59" i="2"/>
  <c r="H60" i="2"/>
  <c r="I60" i="2"/>
  <c r="J60" i="2"/>
  <c r="K60" i="2"/>
  <c r="H61" i="2"/>
  <c r="I61" i="2"/>
  <c r="J61" i="2"/>
  <c r="K61" i="2"/>
  <c r="H62" i="2"/>
  <c r="I62" i="2"/>
  <c r="J62" i="2"/>
  <c r="K62" i="2"/>
  <c r="H63" i="2"/>
  <c r="I63" i="2"/>
  <c r="J63" i="2"/>
  <c r="K63" i="2"/>
  <c r="H64" i="2"/>
  <c r="I64" i="2"/>
  <c r="J64" i="2"/>
  <c r="K64" i="2"/>
  <c r="H65" i="2"/>
  <c r="I65" i="2"/>
  <c r="J65" i="2"/>
  <c r="K65" i="2"/>
  <c r="H66" i="2"/>
  <c r="I66" i="2"/>
  <c r="J66" i="2"/>
  <c r="K66" i="2"/>
  <c r="H67" i="2"/>
  <c r="I67" i="2"/>
  <c r="J67" i="2"/>
  <c r="K67" i="2"/>
  <c r="H68" i="2"/>
  <c r="I68" i="2"/>
  <c r="J68" i="2"/>
  <c r="K68" i="2"/>
  <c r="H69" i="2"/>
  <c r="I69" i="2"/>
  <c r="J69" i="2"/>
  <c r="K69" i="2"/>
  <c r="I51" i="2"/>
  <c r="J51" i="2"/>
  <c r="K51" i="2"/>
  <c r="H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51" i="2"/>
  <c r="H47" i="5"/>
  <c r="H48" i="5"/>
  <c r="H49" i="5"/>
  <c r="H50" i="5"/>
  <c r="H51" i="5"/>
  <c r="H52" i="5"/>
  <c r="H53" i="5"/>
  <c r="H54" i="5"/>
  <c r="H46" i="5"/>
  <c r="H26" i="3"/>
  <c r="H65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42" i="3"/>
  <c r="H27" i="3"/>
  <c r="H28" i="3"/>
  <c r="H29" i="3"/>
  <c r="H30" i="3"/>
  <c r="H31" i="3"/>
  <c r="H32" i="3"/>
  <c r="H33" i="3"/>
  <c r="H35" i="3" a="1"/>
  <c r="H35" i="3" s="1"/>
  <c r="H45" i="5" a="1"/>
  <c r="H45" i="5"/>
  <c r="G46" i="5" a="1"/>
  <c r="G46" i="5"/>
  <c r="G47" i="5" a="1"/>
  <c r="G47" i="5"/>
  <c r="G48" i="5" a="1"/>
  <c r="G48" i="5" s="1"/>
  <c r="G49" i="5" a="1"/>
  <c r="G49" i="5" s="1"/>
  <c r="G50" i="5" a="1"/>
  <c r="G50" i="5"/>
  <c r="G51" i="5" a="1"/>
  <c r="G51" i="5" s="1"/>
  <c r="G52" i="5" a="1"/>
  <c r="G52" i="5"/>
  <c r="G53" i="5" a="1"/>
  <c r="G53" i="5"/>
  <c r="G54" i="5" a="1"/>
  <c r="G54" i="5"/>
  <c r="G45" i="5" a="1"/>
  <c r="G45" i="5"/>
  <c r="H37" i="5"/>
  <c r="H38" i="5" a="1"/>
  <c r="H38" i="5" s="1"/>
  <c r="H39" i="5" s="1"/>
  <c r="H30" i="5"/>
  <c r="H31" i="5"/>
  <c r="H32" i="5"/>
  <c r="H33" i="5"/>
  <c r="H34" i="5"/>
  <c r="H35" i="5"/>
  <c r="H36" i="5"/>
  <c r="H29" i="5"/>
  <c r="G30" i="5"/>
  <c r="G31" i="5"/>
  <c r="G32" i="5"/>
  <c r="G33" i="5"/>
  <c r="G34" i="5"/>
  <c r="G35" i="5"/>
  <c r="G36" i="5"/>
  <c r="G29" i="5"/>
  <c r="F30" i="5"/>
  <c r="F31" i="5"/>
  <c r="F32" i="5"/>
  <c r="F33" i="5"/>
  <c r="F34" i="5"/>
  <c r="F35" i="5"/>
  <c r="F36" i="5"/>
  <c r="F29" i="5"/>
  <c r="Q18" i="5"/>
  <c r="O18" i="5"/>
  <c r="L18" i="5"/>
  <c r="H18" i="5"/>
  <c r="Q17" i="5"/>
  <c r="O17" i="5"/>
  <c r="L17" i="5"/>
  <c r="H17" i="5"/>
  <c r="Q16" i="5"/>
  <c r="O16" i="5"/>
  <c r="L16" i="5"/>
  <c r="H16" i="5"/>
  <c r="Q15" i="5"/>
  <c r="O15" i="5"/>
  <c r="L15" i="5"/>
  <c r="H15" i="5"/>
  <c r="Q14" i="5"/>
  <c r="O14" i="5"/>
  <c r="L14" i="5"/>
  <c r="H14" i="5"/>
  <c r="O13" i="5"/>
  <c r="L13" i="5"/>
  <c r="H13" i="5"/>
  <c r="Q13" i="5" s="1"/>
  <c r="O12" i="5"/>
  <c r="L12" i="5"/>
  <c r="H12" i="5"/>
  <c r="Q12" i="5" s="1"/>
  <c r="Q11" i="5"/>
  <c r="O11" i="5"/>
  <c r="L11" i="5"/>
  <c r="H11" i="5"/>
  <c r="O10" i="5"/>
  <c r="L10" i="5"/>
  <c r="H10" i="5"/>
  <c r="Q10" i="5" s="1"/>
  <c r="O9" i="5"/>
  <c r="L9" i="5"/>
  <c r="Q9" i="5" s="1"/>
  <c r="H9" i="5"/>
  <c r="Q8" i="5"/>
  <c r="O8" i="5"/>
  <c r="L8" i="5"/>
  <c r="H8" i="5"/>
  <c r="O7" i="5"/>
  <c r="L7" i="5"/>
  <c r="H7" i="5"/>
  <c r="Q7" i="5" s="1"/>
  <c r="Q6" i="5"/>
  <c r="O6" i="5"/>
  <c r="L6" i="5"/>
  <c r="H6" i="5"/>
  <c r="Q5" i="5"/>
  <c r="O5" i="5"/>
  <c r="L5" i="5"/>
  <c r="H5" i="5"/>
  <c r="O4" i="5"/>
  <c r="L4" i="5"/>
  <c r="H4" i="5"/>
  <c r="Q4" i="5" s="1"/>
  <c r="J4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<sst xmlns="http://schemas.openxmlformats.org/spreadsheetml/2006/main" count="244" uniqueCount="207">
  <si>
    <t>Nombre</t>
  </si>
  <si>
    <t>Apellido Paterno</t>
  </si>
  <si>
    <t>Apellido Materno</t>
  </si>
  <si>
    <t>Zacarías</t>
  </si>
  <si>
    <t>Abad</t>
  </si>
  <si>
    <t>Padron</t>
  </si>
  <si>
    <t>Zoe</t>
  </si>
  <si>
    <t>Ordorica</t>
  </si>
  <si>
    <t>Gerardo</t>
  </si>
  <si>
    <t>Abarca</t>
  </si>
  <si>
    <t>Huisar</t>
  </si>
  <si>
    <t>Abel</t>
  </si>
  <si>
    <t>Abendano</t>
  </si>
  <si>
    <t>Delossantos</t>
  </si>
  <si>
    <t>Isis</t>
  </si>
  <si>
    <t>Abila</t>
  </si>
  <si>
    <t>Sicusi</t>
  </si>
  <si>
    <t>Marcos</t>
  </si>
  <si>
    <t>Loredo</t>
  </si>
  <si>
    <t>Abigaíl</t>
  </si>
  <si>
    <t>Abina</t>
  </si>
  <si>
    <t>Diego</t>
  </si>
  <si>
    <t>Regina</t>
  </si>
  <si>
    <t>Abitua</t>
  </si>
  <si>
    <t>Melesio</t>
  </si>
  <si>
    <t>Bianca</t>
  </si>
  <si>
    <t>Aboites</t>
  </si>
  <si>
    <t>Gavia</t>
  </si>
  <si>
    <t>Celestina</t>
  </si>
  <si>
    <t>Abonce</t>
  </si>
  <si>
    <t>Ghquihui</t>
  </si>
  <si>
    <t>Cosme</t>
  </si>
  <si>
    <t>Abrego</t>
  </si>
  <si>
    <t>Grasia</t>
  </si>
  <si>
    <t>María</t>
  </si>
  <si>
    <t>Abrica</t>
  </si>
  <si>
    <t>Lorenzano</t>
  </si>
  <si>
    <t>Nicolás</t>
  </si>
  <si>
    <t>Abrigo</t>
  </si>
  <si>
    <t>Maleno</t>
  </si>
  <si>
    <t>Teresa</t>
  </si>
  <si>
    <t>Abundis</t>
  </si>
  <si>
    <t>Piloto</t>
  </si>
  <si>
    <t>Ulises</t>
  </si>
  <si>
    <t>Nesta</t>
  </si>
  <si>
    <t>Leonardo</t>
  </si>
  <si>
    <t>Aburto</t>
  </si>
  <si>
    <t>Lazo</t>
  </si>
  <si>
    <t>Imelda</t>
  </si>
  <si>
    <t>Acebedo</t>
  </si>
  <si>
    <t>Jaso</t>
  </si>
  <si>
    <t>Velasco</t>
  </si>
  <si>
    <t>Acebes</t>
  </si>
  <si>
    <t>Numau</t>
  </si>
  <si>
    <t>Conrado</t>
  </si>
  <si>
    <t>Acencio</t>
  </si>
  <si>
    <t>Gordillo</t>
  </si>
  <si>
    <t>Cantidad</t>
  </si>
  <si>
    <t>Genera las formulas de tres elementos Inercia Rectangular, Triangular y Circular</t>
  </si>
  <si>
    <r>
      <t>Shift</t>
    </r>
    <r>
      <rPr>
        <sz val="10"/>
        <color rgb="FF0A0A0A"/>
        <rFont val="Arial"/>
        <family val="2"/>
      </rPr>
      <t> + </t>
    </r>
    <r>
      <rPr>
        <sz val="8"/>
        <color rgb="FF0A0A0A"/>
        <rFont val="Arial Unicode MS"/>
        <family val="2"/>
      </rPr>
      <t>6</t>
    </r>
    <r>
      <rPr>
        <sz val="10"/>
        <color rgb="FF0A0A0A"/>
        <rFont val="Arial"/>
        <family val="2"/>
      </rPr>
      <t> o </t>
    </r>
    <r>
      <rPr>
        <sz val="8"/>
        <color rgb="FF0A0A0A"/>
        <rFont val="Arial Unicode MS"/>
        <family val="2"/>
      </rPr>
      <t>Alt</t>
    </r>
    <r>
      <rPr>
        <sz val="10"/>
        <color rgb="FF0A0A0A"/>
        <rFont val="Arial"/>
        <family val="2"/>
      </rPr>
      <t> + </t>
    </r>
    <r>
      <rPr>
        <sz val="8"/>
        <color rgb="FF0A0A0A"/>
        <rFont val="Arial Unicode MS"/>
        <family val="2"/>
      </rPr>
      <t>94</t>
    </r>
    <r>
      <rPr>
        <sz val="10"/>
        <color rgb="FF0A0A0A"/>
        <rFont val="Arial"/>
        <family val="2"/>
      </rPr>
      <t>.</t>
    </r>
  </si>
  <si>
    <t>^</t>
  </si>
  <si>
    <t>Genera las formulas de tres elementos  Area, perimetro mojado, Radio Hidraulico, Espejo de agua</t>
  </si>
  <si>
    <t>RETO: Genera la formula para calcular la siguiente Formula. De EA a Tasa nominal o visceversa</t>
  </si>
  <si>
    <t>Genera la primera hoja de calculo, Se necesita el centroide y la Intercia.</t>
  </si>
  <si>
    <t>Estado civil</t>
  </si>
  <si>
    <t>Sexo</t>
  </si>
  <si>
    <t>Número de hijos</t>
  </si>
  <si>
    <t>Sueldo</t>
  </si>
  <si>
    <t>Bono</t>
  </si>
  <si>
    <t>Jorge</t>
  </si>
  <si>
    <t>S</t>
  </si>
  <si>
    <t>M</t>
  </si>
  <si>
    <t>Victoria</t>
  </si>
  <si>
    <t>V</t>
  </si>
  <si>
    <t>F</t>
  </si>
  <si>
    <t>Juan</t>
  </si>
  <si>
    <t>Alicia</t>
  </si>
  <si>
    <t>C</t>
  </si>
  <si>
    <t>Carmen</t>
  </si>
  <si>
    <t>Norma</t>
  </si>
  <si>
    <t>D</t>
  </si>
  <si>
    <t>Greisi</t>
  </si>
  <si>
    <t>Paola</t>
  </si>
  <si>
    <t>Apellidos</t>
  </si>
  <si>
    <t>1º parcial</t>
  </si>
  <si>
    <t>2º parcial</t>
  </si>
  <si>
    <t>Faltas de asistencia</t>
  </si>
  <si>
    <t>Aprobado</t>
  </si>
  <si>
    <t>Abril</t>
  </si>
  <si>
    <t>Cristina</t>
  </si>
  <si>
    <t>Condiciones para aprobar:</t>
  </si>
  <si>
    <t>Alvarez</t>
  </si>
  <si>
    <t>Damian</t>
  </si>
  <si>
    <t>Nota del 1º parcial mayor o igual a 5</t>
  </si>
  <si>
    <t>Borrego</t>
  </si>
  <si>
    <t>Nota del 2º parcial mayor o igual a 5</t>
  </si>
  <si>
    <t>Castellanos</t>
  </si>
  <si>
    <t>Felipe</t>
  </si>
  <si>
    <t>Máximo 10 faltas de asistencia</t>
  </si>
  <si>
    <t>Ciudad</t>
  </si>
  <si>
    <t>Paula</t>
  </si>
  <si>
    <t>Conde</t>
  </si>
  <si>
    <t>Maria</t>
  </si>
  <si>
    <t>Diez</t>
  </si>
  <si>
    <t>Sofía</t>
  </si>
  <si>
    <t>Fernandez</t>
  </si>
  <si>
    <t>Daniela</t>
  </si>
  <si>
    <t>Fraile</t>
  </si>
  <si>
    <t>García</t>
  </si>
  <si>
    <t>Enrique</t>
  </si>
  <si>
    <t>Gomez</t>
  </si>
  <si>
    <t>Emma</t>
  </si>
  <si>
    <t>Laporta</t>
  </si>
  <si>
    <t>Martín</t>
  </si>
  <si>
    <t>Pablo</t>
  </si>
  <si>
    <t>Lara</t>
  </si>
  <si>
    <t>Martínez</t>
  </si>
  <si>
    <t>Mesa</t>
  </si>
  <si>
    <t>Prada</t>
  </si>
  <si>
    <t>Yolanda</t>
  </si>
  <si>
    <t>Rocha</t>
  </si>
  <si>
    <t>Ruperto</t>
  </si>
  <si>
    <t xml:space="preserve">Roda </t>
  </si>
  <si>
    <t>Antonio</t>
  </si>
  <si>
    <t>Sanz</t>
  </si>
  <si>
    <t>Alfonso</t>
  </si>
  <si>
    <t>Villanueva</t>
  </si>
  <si>
    <t>Juan Pablo</t>
  </si>
  <si>
    <t>Villar</t>
  </si>
  <si>
    <t>Fernando</t>
  </si>
  <si>
    <t>Nota 1</t>
  </si>
  <si>
    <t>% nota 1</t>
  </si>
  <si>
    <t>Acumulado</t>
  </si>
  <si>
    <t>Nota 2</t>
  </si>
  <si>
    <t>% nota 2</t>
  </si>
  <si>
    <t>Nota 3</t>
  </si>
  <si>
    <t>% nota 3</t>
  </si>
  <si>
    <t>Fallas</t>
  </si>
  <si>
    <t>Nota final</t>
  </si>
  <si>
    <t>Estado 1</t>
  </si>
  <si>
    <t>Estado 2</t>
  </si>
  <si>
    <t>SANDIA</t>
  </si>
  <si>
    <t>UVA</t>
  </si>
  <si>
    <t>GUANABANA</t>
  </si>
  <si>
    <t>MANDARINA</t>
  </si>
  <si>
    <t>MANZANA</t>
  </si>
  <si>
    <t>DURAZNO</t>
  </si>
  <si>
    <t>PIÑA</t>
  </si>
  <si>
    <t>MANGO</t>
  </si>
  <si>
    <t>ARANDANO</t>
  </si>
  <si>
    <t>FRESA</t>
  </si>
  <si>
    <t>BANANO</t>
  </si>
  <si>
    <t>KIWI</t>
  </si>
  <si>
    <t>TOROMBOLO</t>
  </si>
  <si>
    <t>MORA</t>
  </si>
  <si>
    <t>PERA</t>
  </si>
  <si>
    <t>IVA</t>
  </si>
  <si>
    <t>Codigo</t>
  </si>
  <si>
    <t>Detalle</t>
  </si>
  <si>
    <t>Precio</t>
  </si>
  <si>
    <t>Total</t>
  </si>
  <si>
    <t>Neto a</t>
  </si>
  <si>
    <t>Costo</t>
  </si>
  <si>
    <t>cobrar</t>
  </si>
  <si>
    <t>Gorra</t>
  </si>
  <si>
    <t>Medias</t>
  </si>
  <si>
    <t>Chompas</t>
  </si>
  <si>
    <t>Pantalon</t>
  </si>
  <si>
    <t>Bermuda</t>
  </si>
  <si>
    <t>Zapato</t>
  </si>
  <si>
    <t>Corbatas</t>
  </si>
  <si>
    <t>Toallas</t>
  </si>
  <si>
    <t>Sub-total</t>
  </si>
  <si>
    <t xml:space="preserve">Descuento </t>
  </si>
  <si>
    <t xml:space="preserve">Importe a pagar </t>
  </si>
  <si>
    <t>nombre</t>
  </si>
  <si>
    <t>edad</t>
  </si>
  <si>
    <t>sexo</t>
  </si>
  <si>
    <t>profesión</t>
  </si>
  <si>
    <t xml:space="preserve">Rango </t>
  </si>
  <si>
    <t>Examen</t>
  </si>
  <si>
    <t>Adriana</t>
  </si>
  <si>
    <t>Tecnologa</t>
  </si>
  <si>
    <t>Tecnica</t>
  </si>
  <si>
    <t>Carlos</t>
  </si>
  <si>
    <t>Mecanico</t>
  </si>
  <si>
    <t>Diana</t>
  </si>
  <si>
    <t>Contadora</t>
  </si>
  <si>
    <t>Eduardo</t>
  </si>
  <si>
    <t>Soldador</t>
  </si>
  <si>
    <t>Camilo</t>
  </si>
  <si>
    <t>mujer</t>
  </si>
  <si>
    <t>Sofia</t>
  </si>
  <si>
    <t>Enfermera</t>
  </si>
  <si>
    <t>&gt;30 años</t>
  </si>
  <si>
    <t>Karla</t>
  </si>
  <si>
    <t>Arquitecta</t>
  </si>
  <si>
    <t>Fabian</t>
  </si>
  <si>
    <t>Pensionado</t>
  </si>
  <si>
    <t>&lt;20</t>
  </si>
  <si>
    <t>Joven</t>
  </si>
  <si>
    <t>Dominic</t>
  </si>
  <si>
    <t>Estudiante</t>
  </si>
  <si>
    <t>20 - 35</t>
  </si>
  <si>
    <t>Adulto Joven</t>
  </si>
  <si>
    <t>&gt;35</t>
  </si>
  <si>
    <t xml:space="preserve">Adulto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</si>
</sst>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S/&quot;* #,##0_-;\-&quot;S/&quot;* #,##0_-;_-&quot;S/&quot;* &quot;-&quot;??_-;_-@"/>
    <numFmt numFmtId="165" formatCode="_-&quot;S/&quot;* #,##0.00_-;\-&quot;S/&quot;* #,##0.00_-;_-&quot;S/&quot;* &quot;-&quot;??_-;_-@"/>
    <numFmt numFmtId="166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A0A0A"/>
      <name val="Arial Unicode MS"/>
      <family val="2"/>
    </font>
    <font>
      <sz val="10"/>
      <color rgb="FF0A0A0A"/>
      <name val="Arial"/>
      <family val="2"/>
    </font>
    <font>
      <b/>
      <sz val="8"/>
      <color rgb="FF0A0A0A"/>
      <name val="Arial Unicode MS"/>
      <family val="2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100">
    <xf numFmtId="0" fontId="0" fillId="0" borderId="0" xfId="0"/>
    <xf numFmtId="0" fontId="4" fillId="0" borderId="0" xfId="2"/>
    <xf numFmtId="0" fontId="6" fillId="0" borderId="0" xfId="2" applyFont="1"/>
    <xf numFmtId="9" fontId="7" fillId="2" borderId="1" xfId="2" applyNumberFormat="1" applyFont="1" applyFill="1" applyBorder="1" applyAlignment="1">
      <alignment horizontal="center"/>
    </xf>
    <xf numFmtId="10" fontId="7" fillId="2" borderId="1" xfId="2" applyNumberFormat="1" applyFont="1" applyFill="1" applyBorder="1" applyAlignment="1">
      <alignment horizontal="center"/>
    </xf>
    <xf numFmtId="0" fontId="8" fillId="3" borderId="2" xfId="2" applyFont="1" applyFill="1" applyBorder="1"/>
    <xf numFmtId="0" fontId="8" fillId="3" borderId="3" xfId="2" applyFont="1" applyFill="1" applyBorder="1"/>
    <xf numFmtId="17" fontId="8" fillId="3" borderId="3" xfId="2" applyNumberFormat="1" applyFont="1" applyFill="1" applyBorder="1" applyAlignment="1">
      <alignment horizontal="center"/>
    </xf>
    <xf numFmtId="17" fontId="8" fillId="3" borderId="4" xfId="2" applyNumberFormat="1" applyFont="1" applyFill="1" applyBorder="1" applyAlignment="1">
      <alignment horizontal="center"/>
    </xf>
    <xf numFmtId="0" fontId="6" fillId="0" borderId="5" xfId="2" applyFont="1" applyBorder="1"/>
    <xf numFmtId="0" fontId="6" fillId="0" borderId="6" xfId="2" applyFont="1" applyBorder="1"/>
    <xf numFmtId="164" fontId="6" fillId="0" borderId="6" xfId="2" applyNumberFormat="1" applyFont="1" applyBorder="1"/>
    <xf numFmtId="165" fontId="6" fillId="0" borderId="6" xfId="2" applyNumberFormat="1" applyFont="1" applyBorder="1"/>
    <xf numFmtId="0" fontId="6" fillId="0" borderId="7" xfId="2" applyFont="1" applyBorder="1"/>
    <xf numFmtId="0" fontId="6" fillId="0" borderId="8" xfId="2" applyFont="1" applyBorder="1"/>
    <xf numFmtId="164" fontId="6" fillId="0" borderId="8" xfId="2" applyNumberFormat="1" applyFont="1" applyBorder="1"/>
    <xf numFmtId="0" fontId="11" fillId="0" borderId="0" xfId="0" applyFont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1" applyFont="1"/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12" fillId="4" borderId="13" xfId="0" applyFont="1" applyFill="1" applyBorder="1"/>
    <xf numFmtId="0" fontId="12" fillId="4" borderId="14" xfId="0" applyFont="1" applyFill="1" applyBorder="1"/>
    <xf numFmtId="166" fontId="12" fillId="7" borderId="15" xfId="0" applyNumberFormat="1" applyFont="1" applyFill="1" applyBorder="1" applyAlignment="1">
      <alignment horizontal="center"/>
    </xf>
    <xf numFmtId="166" fontId="12" fillId="7" borderId="16" xfId="0" applyNumberFormat="1" applyFont="1" applyFill="1" applyBorder="1" applyAlignment="1">
      <alignment horizontal="center"/>
    </xf>
    <xf numFmtId="1" fontId="12" fillId="7" borderId="17" xfId="0" applyNumberFormat="1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3" xfId="0" applyFont="1" applyBorder="1"/>
    <xf numFmtId="166" fontId="12" fillId="0" borderId="22" xfId="0" applyNumberFormat="1" applyFont="1" applyBorder="1" applyAlignment="1">
      <alignment horizontal="center"/>
    </xf>
    <xf numFmtId="166" fontId="12" fillId="0" borderId="24" xfId="0" applyNumberFormat="1" applyFont="1" applyBorder="1" applyAlignment="1">
      <alignment horizontal="center"/>
    </xf>
    <xf numFmtId="1" fontId="12" fillId="0" borderId="23" xfId="0" applyNumberFormat="1" applyFont="1" applyBorder="1" applyAlignment="1">
      <alignment horizontal="center"/>
    </xf>
    <xf numFmtId="166" fontId="12" fillId="7" borderId="13" xfId="0" applyNumberFormat="1" applyFont="1" applyFill="1" applyBorder="1" applyAlignment="1">
      <alignment horizontal="center"/>
    </xf>
    <xf numFmtId="166" fontId="12" fillId="7" borderId="25" xfId="0" applyNumberFormat="1" applyFont="1" applyFill="1" applyBorder="1" applyAlignment="1">
      <alignment horizontal="center"/>
    </xf>
    <xf numFmtId="1" fontId="12" fillId="7" borderId="14" xfId="0" applyNumberFormat="1" applyFont="1" applyFill="1" applyBorder="1" applyAlignment="1">
      <alignment horizontal="center"/>
    </xf>
    <xf numFmtId="0" fontId="12" fillId="0" borderId="26" xfId="0" applyFont="1" applyBorder="1"/>
    <xf numFmtId="0" fontId="12" fillId="0" borderId="28" xfId="0" applyFont="1" applyBorder="1"/>
    <xf numFmtId="166" fontId="12" fillId="0" borderId="26" xfId="0" applyNumberFormat="1" applyFont="1" applyBorder="1" applyAlignment="1">
      <alignment horizontal="center"/>
    </xf>
    <xf numFmtId="166" fontId="12" fillId="0" borderId="27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0" fontId="13" fillId="0" borderId="0" xfId="0" applyFont="1"/>
    <xf numFmtId="0" fontId="14" fillId="10" borderId="31" xfId="0" applyFont="1" applyFill="1" applyBorder="1" applyAlignment="1">
      <alignment horizontal="center" wrapText="1"/>
    </xf>
    <xf numFmtId="0" fontId="14" fillId="10" borderId="32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0" fontId="15" fillId="0" borderId="0" xfId="0" applyFont="1"/>
    <xf numFmtId="9" fontId="0" fillId="0" borderId="0" xfId="0" applyNumberFormat="1"/>
    <xf numFmtId="0" fontId="16" fillId="11" borderId="36" xfId="0" applyFont="1" applyFill="1" applyBorder="1" applyAlignment="1">
      <alignment horizontal="center" vertical="center" wrapText="1"/>
    </xf>
    <xf numFmtId="0" fontId="16" fillId="11" borderId="37" xfId="0" applyFont="1" applyFill="1" applyBorder="1" applyAlignment="1">
      <alignment horizontal="center" vertical="center" wrapText="1"/>
    </xf>
    <xf numFmtId="0" fontId="16" fillId="11" borderId="38" xfId="0" applyFont="1" applyFill="1" applyBorder="1" applyAlignment="1">
      <alignment horizontal="center" vertical="center" wrapText="1"/>
    </xf>
    <xf numFmtId="0" fontId="13" fillId="0" borderId="39" xfId="0" applyFont="1" applyBorder="1" applyAlignment="1">
      <alignment horizontal="center" wrapText="1"/>
    </xf>
    <xf numFmtId="0" fontId="13" fillId="0" borderId="40" xfId="0" applyFont="1" applyBorder="1" applyAlignment="1">
      <alignment horizontal="center" wrapText="1"/>
    </xf>
    <xf numFmtId="44" fontId="0" fillId="0" borderId="24" xfId="0" applyNumberFormat="1" applyBorder="1"/>
    <xf numFmtId="44" fontId="13" fillId="0" borderId="41" xfId="0" applyNumberFormat="1" applyFont="1" applyBorder="1" applyAlignment="1">
      <alignment horizontal="center" wrapText="1"/>
    </xf>
    <xf numFmtId="44" fontId="13" fillId="0" borderId="39" xfId="0" applyNumberFormat="1" applyFont="1" applyBorder="1" applyAlignment="1">
      <alignment horizontal="center" wrapText="1"/>
    </xf>
    <xf numFmtId="0" fontId="0" fillId="12" borderId="24" xfId="0" applyFill="1" applyBorder="1"/>
    <xf numFmtId="0" fontId="0" fillId="12" borderId="44" xfId="0" applyFill="1" applyBorder="1"/>
    <xf numFmtId="0" fontId="0" fillId="0" borderId="24" xfId="0" applyBorder="1"/>
    <xf numFmtId="44" fontId="13" fillId="0" borderId="39" xfId="1" applyFont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/>
    <xf numFmtId="0" fontId="5" fillId="0" borderId="0" xfId="2" applyFont="1" applyAlignment="1">
      <alignment horizontal="center"/>
    </xf>
    <xf numFmtId="0" fontId="4" fillId="0" borderId="0" xfId="2"/>
    <xf numFmtId="0" fontId="17" fillId="11" borderId="40" xfId="0" applyFont="1" applyFill="1" applyBorder="1" applyAlignment="1">
      <alignment horizontal="center" wrapText="1"/>
    </xf>
    <xf numFmtId="0" fontId="17" fillId="11" borderId="42" xfId="0" applyFont="1" applyFill="1" applyBorder="1" applyAlignment="1">
      <alignment horizontal="center" wrapText="1"/>
    </xf>
    <xf numFmtId="0" fontId="17" fillId="11" borderId="43" xfId="0" applyFont="1" applyFill="1" applyBorder="1" applyAlignment="1">
      <alignment horizontal="center" wrapText="1"/>
    </xf>
    <xf numFmtId="0" fontId="17" fillId="11" borderId="41" xfId="0" applyFont="1" applyFill="1" applyBorder="1" applyAlignment="1">
      <alignment horizontal="center" wrapText="1"/>
    </xf>
    <xf numFmtId="0" fontId="16" fillId="11" borderId="36" xfId="0" applyFont="1" applyFill="1" applyBorder="1" applyAlignment="1">
      <alignment horizontal="center" vertical="center" wrapText="1"/>
    </xf>
    <xf numFmtId="0" fontId="16" fillId="11" borderId="37" xfId="0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wrapText="1"/>
    </xf>
    <xf numFmtId="0" fontId="13" fillId="0" borderId="30" xfId="0" applyFont="1" applyBorder="1" applyAlignment="1">
      <alignment wrapText="1"/>
    </xf>
    <xf numFmtId="0" fontId="13" fillId="0" borderId="31" xfId="0" applyFont="1" applyBorder="1" applyAlignment="1">
      <alignment wrapText="1"/>
    </xf>
    <xf numFmtId="0" fontId="13" fillId="0" borderId="29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9" fontId="13" fillId="0" borderId="33" xfId="0" applyNumberFormat="1" applyFont="1" applyBorder="1" applyAlignment="1">
      <alignment horizontal="center" vertical="center" wrapText="1"/>
    </xf>
    <xf numFmtId="9" fontId="13" fillId="0" borderId="35" xfId="0" applyNumberFormat="1" applyFont="1" applyBorder="1" applyAlignment="1">
      <alignment horizontal="center" vertical="center" wrapText="1"/>
    </xf>
    <xf numFmtId="0" fontId="14" fillId="10" borderId="29" xfId="0" applyFont="1" applyFill="1" applyBorder="1" applyAlignment="1">
      <alignment horizontal="center" wrapText="1"/>
    </xf>
    <xf numFmtId="0" fontId="14" fillId="10" borderId="30" xfId="0" applyFont="1" applyFill="1" applyBorder="1" applyAlignment="1">
      <alignment horizontal="center" wrapText="1"/>
    </xf>
    <xf numFmtId="0" fontId="14" fillId="10" borderId="31" xfId="0" applyFont="1" applyFill="1" applyBorder="1" applyAlignment="1">
      <alignment horizontal="center" wrapText="1"/>
    </xf>
    <xf numFmtId="9" fontId="14" fillId="0" borderId="33" xfId="0" applyNumberFormat="1" applyFont="1" applyBorder="1" applyAlignment="1">
      <alignment horizontal="center" vertical="center" wrapText="1"/>
    </xf>
    <xf numFmtId="9" fontId="14" fillId="0" borderId="35" xfId="0" applyNumberFormat="1" applyFont="1" applyBorder="1" applyAlignment="1">
      <alignment horizontal="center" vertical="center" wrapText="1"/>
    </xf>
    <xf numFmtId="0" fontId="3" fillId="8" borderId="19" xfId="0" applyFont="1" applyFill="1" applyBorder="1" applyAlignment="1">
      <alignment horizontal="center"/>
    </xf>
    <xf numFmtId="0" fontId="3" fillId="8" borderId="20" xfId="0" applyFont="1" applyFill="1" applyBorder="1" applyAlignment="1">
      <alignment horizontal="center"/>
    </xf>
    <xf numFmtId="0" fontId="3" fillId="8" borderId="21" xfId="0" applyFont="1" applyFill="1" applyBorder="1" applyAlignment="1">
      <alignment horizontal="center"/>
    </xf>
    <xf numFmtId="0" fontId="0" fillId="9" borderId="13" xfId="0" applyFill="1" applyBorder="1" applyAlignment="1">
      <alignment horizontal="left"/>
    </xf>
    <xf numFmtId="0" fontId="0" fillId="9" borderId="25" xfId="0" applyFill="1" applyBorder="1" applyAlignment="1">
      <alignment horizontal="left"/>
    </xf>
    <xf numFmtId="0" fontId="0" fillId="9" borderId="14" xfId="0" applyFill="1" applyBorder="1" applyAlignment="1">
      <alignment horizontal="left"/>
    </xf>
    <xf numFmtId="0" fontId="0" fillId="9" borderId="22" xfId="0" applyFill="1" applyBorder="1" applyAlignment="1">
      <alignment horizontal="left"/>
    </xf>
    <xf numFmtId="0" fontId="0" fillId="9" borderId="24" xfId="0" applyFill="1" applyBorder="1" applyAlignment="1">
      <alignment horizontal="left"/>
    </xf>
    <xf numFmtId="0" fontId="0" fillId="9" borderId="23" xfId="0" applyFill="1" applyBorder="1" applyAlignment="1">
      <alignment horizontal="left"/>
    </xf>
    <xf numFmtId="0" fontId="0" fillId="9" borderId="26" xfId="0" applyFill="1" applyBorder="1" applyAlignment="1">
      <alignment horizontal="left"/>
    </xf>
    <xf numFmtId="0" fontId="0" fillId="9" borderId="27" xfId="0" applyFill="1" applyBorder="1" applyAlignment="1">
      <alignment horizontal="left"/>
    </xf>
    <xf numFmtId="0" fontId="0" fillId="9" borderId="28" xfId="0" applyFill="1" applyBorder="1" applyAlignment="1">
      <alignment horizontal="left"/>
    </xf>
    <xf numFmtId="0" fontId="0" fillId="4" borderId="0" xfId="0" applyFill="1" applyAlignment="1">
      <alignment horizontal="center" vertical="center"/>
    </xf>
  </cellXfs>
  <cellStyles count="3">
    <cellStyle name="Moneda" xfId="1" builtinId="4"/>
    <cellStyle name="Normal" xfId="0" builtinId="0"/>
    <cellStyle name="Normal 2" xfId="2" xr:uid="{732577A3-5298-4C87-9C13-BA1F70601C73}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40</xdr:row>
      <xdr:rowOff>180975</xdr:rowOff>
    </xdr:from>
    <xdr:ext cx="10648950" cy="9525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C531EB5-D1D7-444A-BC8F-9EBACBC12E7F}"/>
            </a:ext>
          </a:extLst>
        </xdr:cNvPr>
        <xdr:cNvSpPr txBox="1"/>
      </xdr:nvSpPr>
      <xdr:spPr>
        <a:xfrm>
          <a:off x="899160" y="7183755"/>
          <a:ext cx="10648950" cy="952500"/>
        </a:xfrm>
        <a:prstGeom prst="rect">
          <a:avLst/>
        </a:prstGeom>
        <a:gradFill>
          <a:gsLst>
            <a:gs pos="0">
              <a:srgbClr val="70A5DA"/>
            </a:gs>
            <a:gs pos="50000">
              <a:srgbClr val="539BDB"/>
            </a:gs>
            <a:gs pos="100000">
              <a:srgbClr val="4288C8"/>
            </a:gs>
          </a:gsLst>
          <a:lin ang="54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Calibri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 la columna D se muestra el monto vendido en Diciembre del 2017 por cada uno de los representantes de la lista. Se estima que dicho monto se irá incrementando en los próximos 6 meses en la proporción indicada en los porcentajes indicados en el rango E9:J9. Dicho incremento se aplica al monto del mes anterior.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Calibri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 la celda E11 debes escribir una única fórmula que muestre el monto ya incrementado para Enero del primer vendedor y luego debes llenar las demás columnas y filas creando una sola serie.</a:t>
          </a:r>
          <a:endParaRPr sz="1400"/>
        </a:p>
      </xdr:txBody>
    </xdr:sp>
    <xdr:clientData fLocksWithSheet="0"/>
  </xdr:oneCellAnchor>
  <xdr:oneCellAnchor>
    <xdr:from>
      <xdr:col>20</xdr:col>
      <xdr:colOff>514350</xdr:colOff>
      <xdr:row>21</xdr:row>
      <xdr:rowOff>114300</xdr:rowOff>
    </xdr:from>
    <xdr:ext cx="1104900" cy="1047750"/>
    <xdr:pic>
      <xdr:nvPicPr>
        <xdr:cNvPr id="6" name="image12.jpg">
          <a:extLst>
            <a:ext uri="{FF2B5EF4-FFF2-40B4-BE49-F238E27FC236}">
              <a16:creationId xmlns:a16="http://schemas.microsoft.com/office/drawing/2014/main" id="{8458FB42-9892-49E4-BC3F-7816A7F15B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531590" y="3794760"/>
          <a:ext cx="1104900" cy="10477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409132</xdr:colOff>
      <xdr:row>1</xdr:row>
      <xdr:rowOff>102525</xdr:rowOff>
    </xdr:from>
    <xdr:to>
      <xdr:col>8</xdr:col>
      <xdr:colOff>440879</xdr:colOff>
      <xdr:row>12</xdr:row>
      <xdr:rowOff>160215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468C1D-AC94-EEC3-CEB8-DD3AF8D6F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132" y="288140"/>
          <a:ext cx="6362209" cy="2099460"/>
        </a:xfrm>
        <a:prstGeom prst="rect">
          <a:avLst/>
        </a:prstGeom>
      </xdr:spPr>
    </xdr:pic>
    <xdr:clientData/>
  </xdr:twoCellAnchor>
  <xdr:twoCellAnchor editAs="oneCell">
    <xdr:from>
      <xdr:col>0</xdr:col>
      <xdr:colOff>449973</xdr:colOff>
      <xdr:row>18</xdr:row>
      <xdr:rowOff>58615</xdr:rowOff>
    </xdr:from>
    <xdr:to>
      <xdr:col>9</xdr:col>
      <xdr:colOff>13694</xdr:colOff>
      <xdr:row>46</xdr:row>
      <xdr:rowOff>54258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E88513-2A53-3EAA-CF88-AF6EAC293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9973" y="3399692"/>
          <a:ext cx="6685490" cy="5192874"/>
        </a:xfrm>
        <a:prstGeom prst="rect">
          <a:avLst/>
        </a:prstGeom>
      </xdr:spPr>
    </xdr:pic>
    <xdr:clientData/>
  </xdr:twoCellAnchor>
  <xdr:twoCellAnchor editAs="oneCell">
    <xdr:from>
      <xdr:col>1</xdr:col>
      <xdr:colOff>605692</xdr:colOff>
      <xdr:row>49</xdr:row>
      <xdr:rowOff>58615</xdr:rowOff>
    </xdr:from>
    <xdr:to>
      <xdr:col>6</xdr:col>
      <xdr:colOff>116738</xdr:colOff>
      <xdr:row>62</xdr:row>
      <xdr:rowOff>84355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E4C3CCE-32AA-1DFB-DE56-A54B7C1AB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7000" y="9153769"/>
          <a:ext cx="3467584" cy="2438740"/>
        </a:xfrm>
        <a:prstGeom prst="rect">
          <a:avLst/>
        </a:prstGeom>
      </xdr:spPr>
    </xdr:pic>
    <xdr:clientData/>
  </xdr:twoCellAnchor>
  <xdr:twoCellAnchor editAs="oneCell">
    <xdr:from>
      <xdr:col>0</xdr:col>
      <xdr:colOff>322384</xdr:colOff>
      <xdr:row>63</xdr:row>
      <xdr:rowOff>127001</xdr:rowOff>
    </xdr:from>
    <xdr:to>
      <xdr:col>9</xdr:col>
      <xdr:colOff>89998</xdr:colOff>
      <xdr:row>79</xdr:row>
      <xdr:rowOff>146540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F529DC1-9464-3459-725B-C5705A769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2384" y="11820770"/>
          <a:ext cx="6889383" cy="2989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25</xdr:row>
      <xdr:rowOff>0</xdr:rowOff>
    </xdr:from>
    <xdr:to>
      <xdr:col>6</xdr:col>
      <xdr:colOff>304800</xdr:colOff>
      <xdr:row>26</xdr:row>
      <xdr:rowOff>114301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C322DF8-F676-4A63-BA3C-564E35CA0DCA}"/>
            </a:ext>
          </a:extLst>
        </xdr:cNvPr>
        <xdr:cNvSpPr>
          <a:spLocks noChangeAspect="1" noChangeArrowheads="1"/>
        </xdr:cNvSpPr>
      </xdr:nvSpPr>
      <xdr:spPr bwMode="auto">
        <a:xfrm>
          <a:off x="4884420" y="484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2</xdr:row>
      <xdr:rowOff>0</xdr:rowOff>
    </xdr:from>
    <xdr:to>
      <xdr:col>21</xdr:col>
      <xdr:colOff>304800</xdr:colOff>
      <xdr:row>2</xdr:row>
      <xdr:rowOff>210535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27F25CE7-12DE-4142-9BA3-AAE0C6D30FD9}"/>
            </a:ext>
          </a:extLst>
        </xdr:cNvPr>
        <xdr:cNvSpPr>
          <a:spLocks noChangeAspect="1" noChangeArrowheads="1"/>
        </xdr:cNvSpPr>
      </xdr:nvSpPr>
      <xdr:spPr bwMode="auto">
        <a:xfrm>
          <a:off x="17228820" y="373380"/>
          <a:ext cx="304800" cy="213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647700</xdr:colOff>
      <xdr:row>1</xdr:row>
      <xdr:rowOff>6350</xdr:rowOff>
    </xdr:from>
    <xdr:to>
      <xdr:col>26</xdr:col>
      <xdr:colOff>170330</xdr:colOff>
      <xdr:row>16</xdr:row>
      <xdr:rowOff>69850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B675353B-6E86-4537-ADE2-1365E20C80C2}"/>
            </a:ext>
          </a:extLst>
        </xdr:cNvPr>
        <xdr:cNvSpPr txBox="1"/>
      </xdr:nvSpPr>
      <xdr:spPr>
        <a:xfrm>
          <a:off x="16291560" y="189230"/>
          <a:ext cx="5069990" cy="3042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En el curso final de salpicon II, se muestran los resultados de cada fruta asignada al grupo.</a:t>
          </a:r>
        </a:p>
        <a:p>
          <a:endParaRPr lang="es-CO" sz="1100"/>
        </a:p>
        <a:p>
          <a:r>
            <a:rPr lang="es-CO" sz="1100"/>
            <a:t>1. Calcule la nota</a:t>
          </a:r>
          <a:r>
            <a:rPr lang="es-CO" sz="1100" baseline="0"/>
            <a:t> final para cada fruta y genere un formato de barras para identificar su nota (recuerde los valores minimos y maximos)</a:t>
          </a:r>
        </a:p>
        <a:p>
          <a:endParaRPr lang="es-CO" sz="1100" baseline="0"/>
        </a:p>
        <a:p>
          <a:r>
            <a:rPr lang="es-CO" sz="1100" baseline="0"/>
            <a:t>2. El instructor un poco exigente y basandosé en el manual de la frutica comenta que si la fruta debe cumplir con superar la nota definitiva en la base mínima para pasar y no tener más de 3 fallas. Si cumple Aprobó y si no cumple, reprobó (Genere una columna que diga Estado 1)</a:t>
          </a:r>
        </a:p>
        <a:p>
          <a:endParaRPr lang="es-CO" sz="1100" baseline="0"/>
        </a:p>
        <a:p>
          <a:r>
            <a:rPr lang="es-CO" sz="1100" baseline="0"/>
            <a:t>3. Al ver el resultado el instructor realiza una nueva condicionalidad con solo pasar si es mayor a 2,9 (para ver si puede ayudar a algunas frutas). Si cumple Pasó y si no, Nada que hacer. ( Genera una columna que diga estado 2)</a:t>
          </a:r>
        </a:p>
        <a:p>
          <a:endParaRPr lang="es-CO" sz="1100" baseline="0"/>
        </a:p>
        <a:p>
          <a:r>
            <a:rPr lang="es-CO" sz="1100" baseline="0"/>
            <a:t>¿ Con cual de los requerimientos es mejor para el curso pase más fruticas?</a:t>
          </a:r>
        </a:p>
        <a:p>
          <a:endParaRPr lang="es-CO" sz="1100" baseline="0"/>
        </a:p>
        <a:p>
          <a:endParaRPr lang="es-CO" sz="1100" baseline="0"/>
        </a:p>
        <a:p>
          <a:endParaRPr lang="es-CO" sz="1100"/>
        </a:p>
        <a:p>
          <a:endParaRPr lang="es-CO" sz="1100"/>
        </a:p>
        <a:p>
          <a:endParaRPr lang="es-CO" sz="1100"/>
        </a:p>
      </xdr:txBody>
    </xdr:sp>
    <xdr:clientData/>
  </xdr:twoCellAnchor>
  <xdr:twoCellAnchor>
    <xdr:from>
      <xdr:col>10</xdr:col>
      <xdr:colOff>139700</xdr:colOff>
      <xdr:row>25</xdr:row>
      <xdr:rowOff>114300</xdr:rowOff>
    </xdr:from>
    <xdr:to>
      <xdr:col>13</xdr:col>
      <xdr:colOff>596900</xdr:colOff>
      <xdr:row>34</xdr:row>
      <xdr:rowOff>6350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78C912D-5A3F-4B83-AE85-89CF5F43A521}"/>
            </a:ext>
          </a:extLst>
        </xdr:cNvPr>
        <xdr:cNvSpPr txBox="1"/>
      </xdr:nvSpPr>
      <xdr:spPr>
        <a:xfrm>
          <a:off x="8651240" y="4960620"/>
          <a:ext cx="2834640" cy="16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Si el</a:t>
          </a:r>
          <a:r>
            <a:rPr lang="es-CO" sz="1100" baseline="0"/>
            <a:t> valor a pagar está es menor de 500000 se le otorgará el 5%.</a:t>
          </a:r>
        </a:p>
        <a:p>
          <a:endParaRPr lang="es-CO" sz="1100" baseline="0"/>
        </a:p>
        <a:p>
          <a:r>
            <a:rPr lang="es-CO" sz="1100" baseline="0"/>
            <a:t>Si está entre 500000 y 1000000 tendrá un descuento del 8%</a:t>
          </a:r>
        </a:p>
        <a:p>
          <a:endParaRPr lang="es-CO" sz="1100" baseline="0"/>
        </a:p>
        <a:p>
          <a:r>
            <a:rPr lang="es-CO" sz="1100" baseline="0"/>
            <a:t>Si es superior a 1000000 tendrá un descuento del 10%</a:t>
          </a:r>
          <a:endParaRPr lang="es-CO" sz="1100"/>
        </a:p>
      </xdr:txBody>
    </xdr:sp>
    <xdr:clientData/>
  </xdr:twoCellAnchor>
  <xdr:twoCellAnchor>
    <xdr:from>
      <xdr:col>8</xdr:col>
      <xdr:colOff>624921</xdr:colOff>
      <xdr:row>40</xdr:row>
      <xdr:rowOff>136070</xdr:rowOff>
    </xdr:from>
    <xdr:to>
      <xdr:col>10</xdr:col>
      <xdr:colOff>285750</xdr:colOff>
      <xdr:row>50</xdr:row>
      <xdr:rowOff>174624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3A44265-0423-4222-8C1D-6FC254C4445D}"/>
            </a:ext>
          </a:extLst>
        </xdr:cNvPr>
        <xdr:cNvSpPr txBox="1"/>
      </xdr:nvSpPr>
      <xdr:spPr>
        <a:xfrm>
          <a:off x="7399101" y="7954190"/>
          <a:ext cx="1398189" cy="18673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Rango</a:t>
          </a:r>
        </a:p>
        <a:p>
          <a:endParaRPr lang="es-CO" sz="1100"/>
        </a:p>
        <a:p>
          <a:r>
            <a:rPr lang="es-CO" sz="1100"/>
            <a:t>Si</a:t>
          </a:r>
          <a:r>
            <a:rPr lang="es-CO" sz="1100" baseline="0"/>
            <a:t> la persona es menor a 20 años se considera joven. Si esta entre 20 y 35 años se considera Adulto joven. Si es mayor de 35 se considera  adulto</a:t>
          </a:r>
          <a:endParaRPr lang="es-CO" sz="1100"/>
        </a:p>
      </xdr:txBody>
    </xdr:sp>
    <xdr:clientData/>
  </xdr:twoCellAnchor>
  <xdr:twoCellAnchor>
    <xdr:from>
      <xdr:col>11</xdr:col>
      <xdr:colOff>285750</xdr:colOff>
      <xdr:row>41</xdr:row>
      <xdr:rowOff>0</xdr:rowOff>
    </xdr:from>
    <xdr:to>
      <xdr:col>12</xdr:col>
      <xdr:colOff>734219</xdr:colOff>
      <xdr:row>48</xdr:row>
      <xdr:rowOff>75406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85274375-78B1-4B10-B739-77587B7DFA56}"/>
            </a:ext>
          </a:extLst>
        </xdr:cNvPr>
        <xdr:cNvSpPr txBox="1"/>
      </xdr:nvSpPr>
      <xdr:spPr>
        <a:xfrm>
          <a:off x="9589770" y="8001000"/>
          <a:ext cx="1240949" cy="13555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Si es mujer mayor a 30 años se debe realizar</a:t>
          </a:r>
          <a:r>
            <a:rPr lang="es-CO" sz="1100" baseline="0"/>
            <a:t> la citologia. Si no esta en el grupo de personas se le dirá no aplica.</a:t>
          </a:r>
          <a:endParaRPr lang="es-CO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25</xdr:row>
      <xdr:rowOff>0</xdr:rowOff>
    </xdr:from>
    <xdr:to>
      <xdr:col>12</xdr:col>
      <xdr:colOff>742950</xdr:colOff>
      <xdr:row>33</xdr:row>
      <xdr:rowOff>142875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BDCB4C3-770D-4E9F-8DED-C3BC4A39FF44}"/>
            </a:ext>
          </a:extLst>
        </xdr:cNvPr>
        <xdr:cNvSpPr txBox="1"/>
      </xdr:nvSpPr>
      <xdr:spPr>
        <a:xfrm>
          <a:off x="5158740" y="365760"/>
          <a:ext cx="3120390" cy="160591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/>
            <a:t>Halla el Bono sabiendo que:</a:t>
          </a:r>
        </a:p>
        <a:p>
          <a:endParaRPr lang="es-PE" sz="1200"/>
        </a:p>
        <a:p>
          <a:r>
            <a:rPr lang="es-PE" sz="1200"/>
            <a:t>- Hombres casados con más de 2 hijos recibirán el 15% de su</a:t>
          </a:r>
          <a:r>
            <a:rPr lang="es-PE" sz="1200" baseline="0"/>
            <a:t> sueldo</a:t>
          </a:r>
        </a:p>
        <a:p>
          <a:r>
            <a:rPr lang="es-PE" sz="1200" baseline="0"/>
            <a:t>- Mujeres solteras con hijos recibirán el 18% de su sueldo</a:t>
          </a:r>
        </a:p>
        <a:p>
          <a:r>
            <a:rPr lang="es-PE" sz="1200" baseline="0"/>
            <a:t>- Todos los demás recibirán el 10% de su sueldo</a:t>
          </a:r>
          <a:endParaRPr lang="es-PE" sz="1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637070</xdr:colOff>
      <xdr:row>1</xdr:row>
      <xdr:rowOff>83820</xdr:rowOff>
    </xdr:from>
    <xdr:to>
      <xdr:col>7</xdr:col>
      <xdr:colOff>694494</xdr:colOff>
      <xdr:row>22</xdr:row>
      <xdr:rowOff>141717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A99CE2-FCE8-C1F0-F581-8F2560F99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070" y="266700"/>
          <a:ext cx="5604784" cy="3898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5818-7315-4D7F-AF28-478ABBE54B92}">
  <dimension ref="B1:V949"/>
  <sheetViews>
    <sheetView topLeftCell="A44" zoomScale="93" workbookViewId="0">
      <selection activeCell="N61" sqref="N61"/>
    </sheetView>
  </sheetViews>
  <sheetFormatPr baseColWidth="10" defaultColWidth="14.44140625" defaultRowHeight="15" customHeight="1" x14ac:dyDescent="0.3"/>
  <cols>
    <col min="1" max="5" width="11.44140625" style="1" customWidth="1"/>
    <col min="6" max="11" width="12.5546875" style="1" bestFit="1" customWidth="1"/>
    <col min="12" max="26" width="11.44140625" style="1" customWidth="1"/>
    <col min="27" max="16384" width="14.44140625" style="1"/>
  </cols>
  <sheetData>
    <row r="1" spans="2:22" ht="14.25" hidden="1" customHeight="1" x14ac:dyDescent="0.35">
      <c r="B1" s="67"/>
      <c r="C1" s="68"/>
    </row>
    <row r="2" spans="2:22" ht="14.25" hidden="1" customHeight="1" x14ac:dyDescent="0.3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2:22" ht="14.25" hidden="1" customHeight="1" x14ac:dyDescent="0.3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2:22" ht="14.25" hidden="1" customHeight="1" x14ac:dyDescent="0.3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</row>
    <row r="5" spans="2:22" ht="14.25" hidden="1" customHeight="1" x14ac:dyDescent="0.3"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2:22" ht="14.25" hidden="1" customHeight="1" x14ac:dyDescent="0.3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2:22" ht="14.25" hidden="1" customHeight="1" x14ac:dyDescent="0.3"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2:22" ht="14.25" hidden="1" customHeight="1" x14ac:dyDescent="0.3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 spans="2:22" ht="14.25" hidden="1" customHeight="1" x14ac:dyDescent="0.3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</row>
    <row r="10" spans="2:22" ht="14.25" hidden="1" customHeight="1" x14ac:dyDescent="0.3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</row>
    <row r="11" spans="2:22" ht="14.25" hidden="1" customHeight="1" x14ac:dyDescent="0.3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</row>
    <row r="12" spans="2:22" ht="14.25" hidden="1" customHeight="1" x14ac:dyDescent="0.3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</row>
    <row r="13" spans="2:22" ht="14.25" hidden="1" customHeight="1" x14ac:dyDescent="0.3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</row>
    <row r="14" spans="2:22" ht="14.25" hidden="1" customHeight="1" x14ac:dyDescent="0.3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 spans="2:22" ht="14.25" hidden="1" customHeight="1" x14ac:dyDescent="0.3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2:22" ht="14.25" hidden="1" customHeight="1" x14ac:dyDescent="0.3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 spans="2:22" ht="14.25" hidden="1" customHeight="1" x14ac:dyDescent="0.3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</row>
    <row r="18" spans="2:22" ht="14.25" hidden="1" customHeight="1" x14ac:dyDescent="0.3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2:22" ht="14.25" hidden="1" customHeight="1" x14ac:dyDescent="0.3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 spans="2:22" ht="14.25" hidden="1" customHeight="1" x14ac:dyDescent="0.3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 spans="2:22" ht="14.25" hidden="1" customHeight="1" x14ac:dyDescent="0.3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 spans="2:22" ht="14.25" hidden="1" customHeight="1" x14ac:dyDescent="0.3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  <row r="23" spans="2:22" ht="14.25" hidden="1" customHeight="1" x14ac:dyDescent="0.3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 spans="2:22" ht="14.25" hidden="1" customHeight="1" x14ac:dyDescent="0.3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2:22" ht="14.25" hidden="1" customHeight="1" x14ac:dyDescent="0.3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</row>
    <row r="26" spans="2:22" ht="14.25" hidden="1" customHeight="1" x14ac:dyDescent="0.3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</row>
    <row r="27" spans="2:22" ht="14.25" hidden="1" customHeight="1" x14ac:dyDescent="0.3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</row>
    <row r="28" spans="2:22" ht="14.25" hidden="1" customHeight="1" x14ac:dyDescent="0.3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2:22" ht="14.25" hidden="1" customHeight="1" x14ac:dyDescent="0.3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</row>
    <row r="30" spans="2:22" ht="14.25" hidden="1" customHeight="1" x14ac:dyDescent="0.3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</row>
    <row r="31" spans="2:22" ht="14.25" hidden="1" customHeight="1" x14ac:dyDescent="0.3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2:22" ht="14.25" hidden="1" customHeight="1" x14ac:dyDescent="0.3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2:22" ht="14.25" hidden="1" customHeight="1" x14ac:dyDescent="0.3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2:22" ht="14.25" hidden="1" customHeight="1" x14ac:dyDescent="0.3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2:22" ht="14.25" hidden="1" customHeight="1" x14ac:dyDescent="0.3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2:22" ht="14.25" hidden="1" customHeight="1" x14ac:dyDescent="0.3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2:22" ht="14.25" hidden="1" customHeight="1" x14ac:dyDescent="0.3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2:22" ht="14.25" hidden="1" customHeight="1" x14ac:dyDescent="0.3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2:22" ht="14.25" hidden="1" customHeight="1" x14ac:dyDescent="0.3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2:22" ht="14.25" hidden="1" customHeight="1" x14ac:dyDescent="0.3"/>
    <row r="41" spans="2:22" ht="14.25" customHeight="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2:22" ht="14.25" customHeight="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2:22" ht="14.25" customHeight="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2:22" ht="14.25" customHeigh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2:22" ht="14.25" customHeight="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2:22" ht="14.25" customHeigh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2:22" ht="14.25" customHeigh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2:22" ht="14.25" customHeight="1" thickBot="1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2:14" ht="14.25" customHeight="1" thickBot="1" x14ac:dyDescent="0.35">
      <c r="B49" s="2"/>
      <c r="C49" s="2"/>
      <c r="D49" s="2"/>
      <c r="E49" s="2"/>
      <c r="F49" s="3">
        <v>0.03</v>
      </c>
      <c r="G49" s="4">
        <v>2.1999999999999999E-2</v>
      </c>
      <c r="H49" s="4">
        <v>3.5000000000000003E-2</v>
      </c>
      <c r="I49" s="4">
        <v>1.6E-2</v>
      </c>
      <c r="J49" s="4">
        <v>2.9000000000000001E-2</v>
      </c>
      <c r="K49" s="4">
        <v>1.7999999999999999E-2</v>
      </c>
      <c r="L49" s="2"/>
      <c r="M49" s="2"/>
      <c r="N49" s="2"/>
    </row>
    <row r="50" spans="2:14" ht="14.25" customHeight="1" x14ac:dyDescent="0.3">
      <c r="B50" s="5" t="s">
        <v>0</v>
      </c>
      <c r="C50" s="6" t="s">
        <v>1</v>
      </c>
      <c r="D50" s="6" t="s">
        <v>2</v>
      </c>
      <c r="E50" s="7">
        <v>43070</v>
      </c>
      <c r="F50" s="7">
        <v>43101</v>
      </c>
      <c r="G50" s="7">
        <v>43132</v>
      </c>
      <c r="H50" s="7">
        <v>43160</v>
      </c>
      <c r="I50" s="7">
        <v>43191</v>
      </c>
      <c r="J50" s="7">
        <v>43221</v>
      </c>
      <c r="K50" s="8">
        <v>43252</v>
      </c>
      <c r="L50" s="2"/>
      <c r="M50" s="2"/>
      <c r="N50" s="2"/>
    </row>
    <row r="51" spans="2:14" ht="14.25" customHeight="1" x14ac:dyDescent="0.3">
      <c r="B51" s="9" t="s">
        <v>3</v>
      </c>
      <c r="C51" s="10" t="s">
        <v>4</v>
      </c>
      <c r="D51" s="10" t="s">
        <v>5</v>
      </c>
      <c r="E51" s="11">
        <v>12299</v>
      </c>
      <c r="F51" s="12">
        <f>$E51*(1+F$49)</f>
        <v>12667.970000000001</v>
      </c>
      <c r="G51" s="12">
        <f>$E51*(1+G$49)</f>
        <v>12569.578</v>
      </c>
      <c r="H51" s="12">
        <f>$E51*(1+H$49)</f>
        <v>12729.464999999998</v>
      </c>
      <c r="I51" s="12">
        <f t="shared" ref="I51:K66" si="0">$E51*(1+I$49)</f>
        <v>12495.784</v>
      </c>
      <c r="J51" s="12">
        <f t="shared" si="0"/>
        <v>12655.670999999998</v>
      </c>
      <c r="K51" s="12">
        <f t="shared" si="0"/>
        <v>12520.382</v>
      </c>
      <c r="L51" s="2"/>
      <c r="M51" s="2"/>
      <c r="N51" s="2"/>
    </row>
    <row r="52" spans="2:14" ht="14.25" customHeight="1" x14ac:dyDescent="0.3">
      <c r="B52" s="9" t="s">
        <v>6</v>
      </c>
      <c r="C52" s="10" t="s">
        <v>4</v>
      </c>
      <c r="D52" s="10" t="s">
        <v>7</v>
      </c>
      <c r="E52" s="11">
        <v>35722</v>
      </c>
      <c r="F52" s="12">
        <f t="shared" ref="F52:K69" si="1">$E52*(1+F$49)</f>
        <v>36793.660000000003</v>
      </c>
      <c r="G52" s="12">
        <f t="shared" si="1"/>
        <v>36507.883999999998</v>
      </c>
      <c r="H52" s="12">
        <f t="shared" si="1"/>
        <v>36972.269999999997</v>
      </c>
      <c r="I52" s="12">
        <f t="shared" si="0"/>
        <v>36293.552000000003</v>
      </c>
      <c r="J52" s="12">
        <f t="shared" si="0"/>
        <v>36757.937999999995</v>
      </c>
      <c r="K52" s="12">
        <f t="shared" si="0"/>
        <v>36364.995999999999</v>
      </c>
      <c r="L52" s="2"/>
      <c r="M52" s="2"/>
      <c r="N52" s="2"/>
    </row>
    <row r="53" spans="2:14" ht="14.25" customHeight="1" x14ac:dyDescent="0.3">
      <c r="B53" s="9" t="s">
        <v>8</v>
      </c>
      <c r="C53" s="10" t="s">
        <v>9</v>
      </c>
      <c r="D53" s="10" t="s">
        <v>10</v>
      </c>
      <c r="E53" s="11">
        <v>20688</v>
      </c>
      <c r="F53" s="12">
        <f t="shared" si="1"/>
        <v>21308.639999999999</v>
      </c>
      <c r="G53" s="12">
        <f t="shared" si="1"/>
        <v>21143.135999999999</v>
      </c>
      <c r="H53" s="12">
        <f t="shared" si="1"/>
        <v>21412.079999999998</v>
      </c>
      <c r="I53" s="12">
        <f t="shared" si="0"/>
        <v>21019.008000000002</v>
      </c>
      <c r="J53" s="12">
        <f t="shared" si="0"/>
        <v>21287.951999999997</v>
      </c>
      <c r="K53" s="12">
        <f t="shared" si="0"/>
        <v>21060.384000000002</v>
      </c>
      <c r="L53" s="2"/>
      <c r="M53" s="2"/>
      <c r="N53" s="2"/>
    </row>
    <row r="54" spans="2:14" ht="14.25" customHeight="1" x14ac:dyDescent="0.3">
      <c r="B54" s="9" t="s">
        <v>11</v>
      </c>
      <c r="C54" s="10" t="s">
        <v>12</v>
      </c>
      <c r="D54" s="10" t="s">
        <v>13</v>
      </c>
      <c r="E54" s="11">
        <v>37477</v>
      </c>
      <c r="F54" s="12">
        <f t="shared" si="1"/>
        <v>38601.31</v>
      </c>
      <c r="G54" s="12">
        <f t="shared" si="1"/>
        <v>38301.493999999999</v>
      </c>
      <c r="H54" s="12">
        <f t="shared" si="1"/>
        <v>38788.695</v>
      </c>
      <c r="I54" s="12">
        <f t="shared" si="0"/>
        <v>38076.631999999998</v>
      </c>
      <c r="J54" s="12">
        <f t="shared" si="0"/>
        <v>38563.832999999999</v>
      </c>
      <c r="K54" s="12">
        <f t="shared" si="0"/>
        <v>38151.586000000003</v>
      </c>
      <c r="L54" s="2"/>
      <c r="M54" s="2"/>
      <c r="N54" s="2"/>
    </row>
    <row r="55" spans="2:14" ht="14.25" customHeight="1" x14ac:dyDescent="0.3">
      <c r="B55" s="9" t="s">
        <v>14</v>
      </c>
      <c r="C55" s="10" t="s">
        <v>15</v>
      </c>
      <c r="D55" s="10" t="s">
        <v>16</v>
      </c>
      <c r="E55" s="11">
        <v>30463</v>
      </c>
      <c r="F55" s="12">
        <f t="shared" si="1"/>
        <v>31376.89</v>
      </c>
      <c r="G55" s="12">
        <f t="shared" si="1"/>
        <v>31133.186000000002</v>
      </c>
      <c r="H55" s="12">
        <f t="shared" si="1"/>
        <v>31529.204999999998</v>
      </c>
      <c r="I55" s="12">
        <f t="shared" si="0"/>
        <v>30950.407999999999</v>
      </c>
      <c r="J55" s="12">
        <f t="shared" si="0"/>
        <v>31346.426999999996</v>
      </c>
      <c r="K55" s="12">
        <f t="shared" si="0"/>
        <v>31011.333999999999</v>
      </c>
      <c r="L55" s="2"/>
      <c r="M55" s="2"/>
      <c r="N55" s="2"/>
    </row>
    <row r="56" spans="2:14" ht="14.25" customHeight="1" x14ac:dyDescent="0.3">
      <c r="B56" s="9" t="s">
        <v>17</v>
      </c>
      <c r="C56" s="10" t="s">
        <v>15</v>
      </c>
      <c r="D56" s="10" t="s">
        <v>18</v>
      </c>
      <c r="E56" s="11">
        <v>13231</v>
      </c>
      <c r="F56" s="12">
        <f t="shared" si="1"/>
        <v>13627.93</v>
      </c>
      <c r="G56" s="12">
        <f t="shared" si="1"/>
        <v>13522.082</v>
      </c>
      <c r="H56" s="12">
        <f t="shared" si="1"/>
        <v>13694.084999999999</v>
      </c>
      <c r="I56" s="12">
        <f t="shared" si="0"/>
        <v>13442.696</v>
      </c>
      <c r="J56" s="12">
        <f t="shared" si="0"/>
        <v>13614.698999999999</v>
      </c>
      <c r="K56" s="12">
        <f t="shared" si="0"/>
        <v>13469.157999999999</v>
      </c>
      <c r="L56" s="2"/>
      <c r="M56" s="2"/>
      <c r="N56" s="2"/>
    </row>
    <row r="57" spans="2:14" ht="14.25" customHeight="1" x14ac:dyDescent="0.3">
      <c r="B57" s="9" t="s">
        <v>19</v>
      </c>
      <c r="C57" s="10" t="s">
        <v>20</v>
      </c>
      <c r="D57" s="10" t="s">
        <v>21</v>
      </c>
      <c r="E57" s="11">
        <v>14185</v>
      </c>
      <c r="F57" s="12">
        <f t="shared" si="1"/>
        <v>14610.550000000001</v>
      </c>
      <c r="G57" s="12">
        <f t="shared" si="1"/>
        <v>14497.07</v>
      </c>
      <c r="H57" s="12">
        <f t="shared" si="1"/>
        <v>14681.474999999999</v>
      </c>
      <c r="I57" s="12">
        <f t="shared" si="0"/>
        <v>14411.960000000001</v>
      </c>
      <c r="J57" s="12">
        <f t="shared" si="0"/>
        <v>14596.364999999998</v>
      </c>
      <c r="K57" s="12">
        <f t="shared" si="0"/>
        <v>14440.33</v>
      </c>
      <c r="L57" s="2"/>
      <c r="M57" s="2"/>
      <c r="N57" s="2"/>
    </row>
    <row r="58" spans="2:14" ht="14.25" customHeight="1" x14ac:dyDescent="0.3">
      <c r="B58" s="9" t="s">
        <v>22</v>
      </c>
      <c r="C58" s="10" t="s">
        <v>23</v>
      </c>
      <c r="D58" s="10" t="s">
        <v>24</v>
      </c>
      <c r="E58" s="11">
        <v>38669</v>
      </c>
      <c r="F58" s="12">
        <f t="shared" si="1"/>
        <v>39829.07</v>
      </c>
      <c r="G58" s="12">
        <f t="shared" si="1"/>
        <v>39519.718000000001</v>
      </c>
      <c r="H58" s="12">
        <f t="shared" si="1"/>
        <v>40022.414999999994</v>
      </c>
      <c r="I58" s="12">
        <f t="shared" si="0"/>
        <v>39287.703999999998</v>
      </c>
      <c r="J58" s="12">
        <f t="shared" si="0"/>
        <v>39790.400999999998</v>
      </c>
      <c r="K58" s="12">
        <f t="shared" si="0"/>
        <v>39365.042000000001</v>
      </c>
      <c r="L58" s="2"/>
      <c r="M58" s="2"/>
      <c r="N58" s="2"/>
    </row>
    <row r="59" spans="2:14" ht="14.25" customHeight="1" x14ac:dyDescent="0.3">
      <c r="B59" s="9" t="s">
        <v>25</v>
      </c>
      <c r="C59" s="10" t="s">
        <v>26</v>
      </c>
      <c r="D59" s="10" t="s">
        <v>27</v>
      </c>
      <c r="E59" s="11">
        <v>25544</v>
      </c>
      <c r="F59" s="12">
        <f t="shared" si="1"/>
        <v>26310.32</v>
      </c>
      <c r="G59" s="12">
        <f t="shared" si="1"/>
        <v>26105.968000000001</v>
      </c>
      <c r="H59" s="12">
        <f t="shared" si="1"/>
        <v>26438.039999999997</v>
      </c>
      <c r="I59" s="12">
        <f t="shared" si="0"/>
        <v>25952.704000000002</v>
      </c>
      <c r="J59" s="12">
        <f t="shared" si="0"/>
        <v>26284.775999999998</v>
      </c>
      <c r="K59" s="12">
        <f t="shared" si="0"/>
        <v>26003.792000000001</v>
      </c>
      <c r="L59" s="2"/>
      <c r="M59" s="2"/>
      <c r="N59" s="2"/>
    </row>
    <row r="60" spans="2:14" ht="14.25" customHeight="1" x14ac:dyDescent="0.3">
      <c r="B60" s="9" t="s">
        <v>28</v>
      </c>
      <c r="C60" s="10" t="s">
        <v>29</v>
      </c>
      <c r="D60" s="10" t="s">
        <v>30</v>
      </c>
      <c r="E60" s="11">
        <v>41710</v>
      </c>
      <c r="F60" s="12">
        <f t="shared" si="1"/>
        <v>42961.3</v>
      </c>
      <c r="G60" s="12">
        <f t="shared" si="1"/>
        <v>42627.62</v>
      </c>
      <c r="H60" s="12">
        <f t="shared" si="1"/>
        <v>43169.85</v>
      </c>
      <c r="I60" s="12">
        <f t="shared" si="0"/>
        <v>42377.36</v>
      </c>
      <c r="J60" s="12">
        <f t="shared" si="0"/>
        <v>42919.59</v>
      </c>
      <c r="K60" s="12">
        <f t="shared" si="0"/>
        <v>42460.78</v>
      </c>
      <c r="L60" s="2"/>
      <c r="M60" s="2"/>
      <c r="N60" s="2"/>
    </row>
    <row r="61" spans="2:14" ht="14.25" customHeight="1" x14ac:dyDescent="0.3">
      <c r="B61" s="9" t="s">
        <v>31</v>
      </c>
      <c r="C61" s="10" t="s">
        <v>32</v>
      </c>
      <c r="D61" s="10" t="s">
        <v>33</v>
      </c>
      <c r="E61" s="11">
        <v>25029</v>
      </c>
      <c r="F61" s="12">
        <f t="shared" si="1"/>
        <v>25779.87</v>
      </c>
      <c r="G61" s="12">
        <f t="shared" si="1"/>
        <v>25579.637999999999</v>
      </c>
      <c r="H61" s="12">
        <f t="shared" si="1"/>
        <v>25905.014999999999</v>
      </c>
      <c r="I61" s="12">
        <f t="shared" si="0"/>
        <v>25429.464</v>
      </c>
      <c r="J61" s="12">
        <f t="shared" si="0"/>
        <v>25754.840999999997</v>
      </c>
      <c r="K61" s="12">
        <f t="shared" si="0"/>
        <v>25479.522000000001</v>
      </c>
      <c r="L61" s="2"/>
      <c r="M61" s="2"/>
      <c r="N61" s="2"/>
    </row>
    <row r="62" spans="2:14" ht="14.25" customHeight="1" x14ac:dyDescent="0.3">
      <c r="B62" s="9" t="s">
        <v>34</v>
      </c>
      <c r="C62" s="10" t="s">
        <v>35</v>
      </c>
      <c r="D62" s="10" t="s">
        <v>36</v>
      </c>
      <c r="E62" s="11">
        <v>23852</v>
      </c>
      <c r="F62" s="12">
        <f t="shared" si="1"/>
        <v>24567.56</v>
      </c>
      <c r="G62" s="12">
        <f t="shared" si="1"/>
        <v>24376.743999999999</v>
      </c>
      <c r="H62" s="12">
        <f t="shared" si="1"/>
        <v>24686.82</v>
      </c>
      <c r="I62" s="12">
        <f t="shared" si="0"/>
        <v>24233.632000000001</v>
      </c>
      <c r="J62" s="12">
        <f t="shared" si="0"/>
        <v>24543.707999999999</v>
      </c>
      <c r="K62" s="12">
        <f t="shared" si="0"/>
        <v>24281.335999999999</v>
      </c>
      <c r="L62" s="2"/>
      <c r="M62" s="2"/>
      <c r="N62" s="2"/>
    </row>
    <row r="63" spans="2:14" ht="14.25" customHeight="1" x14ac:dyDescent="0.3">
      <c r="B63" s="9" t="s">
        <v>37</v>
      </c>
      <c r="C63" s="10" t="s">
        <v>38</v>
      </c>
      <c r="D63" s="10" t="s">
        <v>39</v>
      </c>
      <c r="E63" s="11">
        <v>46361</v>
      </c>
      <c r="F63" s="12">
        <f t="shared" si="1"/>
        <v>47751.83</v>
      </c>
      <c r="G63" s="12">
        <f t="shared" si="1"/>
        <v>47380.942000000003</v>
      </c>
      <c r="H63" s="12">
        <f t="shared" si="1"/>
        <v>47983.634999999995</v>
      </c>
      <c r="I63" s="12">
        <f t="shared" si="0"/>
        <v>47102.775999999998</v>
      </c>
      <c r="J63" s="12">
        <f t="shared" si="0"/>
        <v>47705.468999999997</v>
      </c>
      <c r="K63" s="12">
        <f t="shared" si="0"/>
        <v>47195.498</v>
      </c>
      <c r="L63" s="2"/>
      <c r="M63" s="2"/>
      <c r="N63" s="2"/>
    </row>
    <row r="64" spans="2:14" ht="14.25" customHeight="1" x14ac:dyDescent="0.3">
      <c r="B64" s="9" t="s">
        <v>40</v>
      </c>
      <c r="C64" s="10" t="s">
        <v>41</v>
      </c>
      <c r="D64" s="10" t="s">
        <v>42</v>
      </c>
      <c r="E64" s="11">
        <v>43397</v>
      </c>
      <c r="F64" s="12">
        <f t="shared" si="1"/>
        <v>44698.91</v>
      </c>
      <c r="G64" s="12">
        <f t="shared" si="1"/>
        <v>44351.734000000004</v>
      </c>
      <c r="H64" s="12">
        <f t="shared" si="1"/>
        <v>44915.894999999997</v>
      </c>
      <c r="I64" s="12">
        <f t="shared" si="0"/>
        <v>44091.351999999999</v>
      </c>
      <c r="J64" s="12">
        <f t="shared" si="0"/>
        <v>44655.512999999999</v>
      </c>
      <c r="K64" s="12">
        <f t="shared" si="0"/>
        <v>44178.146000000001</v>
      </c>
      <c r="L64" s="2"/>
      <c r="M64" s="2"/>
      <c r="N64" s="2"/>
    </row>
    <row r="65" spans="2:14" ht="14.25" customHeight="1" x14ac:dyDescent="0.3">
      <c r="B65" s="9" t="s">
        <v>43</v>
      </c>
      <c r="C65" s="10" t="s">
        <v>41</v>
      </c>
      <c r="D65" s="10" t="s">
        <v>44</v>
      </c>
      <c r="E65" s="11">
        <v>17713</v>
      </c>
      <c r="F65" s="12">
        <f t="shared" si="1"/>
        <v>18244.39</v>
      </c>
      <c r="G65" s="12">
        <f t="shared" si="1"/>
        <v>18102.686000000002</v>
      </c>
      <c r="H65" s="12">
        <f t="shared" si="1"/>
        <v>18332.954999999998</v>
      </c>
      <c r="I65" s="12">
        <f t="shared" si="0"/>
        <v>17996.407999999999</v>
      </c>
      <c r="J65" s="12">
        <f t="shared" si="0"/>
        <v>18226.677</v>
      </c>
      <c r="K65" s="12">
        <f t="shared" si="0"/>
        <v>18031.833999999999</v>
      </c>
      <c r="L65" s="2"/>
      <c r="M65" s="2"/>
      <c r="N65" s="2"/>
    </row>
    <row r="66" spans="2:14" ht="14.25" customHeight="1" x14ac:dyDescent="0.3">
      <c r="B66" s="9" t="s">
        <v>45</v>
      </c>
      <c r="C66" s="10" t="s">
        <v>46</v>
      </c>
      <c r="D66" s="10" t="s">
        <v>47</v>
      </c>
      <c r="E66" s="11">
        <v>38765</v>
      </c>
      <c r="F66" s="12">
        <f t="shared" si="1"/>
        <v>39927.950000000004</v>
      </c>
      <c r="G66" s="12">
        <f t="shared" si="1"/>
        <v>39617.83</v>
      </c>
      <c r="H66" s="12">
        <f t="shared" si="1"/>
        <v>40121.774999999994</v>
      </c>
      <c r="I66" s="12">
        <f t="shared" si="0"/>
        <v>39385.24</v>
      </c>
      <c r="J66" s="12">
        <f t="shared" si="0"/>
        <v>39889.184999999998</v>
      </c>
      <c r="K66" s="12">
        <f t="shared" si="0"/>
        <v>39462.770000000004</v>
      </c>
      <c r="L66" s="2"/>
      <c r="M66" s="2"/>
      <c r="N66" s="2"/>
    </row>
    <row r="67" spans="2:14" ht="14.25" customHeight="1" x14ac:dyDescent="0.3">
      <c r="B67" s="9" t="s">
        <v>48</v>
      </c>
      <c r="C67" s="10" t="s">
        <v>49</v>
      </c>
      <c r="D67" s="10" t="s">
        <v>50</v>
      </c>
      <c r="E67" s="11">
        <v>40954</v>
      </c>
      <c r="F67" s="12">
        <f t="shared" si="1"/>
        <v>42182.62</v>
      </c>
      <c r="G67" s="12">
        <f t="shared" si="1"/>
        <v>41854.987999999998</v>
      </c>
      <c r="H67" s="12">
        <f t="shared" si="1"/>
        <v>42387.39</v>
      </c>
      <c r="I67" s="12">
        <f t="shared" si="1"/>
        <v>41609.264000000003</v>
      </c>
      <c r="J67" s="12">
        <f t="shared" si="1"/>
        <v>42141.665999999997</v>
      </c>
      <c r="K67" s="12">
        <f t="shared" si="1"/>
        <v>41691.171999999999</v>
      </c>
      <c r="L67" s="2"/>
      <c r="M67" s="2"/>
      <c r="N67" s="2"/>
    </row>
    <row r="68" spans="2:14" ht="14.25" customHeight="1" x14ac:dyDescent="0.3">
      <c r="B68" s="9" t="s">
        <v>51</v>
      </c>
      <c r="C68" s="10" t="s">
        <v>52</v>
      </c>
      <c r="D68" s="10" t="s">
        <v>53</v>
      </c>
      <c r="E68" s="11">
        <v>32351</v>
      </c>
      <c r="F68" s="12">
        <f t="shared" si="1"/>
        <v>33321.53</v>
      </c>
      <c r="G68" s="12">
        <f t="shared" si="1"/>
        <v>33062.722000000002</v>
      </c>
      <c r="H68" s="12">
        <f t="shared" si="1"/>
        <v>33483.284999999996</v>
      </c>
      <c r="I68" s="12">
        <f t="shared" si="1"/>
        <v>32868.616000000002</v>
      </c>
      <c r="J68" s="12">
        <f t="shared" si="1"/>
        <v>33289.178999999996</v>
      </c>
      <c r="K68" s="12">
        <f t="shared" si="1"/>
        <v>32933.317999999999</v>
      </c>
      <c r="L68" s="2"/>
      <c r="M68" s="2"/>
      <c r="N68" s="2"/>
    </row>
    <row r="69" spans="2:14" ht="14.25" customHeight="1" thickBot="1" x14ac:dyDescent="0.35">
      <c r="B69" s="13" t="s">
        <v>54</v>
      </c>
      <c r="C69" s="14" t="s">
        <v>55</v>
      </c>
      <c r="D69" s="14" t="s">
        <v>56</v>
      </c>
      <c r="E69" s="15">
        <v>20340</v>
      </c>
      <c r="F69" s="12">
        <f t="shared" si="1"/>
        <v>20950.2</v>
      </c>
      <c r="G69" s="12">
        <f t="shared" si="1"/>
        <v>20787.48</v>
      </c>
      <c r="H69" s="12">
        <f t="shared" si="1"/>
        <v>21051.899999999998</v>
      </c>
      <c r="I69" s="12">
        <f t="shared" si="1"/>
        <v>20665.439999999999</v>
      </c>
      <c r="J69" s="12">
        <f t="shared" si="1"/>
        <v>20929.859999999997</v>
      </c>
      <c r="K69" s="12">
        <f t="shared" si="1"/>
        <v>20706.12</v>
      </c>
      <c r="L69" s="2"/>
      <c r="M69" s="2"/>
      <c r="N69" s="2"/>
    </row>
    <row r="70" spans="2:14" ht="14.25" customHeight="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2:14" ht="14.25" customHeight="1" x14ac:dyDescent="0.3"/>
    <row r="72" spans="2:14" ht="14.25" customHeight="1" x14ac:dyDescent="0.3"/>
    <row r="73" spans="2:14" ht="14.25" customHeight="1" x14ac:dyDescent="0.3"/>
    <row r="74" spans="2:14" ht="14.25" customHeight="1" x14ac:dyDescent="0.3"/>
    <row r="75" spans="2:14" ht="14.25" customHeight="1" x14ac:dyDescent="0.3"/>
    <row r="76" spans="2:14" ht="14.25" customHeight="1" x14ac:dyDescent="0.3"/>
    <row r="77" spans="2:14" ht="14.25" customHeight="1" x14ac:dyDescent="0.3"/>
    <row r="78" spans="2:14" ht="14.25" customHeight="1" x14ac:dyDescent="0.3"/>
    <row r="79" spans="2:14" ht="14.25" customHeight="1" x14ac:dyDescent="0.3"/>
    <row r="80" spans="2:14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</sheetData>
  <mergeCells count="1">
    <mergeCell ref="B1:C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FFDE5-E571-4008-96E2-C2E3FCD37079}">
  <dimension ref="D2:T49"/>
  <sheetViews>
    <sheetView tabSelected="1" zoomScale="115" zoomScaleNormal="115" workbookViewId="0">
      <selection activeCell="L27" sqref="L27"/>
    </sheetView>
  </sheetViews>
  <sheetFormatPr baseColWidth="10" defaultColWidth="11.5546875" defaultRowHeight="14.4" x14ac:dyDescent="0.3"/>
  <sheetData>
    <row r="2" spans="13:19" x14ac:dyDescent="0.3">
      <c r="M2" s="64" t="s">
        <v>58</v>
      </c>
      <c r="N2" s="64"/>
      <c r="O2" s="64"/>
      <c r="P2" s="64"/>
      <c r="Q2" s="64"/>
      <c r="R2" s="64"/>
      <c r="S2" s="64"/>
    </row>
    <row r="18" spans="4:20" x14ac:dyDescent="0.3">
      <c r="D18" s="65" t="s">
        <v>59</v>
      </c>
      <c r="E18" s="65"/>
      <c r="F18" s="65"/>
    </row>
    <row r="19" spans="4:20" x14ac:dyDescent="0.3">
      <c r="E19" s="16" t="s">
        <v>60</v>
      </c>
    </row>
    <row r="20" spans="4:20" x14ac:dyDescent="0.3">
      <c r="N20" s="64" t="s">
        <v>61</v>
      </c>
      <c r="O20" s="64"/>
      <c r="P20" s="64"/>
      <c r="Q20" s="64"/>
      <c r="R20" s="64"/>
      <c r="S20" s="64"/>
      <c r="T20" s="64"/>
    </row>
    <row r="48" spans="14:20" x14ac:dyDescent="0.3">
      <c r="N48" s="66" t="s">
        <v>62</v>
      </c>
      <c r="O48" s="66"/>
      <c r="P48" s="66"/>
      <c r="Q48" s="66"/>
      <c r="R48" s="66"/>
      <c r="S48" s="66"/>
      <c r="T48" s="66"/>
    </row>
    <row r="49" spans="14:20" x14ac:dyDescent="0.3">
      <c r="N49" s="66"/>
      <c r="O49" s="66"/>
      <c r="P49" s="66"/>
      <c r="Q49" s="66"/>
      <c r="R49" s="66"/>
      <c r="S49" s="66"/>
      <c r="T49" s="66"/>
    </row>
  </sheetData>
  <mergeCells count="4">
    <mergeCell ref="M2:S2"/>
    <mergeCell ref="D18:F18"/>
    <mergeCell ref="N20:T20"/>
    <mergeCell ref="N48:T4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4C44-36F8-48EA-947D-3384A039B7F7}">
  <dimension ref="A1:S55"/>
  <sheetViews>
    <sheetView topLeftCell="A36" zoomScaleNormal="100" workbookViewId="0">
      <selection activeCell="I59" sqref="I59"/>
    </sheetView>
  </sheetViews>
  <sheetFormatPr baseColWidth="10" defaultColWidth="11.5546875" defaultRowHeight="14.4" x14ac:dyDescent="0.3"/>
  <cols>
    <col min="5" max="5" width="13.6640625" bestFit="1" customWidth="1"/>
    <col min="6" max="6" width="14.44140625" bestFit="1" customWidth="1"/>
    <col min="7" max="7" width="13" bestFit="1" customWidth="1"/>
    <col min="8" max="8" width="14.5546875" bestFit="1" customWidth="1"/>
    <col min="9" max="9" width="13.77734375" bestFit="1" customWidth="1"/>
  </cols>
  <sheetData>
    <row r="1" spans="1:19" x14ac:dyDescent="0.3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9" ht="15" thickBot="1" x14ac:dyDescent="0.3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1:19" ht="32.4" thickTop="1" thickBot="1" x14ac:dyDescent="0.35">
      <c r="A3" s="46"/>
      <c r="B3" s="82" t="s">
        <v>0</v>
      </c>
      <c r="C3" s="83"/>
      <c r="D3" s="84"/>
      <c r="E3" s="82" t="s">
        <v>130</v>
      </c>
      <c r="F3" s="83"/>
      <c r="G3" s="47" t="s">
        <v>131</v>
      </c>
      <c r="H3" s="47" t="s">
        <v>132</v>
      </c>
      <c r="I3" s="82" t="s">
        <v>133</v>
      </c>
      <c r="J3" s="83"/>
      <c r="K3" s="47" t="s">
        <v>134</v>
      </c>
      <c r="L3" s="47" t="s">
        <v>132</v>
      </c>
      <c r="M3" s="47" t="s">
        <v>135</v>
      </c>
      <c r="N3" s="47" t="s">
        <v>136</v>
      </c>
      <c r="O3" s="47" t="s">
        <v>132</v>
      </c>
      <c r="P3" s="47" t="s">
        <v>137</v>
      </c>
      <c r="Q3" s="47" t="s">
        <v>138</v>
      </c>
      <c r="R3" s="48" t="s">
        <v>139</v>
      </c>
      <c r="S3" s="48" t="s">
        <v>140</v>
      </c>
    </row>
    <row r="4" spans="1:19" ht="15.6" thickTop="1" thickBot="1" x14ac:dyDescent="0.35">
      <c r="A4" s="46"/>
      <c r="B4" s="75" t="s">
        <v>141</v>
      </c>
      <c r="C4" s="76"/>
      <c r="D4" s="77"/>
      <c r="E4" s="78">
        <v>4.5</v>
      </c>
      <c r="F4" s="79"/>
      <c r="G4" s="85">
        <v>0.3</v>
      </c>
      <c r="H4" s="49">
        <f>E4*$G$4</f>
        <v>1.3499999999999999</v>
      </c>
      <c r="I4" s="78">
        <v>3.2</v>
      </c>
      <c r="J4" s="79"/>
      <c r="K4" s="80">
        <v>0.4</v>
      </c>
      <c r="L4" s="49">
        <f>I4*$K$4</f>
        <v>1.2800000000000002</v>
      </c>
      <c r="M4" s="49">
        <v>3.5</v>
      </c>
      <c r="N4" s="80">
        <v>0.3</v>
      </c>
      <c r="O4" s="49">
        <f>M4*$N$4</f>
        <v>1.05</v>
      </c>
      <c r="P4" s="49">
        <v>4</v>
      </c>
      <c r="Q4" s="49">
        <f>SUM(H4,L4,O4)</f>
        <v>3.6799999999999997</v>
      </c>
    </row>
    <row r="5" spans="1:19" ht="15.6" thickTop="1" thickBot="1" x14ac:dyDescent="0.35">
      <c r="A5" s="46"/>
      <c r="B5" s="75" t="s">
        <v>142</v>
      </c>
      <c r="C5" s="76"/>
      <c r="D5" s="77"/>
      <c r="E5" s="78">
        <v>4</v>
      </c>
      <c r="F5" s="79"/>
      <c r="G5" s="86"/>
      <c r="H5" s="49">
        <f t="shared" ref="H5:H18" si="0">E5*$G$4</f>
        <v>1.2</v>
      </c>
      <c r="I5" s="78">
        <v>2.2000000000000002</v>
      </c>
      <c r="J5" s="79"/>
      <c r="K5" s="81"/>
      <c r="L5" s="49">
        <f t="shared" ref="L5:L18" si="1">I5*$K$4</f>
        <v>0.88000000000000012</v>
      </c>
      <c r="M5" s="49">
        <v>5</v>
      </c>
      <c r="N5" s="81"/>
      <c r="O5" s="49">
        <f t="shared" ref="O5:O18" si="2">M5*$N$4</f>
        <v>1.5</v>
      </c>
      <c r="P5" s="49">
        <v>0</v>
      </c>
      <c r="Q5" s="49">
        <f t="shared" ref="Q5:Q18" si="3">SUM(H5,L5,O5)</f>
        <v>3.58</v>
      </c>
    </row>
    <row r="6" spans="1:19" ht="15.6" thickTop="1" thickBot="1" x14ac:dyDescent="0.35">
      <c r="A6" s="46"/>
      <c r="B6" s="75" t="s">
        <v>143</v>
      </c>
      <c r="C6" s="76"/>
      <c r="D6" s="77"/>
      <c r="E6" s="78">
        <v>3.5</v>
      </c>
      <c r="F6" s="79"/>
      <c r="G6" s="86"/>
      <c r="H6" s="49">
        <f t="shared" si="0"/>
        <v>1.05</v>
      </c>
      <c r="I6" s="78">
        <v>4</v>
      </c>
      <c r="J6" s="79"/>
      <c r="K6" s="81"/>
      <c r="L6" s="49">
        <f t="shared" si="1"/>
        <v>1.6</v>
      </c>
      <c r="M6" s="49">
        <v>4.3</v>
      </c>
      <c r="N6" s="81"/>
      <c r="O6" s="49">
        <f t="shared" si="2"/>
        <v>1.2899999999999998</v>
      </c>
      <c r="P6" s="49">
        <v>3</v>
      </c>
      <c r="Q6" s="49">
        <f t="shared" si="3"/>
        <v>3.9400000000000004</v>
      </c>
    </row>
    <row r="7" spans="1:19" ht="15.6" thickTop="1" thickBot="1" x14ac:dyDescent="0.35">
      <c r="A7" s="46"/>
      <c r="B7" s="75" t="s">
        <v>144</v>
      </c>
      <c r="C7" s="76"/>
      <c r="D7" s="77"/>
      <c r="E7" s="78">
        <v>4</v>
      </c>
      <c r="F7" s="79"/>
      <c r="G7" s="86"/>
      <c r="H7" s="49">
        <f t="shared" si="0"/>
        <v>1.2</v>
      </c>
      <c r="I7" s="78">
        <v>4.2</v>
      </c>
      <c r="J7" s="79"/>
      <c r="K7" s="81"/>
      <c r="L7" s="49">
        <f t="shared" si="1"/>
        <v>1.6800000000000002</v>
      </c>
      <c r="M7" s="49">
        <v>4.8</v>
      </c>
      <c r="N7" s="81"/>
      <c r="O7" s="49">
        <f t="shared" si="2"/>
        <v>1.44</v>
      </c>
      <c r="P7" s="49">
        <v>1</v>
      </c>
      <c r="Q7" s="49">
        <f t="shared" si="3"/>
        <v>4.32</v>
      </c>
    </row>
    <row r="8" spans="1:19" ht="15.6" thickTop="1" thickBot="1" x14ac:dyDescent="0.35">
      <c r="A8" s="46"/>
      <c r="B8" s="75" t="s">
        <v>145</v>
      </c>
      <c r="C8" s="76"/>
      <c r="D8" s="77"/>
      <c r="E8" s="78">
        <v>3.8</v>
      </c>
      <c r="F8" s="79"/>
      <c r="G8" s="86"/>
      <c r="H8" s="49">
        <f t="shared" si="0"/>
        <v>1.1399999999999999</v>
      </c>
      <c r="I8" s="78">
        <v>4.0999999999999996</v>
      </c>
      <c r="J8" s="79"/>
      <c r="K8" s="81"/>
      <c r="L8" s="49">
        <f t="shared" si="1"/>
        <v>1.64</v>
      </c>
      <c r="M8" s="49">
        <v>4</v>
      </c>
      <c r="N8" s="81"/>
      <c r="O8" s="49">
        <f t="shared" si="2"/>
        <v>1.2</v>
      </c>
      <c r="P8" s="49">
        <v>3</v>
      </c>
      <c r="Q8" s="49">
        <f t="shared" si="3"/>
        <v>3.9799999999999995</v>
      </c>
    </row>
    <row r="9" spans="1:19" ht="15.6" thickTop="1" thickBot="1" x14ac:dyDescent="0.35">
      <c r="A9" s="46"/>
      <c r="B9" s="75" t="s">
        <v>146</v>
      </c>
      <c r="C9" s="76"/>
      <c r="D9" s="77"/>
      <c r="E9" s="78">
        <v>1</v>
      </c>
      <c r="F9" s="79"/>
      <c r="G9" s="86"/>
      <c r="H9" s="49">
        <f t="shared" si="0"/>
        <v>0.3</v>
      </c>
      <c r="I9" s="78">
        <v>3.8</v>
      </c>
      <c r="J9" s="79"/>
      <c r="K9" s="81"/>
      <c r="L9" s="49">
        <f t="shared" si="1"/>
        <v>1.52</v>
      </c>
      <c r="M9" s="49">
        <v>3.1</v>
      </c>
      <c r="N9" s="81"/>
      <c r="O9" s="49">
        <f t="shared" si="2"/>
        <v>0.92999999999999994</v>
      </c>
      <c r="P9" s="49">
        <v>2</v>
      </c>
      <c r="Q9" s="49">
        <f t="shared" si="3"/>
        <v>2.75</v>
      </c>
    </row>
    <row r="10" spans="1:19" ht="15.6" thickTop="1" thickBot="1" x14ac:dyDescent="0.35">
      <c r="A10" s="46"/>
      <c r="B10" s="75" t="s">
        <v>147</v>
      </c>
      <c r="C10" s="76"/>
      <c r="D10" s="77"/>
      <c r="E10" s="78">
        <v>3.5</v>
      </c>
      <c r="F10" s="79"/>
      <c r="G10" s="86"/>
      <c r="H10" s="49">
        <f t="shared" si="0"/>
        <v>1.05</v>
      </c>
      <c r="I10" s="78">
        <v>3.2</v>
      </c>
      <c r="J10" s="79"/>
      <c r="K10" s="81"/>
      <c r="L10" s="49">
        <f t="shared" si="1"/>
        <v>1.2800000000000002</v>
      </c>
      <c r="M10" s="49">
        <v>1</v>
      </c>
      <c r="N10" s="81"/>
      <c r="O10" s="49">
        <f t="shared" si="2"/>
        <v>0.3</v>
      </c>
      <c r="P10" s="49">
        <v>1</v>
      </c>
      <c r="Q10" s="49">
        <f t="shared" si="3"/>
        <v>2.63</v>
      </c>
    </row>
    <row r="11" spans="1:19" ht="15.6" thickTop="1" thickBot="1" x14ac:dyDescent="0.35">
      <c r="A11" s="46"/>
      <c r="B11" s="75" t="s">
        <v>148</v>
      </c>
      <c r="C11" s="76"/>
      <c r="D11" s="77"/>
      <c r="E11" s="78">
        <v>5</v>
      </c>
      <c r="F11" s="79"/>
      <c r="G11" s="86"/>
      <c r="H11" s="49">
        <f t="shared" si="0"/>
        <v>1.5</v>
      </c>
      <c r="I11" s="78">
        <v>3.5</v>
      </c>
      <c r="J11" s="79"/>
      <c r="K11" s="81"/>
      <c r="L11" s="49">
        <f t="shared" si="1"/>
        <v>1.4000000000000001</v>
      </c>
      <c r="M11" s="49">
        <v>3.7</v>
      </c>
      <c r="N11" s="81"/>
      <c r="O11" s="49">
        <f t="shared" si="2"/>
        <v>1.1100000000000001</v>
      </c>
      <c r="P11" s="49">
        <v>1</v>
      </c>
      <c r="Q11" s="49">
        <f t="shared" si="3"/>
        <v>4.0100000000000007</v>
      </c>
    </row>
    <row r="12" spans="1:19" ht="15.6" thickTop="1" thickBot="1" x14ac:dyDescent="0.35">
      <c r="A12" s="46"/>
      <c r="B12" s="75" t="s">
        <v>149</v>
      </c>
      <c r="C12" s="76"/>
      <c r="D12" s="77"/>
      <c r="E12" s="78">
        <v>4.5</v>
      </c>
      <c r="F12" s="79"/>
      <c r="G12" s="86"/>
      <c r="H12" s="49">
        <f t="shared" si="0"/>
        <v>1.3499999999999999</v>
      </c>
      <c r="I12" s="78">
        <v>3.8</v>
      </c>
      <c r="J12" s="79"/>
      <c r="K12" s="81"/>
      <c r="L12" s="49">
        <f t="shared" si="1"/>
        <v>1.52</v>
      </c>
      <c r="M12" s="49">
        <v>5</v>
      </c>
      <c r="N12" s="81"/>
      <c r="O12" s="49">
        <f t="shared" si="2"/>
        <v>1.5</v>
      </c>
      <c r="P12" s="49">
        <v>0</v>
      </c>
      <c r="Q12" s="49">
        <f t="shared" si="3"/>
        <v>4.37</v>
      </c>
    </row>
    <row r="13" spans="1:19" ht="15.6" thickTop="1" thickBot="1" x14ac:dyDescent="0.35">
      <c r="A13" s="46"/>
      <c r="B13" s="75" t="s">
        <v>150</v>
      </c>
      <c r="C13" s="76"/>
      <c r="D13" s="77"/>
      <c r="E13" s="78">
        <v>4.5</v>
      </c>
      <c r="F13" s="79"/>
      <c r="G13" s="86"/>
      <c r="H13" s="49">
        <f t="shared" si="0"/>
        <v>1.3499999999999999</v>
      </c>
      <c r="I13" s="78">
        <v>3.3</v>
      </c>
      <c r="J13" s="79"/>
      <c r="K13" s="81"/>
      <c r="L13" s="49">
        <f t="shared" si="1"/>
        <v>1.32</v>
      </c>
      <c r="M13" s="49">
        <v>2</v>
      </c>
      <c r="N13" s="81"/>
      <c r="O13" s="49">
        <f t="shared" si="2"/>
        <v>0.6</v>
      </c>
      <c r="P13" s="49">
        <v>5</v>
      </c>
      <c r="Q13" s="49">
        <f t="shared" si="3"/>
        <v>3.27</v>
      </c>
    </row>
    <row r="14" spans="1:19" ht="15.6" thickTop="1" thickBot="1" x14ac:dyDescent="0.35">
      <c r="A14" s="46"/>
      <c r="B14" s="75" t="s">
        <v>151</v>
      </c>
      <c r="C14" s="76"/>
      <c r="D14" s="77"/>
      <c r="E14" s="78">
        <v>4.7</v>
      </c>
      <c r="F14" s="79"/>
      <c r="G14" s="86"/>
      <c r="H14" s="49">
        <f t="shared" si="0"/>
        <v>1.41</v>
      </c>
      <c r="I14" s="78">
        <v>3.5</v>
      </c>
      <c r="J14" s="79"/>
      <c r="K14" s="81"/>
      <c r="L14" s="49">
        <f t="shared" si="1"/>
        <v>1.4000000000000001</v>
      </c>
      <c r="M14" s="49">
        <v>4</v>
      </c>
      <c r="N14" s="81"/>
      <c r="O14" s="49">
        <f t="shared" si="2"/>
        <v>1.2</v>
      </c>
      <c r="P14" s="49">
        <v>3</v>
      </c>
      <c r="Q14" s="49">
        <f t="shared" si="3"/>
        <v>4.01</v>
      </c>
    </row>
    <row r="15" spans="1:19" ht="15.6" thickTop="1" thickBot="1" x14ac:dyDescent="0.35">
      <c r="A15" s="46"/>
      <c r="B15" s="75" t="s">
        <v>152</v>
      </c>
      <c r="C15" s="76"/>
      <c r="D15" s="77"/>
      <c r="E15" s="78">
        <v>4</v>
      </c>
      <c r="F15" s="79"/>
      <c r="G15" s="86"/>
      <c r="H15" s="49">
        <f t="shared" si="0"/>
        <v>1.2</v>
      </c>
      <c r="I15" s="78">
        <v>5</v>
      </c>
      <c r="J15" s="79"/>
      <c r="K15" s="81"/>
      <c r="L15" s="49">
        <f t="shared" si="1"/>
        <v>2</v>
      </c>
      <c r="M15" s="49">
        <v>4</v>
      </c>
      <c r="N15" s="81"/>
      <c r="O15" s="49">
        <f t="shared" si="2"/>
        <v>1.2</v>
      </c>
      <c r="P15" s="49">
        <v>2</v>
      </c>
      <c r="Q15" s="49">
        <f t="shared" si="3"/>
        <v>4.4000000000000004</v>
      </c>
    </row>
    <row r="16" spans="1:19" ht="15.6" thickTop="1" thickBot="1" x14ac:dyDescent="0.35">
      <c r="A16" s="46"/>
      <c r="B16" s="75" t="s">
        <v>153</v>
      </c>
      <c r="C16" s="76"/>
      <c r="D16" s="77"/>
      <c r="E16" s="78">
        <v>3.5</v>
      </c>
      <c r="F16" s="79"/>
      <c r="G16" s="86"/>
      <c r="H16" s="49">
        <f t="shared" si="0"/>
        <v>1.05</v>
      </c>
      <c r="I16" s="78">
        <v>4.2</v>
      </c>
      <c r="J16" s="79"/>
      <c r="K16" s="81"/>
      <c r="L16" s="49">
        <f t="shared" si="1"/>
        <v>1.6800000000000002</v>
      </c>
      <c r="M16" s="49">
        <v>3.5</v>
      </c>
      <c r="N16" s="81"/>
      <c r="O16" s="49">
        <f t="shared" si="2"/>
        <v>1.05</v>
      </c>
      <c r="P16" s="49">
        <v>4</v>
      </c>
      <c r="Q16" s="49">
        <f t="shared" si="3"/>
        <v>3.7800000000000002</v>
      </c>
    </row>
    <row r="17" spans="1:18" ht="15.6" thickTop="1" thickBot="1" x14ac:dyDescent="0.35">
      <c r="A17" s="46"/>
      <c r="B17" s="75" t="s">
        <v>154</v>
      </c>
      <c r="C17" s="76"/>
      <c r="D17" s="77"/>
      <c r="E17" s="78">
        <v>1</v>
      </c>
      <c r="F17" s="79"/>
      <c r="G17" s="86"/>
      <c r="H17" s="49">
        <f t="shared" si="0"/>
        <v>0.3</v>
      </c>
      <c r="I17" s="78">
        <v>5</v>
      </c>
      <c r="J17" s="79"/>
      <c r="K17" s="81"/>
      <c r="L17" s="49">
        <f t="shared" si="1"/>
        <v>2</v>
      </c>
      <c r="M17" s="49">
        <v>4.5999999999999996</v>
      </c>
      <c r="N17" s="81"/>
      <c r="O17" s="49">
        <f t="shared" si="2"/>
        <v>1.38</v>
      </c>
      <c r="P17" s="49">
        <v>1</v>
      </c>
      <c r="Q17" s="49">
        <f t="shared" si="3"/>
        <v>3.6799999999999997</v>
      </c>
    </row>
    <row r="18" spans="1:18" ht="15.6" thickTop="1" thickBot="1" x14ac:dyDescent="0.35">
      <c r="A18" s="46"/>
      <c r="B18" s="75" t="s">
        <v>155</v>
      </c>
      <c r="C18" s="76"/>
      <c r="D18" s="77"/>
      <c r="E18" s="78">
        <v>2.5</v>
      </c>
      <c r="F18" s="79"/>
      <c r="G18" s="86"/>
      <c r="H18" s="49">
        <f t="shared" si="0"/>
        <v>0.75</v>
      </c>
      <c r="I18" s="78">
        <v>2</v>
      </c>
      <c r="J18" s="79"/>
      <c r="K18" s="81"/>
      <c r="L18" s="49">
        <f t="shared" si="1"/>
        <v>0.8</v>
      </c>
      <c r="M18" s="49">
        <v>3.5</v>
      </c>
      <c r="N18" s="81"/>
      <c r="O18" s="49">
        <f t="shared" si="2"/>
        <v>1.05</v>
      </c>
      <c r="P18" s="49">
        <v>9</v>
      </c>
      <c r="Q18" s="49">
        <f t="shared" si="3"/>
        <v>2.6</v>
      </c>
    </row>
    <row r="19" spans="1:18" ht="15" thickTop="1" x14ac:dyDescent="0.3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0"/>
    </row>
    <row r="25" spans="1:18" x14ac:dyDescent="0.3">
      <c r="G25" t="s">
        <v>156</v>
      </c>
      <c r="H25" s="51">
        <v>0.19</v>
      </c>
    </row>
    <row r="26" spans="1:18" ht="15" thickBot="1" x14ac:dyDescent="0.35"/>
    <row r="27" spans="1:18" ht="16.2" thickTop="1" x14ac:dyDescent="0.3">
      <c r="B27" s="73" t="s">
        <v>157</v>
      </c>
      <c r="C27" s="73" t="s">
        <v>57</v>
      </c>
      <c r="D27" s="73" t="s">
        <v>158</v>
      </c>
      <c r="E27" s="52" t="s">
        <v>159</v>
      </c>
      <c r="F27" s="73" t="s">
        <v>160</v>
      </c>
      <c r="G27" s="73" t="s">
        <v>156</v>
      </c>
      <c r="H27" s="52" t="s">
        <v>161</v>
      </c>
    </row>
    <row r="28" spans="1:18" ht="16.2" thickBot="1" x14ac:dyDescent="0.35">
      <c r="B28" s="74"/>
      <c r="C28" s="74"/>
      <c r="D28" s="74"/>
      <c r="E28" s="54" t="s">
        <v>162</v>
      </c>
      <c r="F28" s="74"/>
      <c r="G28" s="74"/>
      <c r="H28" s="53" t="s">
        <v>163</v>
      </c>
    </row>
    <row r="29" spans="1:18" ht="15.6" thickTop="1" thickBot="1" x14ac:dyDescent="0.35">
      <c r="B29" s="55">
        <v>21</v>
      </c>
      <c r="C29" s="55">
        <v>2</v>
      </c>
      <c r="D29" s="56" t="s">
        <v>164</v>
      </c>
      <c r="E29" s="57">
        <v>25000</v>
      </c>
      <c r="F29" s="58">
        <f>E29*C29</f>
        <v>50000</v>
      </c>
      <c r="G29" s="59">
        <f>F29*0.19</f>
        <v>9500</v>
      </c>
      <c r="H29" s="59">
        <f>F29+G29</f>
        <v>59500</v>
      </c>
    </row>
    <row r="30" spans="1:18" ht="15.6" thickTop="1" thickBot="1" x14ac:dyDescent="0.35">
      <c r="B30" s="55">
        <v>10</v>
      </c>
      <c r="C30" s="55">
        <v>2</v>
      </c>
      <c r="D30" s="56" t="s">
        <v>165</v>
      </c>
      <c r="E30" s="57">
        <v>8000</v>
      </c>
      <c r="F30" s="58">
        <f t="shared" ref="F30:F36" si="4">E30*C30</f>
        <v>16000</v>
      </c>
      <c r="G30" s="59">
        <f t="shared" ref="G30:G36" si="5">F30*0.19</f>
        <v>3040</v>
      </c>
      <c r="H30" s="59">
        <f t="shared" ref="H30:H36" si="6">F30+G30</f>
        <v>19040</v>
      </c>
    </row>
    <row r="31" spans="1:18" ht="15.6" thickTop="1" thickBot="1" x14ac:dyDescent="0.35">
      <c r="B31" s="55">
        <v>2</v>
      </c>
      <c r="C31" s="55">
        <v>4</v>
      </c>
      <c r="D31" s="56" t="s">
        <v>166</v>
      </c>
      <c r="E31" s="57">
        <v>55000</v>
      </c>
      <c r="F31" s="58">
        <f t="shared" si="4"/>
        <v>220000</v>
      </c>
      <c r="G31" s="59">
        <f t="shared" si="5"/>
        <v>41800</v>
      </c>
      <c r="H31" s="59">
        <f t="shared" si="6"/>
        <v>261800</v>
      </c>
    </row>
    <row r="32" spans="1:18" ht="15.6" thickTop="1" thickBot="1" x14ac:dyDescent="0.35">
      <c r="B32" s="55">
        <v>15</v>
      </c>
      <c r="C32" s="55">
        <v>1</v>
      </c>
      <c r="D32" s="56" t="s">
        <v>167</v>
      </c>
      <c r="E32" s="57">
        <v>15000</v>
      </c>
      <c r="F32" s="58">
        <f t="shared" si="4"/>
        <v>15000</v>
      </c>
      <c r="G32" s="59">
        <f t="shared" si="5"/>
        <v>2850</v>
      </c>
      <c r="H32" s="59">
        <f t="shared" si="6"/>
        <v>17850</v>
      </c>
    </row>
    <row r="33" spans="2:8" ht="15.6" thickTop="1" thickBot="1" x14ac:dyDescent="0.35">
      <c r="B33" s="55">
        <v>28</v>
      </c>
      <c r="C33" s="55">
        <v>2</v>
      </c>
      <c r="D33" s="56" t="s">
        <v>168</v>
      </c>
      <c r="E33" s="57">
        <v>45000</v>
      </c>
      <c r="F33" s="58">
        <f t="shared" si="4"/>
        <v>90000</v>
      </c>
      <c r="G33" s="59">
        <f t="shared" si="5"/>
        <v>17100</v>
      </c>
      <c r="H33" s="59">
        <f t="shared" si="6"/>
        <v>107100</v>
      </c>
    </row>
    <row r="34" spans="2:8" ht="15.6" thickTop="1" thickBot="1" x14ac:dyDescent="0.35">
      <c r="B34" s="55">
        <v>41</v>
      </c>
      <c r="C34" s="55">
        <v>1</v>
      </c>
      <c r="D34" s="56" t="s">
        <v>169</v>
      </c>
      <c r="E34" s="57">
        <v>70000</v>
      </c>
      <c r="F34" s="58">
        <f t="shared" si="4"/>
        <v>70000</v>
      </c>
      <c r="G34" s="59">
        <f t="shared" si="5"/>
        <v>13300</v>
      </c>
      <c r="H34" s="59">
        <f t="shared" si="6"/>
        <v>83300</v>
      </c>
    </row>
    <row r="35" spans="2:8" ht="15.6" thickTop="1" thickBot="1" x14ac:dyDescent="0.35">
      <c r="B35" s="55">
        <v>54</v>
      </c>
      <c r="C35" s="55">
        <v>1</v>
      </c>
      <c r="D35" s="56" t="s">
        <v>170</v>
      </c>
      <c r="E35" s="57">
        <v>15000</v>
      </c>
      <c r="F35" s="58">
        <f t="shared" si="4"/>
        <v>15000</v>
      </c>
      <c r="G35" s="59">
        <f t="shared" si="5"/>
        <v>2850</v>
      </c>
      <c r="H35" s="59">
        <f t="shared" si="6"/>
        <v>17850</v>
      </c>
    </row>
    <row r="36" spans="2:8" ht="15.6" thickTop="1" thickBot="1" x14ac:dyDescent="0.35">
      <c r="B36" s="55">
        <v>67</v>
      </c>
      <c r="C36" s="55">
        <v>1</v>
      </c>
      <c r="D36" s="56" t="s">
        <v>171</v>
      </c>
      <c r="E36" s="57">
        <v>18000</v>
      </c>
      <c r="F36" s="58">
        <f t="shared" si="4"/>
        <v>18000</v>
      </c>
      <c r="G36" s="59">
        <f t="shared" si="5"/>
        <v>3420</v>
      </c>
      <c r="H36" s="59">
        <f t="shared" si="6"/>
        <v>21420</v>
      </c>
    </row>
    <row r="37" spans="2:8" ht="15.6" thickTop="1" thickBot="1" x14ac:dyDescent="0.35">
      <c r="B37" s="69" t="s">
        <v>172</v>
      </c>
      <c r="C37" s="70"/>
      <c r="D37" s="70"/>
      <c r="E37" s="71"/>
      <c r="F37" s="70"/>
      <c r="G37" s="72"/>
      <c r="H37" s="59">
        <f>SUM(H29:H36)</f>
        <v>587860</v>
      </c>
    </row>
    <row r="38" spans="2:8" ht="15.6" thickTop="1" thickBot="1" x14ac:dyDescent="0.35">
      <c r="B38" s="69" t="s">
        <v>173</v>
      </c>
      <c r="C38" s="70"/>
      <c r="D38" s="70"/>
      <c r="E38" s="70"/>
      <c r="F38" s="70"/>
      <c r="G38" s="72"/>
      <c r="H38" s="63" cm="1">
        <f t="array" ref="H38">_xlfn.IFS(H37&lt;500000,5%*H37,H37&gt;1000000,10%*H37,AND(H37&gt;500000,H37&lt;1000000),8%*H37)</f>
        <v>47028.800000000003</v>
      </c>
    </row>
    <row r="39" spans="2:8" ht="15.6" thickTop="1" thickBot="1" x14ac:dyDescent="0.35">
      <c r="B39" s="69" t="s">
        <v>174</v>
      </c>
      <c r="C39" s="70"/>
      <c r="D39" s="70"/>
      <c r="E39" s="70"/>
      <c r="F39" s="70"/>
      <c r="G39" s="72"/>
      <c r="H39" s="59">
        <f>H37-H38</f>
        <v>540831.19999999995</v>
      </c>
    </row>
    <row r="40" spans="2:8" ht="15" thickTop="1" x14ac:dyDescent="0.3"/>
    <row r="44" spans="2:8" x14ac:dyDescent="0.3">
      <c r="C44" s="60" t="s">
        <v>175</v>
      </c>
      <c r="D44" s="60" t="s">
        <v>176</v>
      </c>
      <c r="E44" s="60" t="s">
        <v>177</v>
      </c>
      <c r="F44" s="60" t="s">
        <v>178</v>
      </c>
      <c r="G44" s="61" t="s">
        <v>179</v>
      </c>
      <c r="H44" s="61" t="s">
        <v>180</v>
      </c>
    </row>
    <row r="45" spans="2:8" x14ac:dyDescent="0.3">
      <c r="C45" s="62" t="s">
        <v>181</v>
      </c>
      <c r="D45" s="62">
        <v>20</v>
      </c>
      <c r="E45" s="62" t="s">
        <v>74</v>
      </c>
      <c r="F45" s="62" t="s">
        <v>182</v>
      </c>
      <c r="G45" t="str" cm="1">
        <f t="array" ref="G45">_xlfn.IFS(D45&lt;20,"Joven",AND(D45&gt;=20,D45&lt;=35),"Adulto Joven",D45&gt;35,"Adulto")</f>
        <v>Adulto Joven</v>
      </c>
      <c r="H45" t="e" cm="1">
        <f t="array" ref="H45">_xlfn.IFS(AND(E45="F",D45&gt;30),"Citologia")</f>
        <v>#N/A</v>
      </c>
    </row>
    <row r="46" spans="2:8" x14ac:dyDescent="0.3">
      <c r="C46" s="62" t="s">
        <v>82</v>
      </c>
      <c r="D46" s="62">
        <v>35</v>
      </c>
      <c r="E46" s="62" t="s">
        <v>74</v>
      </c>
      <c r="F46" s="62" t="s">
        <v>183</v>
      </c>
      <c r="G46" t="str" cm="1">
        <f t="array" ref="G46">_xlfn.IFS(D46&lt;20,"Joven",AND(D46&gt;=20,D46&lt;=35),"Adulto Joven",D46&gt;35,"Adulto")</f>
        <v>Adulto Joven</v>
      </c>
      <c r="H46" s="19" t="str">
        <f>IF(AND(E46="F",D46&gt;30),"Citologia","N/A")</f>
        <v>Citologia</v>
      </c>
    </row>
    <row r="47" spans="2:8" x14ac:dyDescent="0.3">
      <c r="C47" s="62" t="s">
        <v>184</v>
      </c>
      <c r="D47" s="62">
        <v>25</v>
      </c>
      <c r="E47" s="62" t="s">
        <v>71</v>
      </c>
      <c r="F47" s="62" t="s">
        <v>185</v>
      </c>
      <c r="G47" t="str" cm="1">
        <f t="array" ref="G47">_xlfn.IFS(D47&lt;20,"Joven",AND(D47&gt;=20,D47&lt;=35),"Adulto Joven",D47&gt;35,"Adulto")</f>
        <v>Adulto Joven</v>
      </c>
      <c r="H47" s="19" t="str">
        <f t="shared" ref="H47:H54" si="7">IF(AND(E47="F",D47&gt;30),"Citologia","N/A")</f>
        <v>N/A</v>
      </c>
    </row>
    <row r="48" spans="2:8" x14ac:dyDescent="0.3">
      <c r="C48" s="62" t="s">
        <v>186</v>
      </c>
      <c r="D48" s="62">
        <v>55</v>
      </c>
      <c r="E48" s="62" t="s">
        <v>74</v>
      </c>
      <c r="F48" s="62" t="s">
        <v>187</v>
      </c>
      <c r="G48" t="str" cm="1">
        <f t="array" ref="G48">_xlfn.IFS(D48&lt;20,"Joven",AND(D48&gt;=20,D48&lt;=35),"Adulto Joven",D48&gt;35,"Adulto")</f>
        <v>Adulto</v>
      </c>
      <c r="H48" s="19" t="str">
        <f t="shared" si="7"/>
        <v>Citologia</v>
      </c>
    </row>
    <row r="49" spans="3:12" x14ac:dyDescent="0.3">
      <c r="C49" s="62" t="s">
        <v>188</v>
      </c>
      <c r="D49" s="62">
        <v>18</v>
      </c>
      <c r="E49" s="62" t="s">
        <v>71</v>
      </c>
      <c r="F49" s="62" t="s">
        <v>189</v>
      </c>
      <c r="G49" t="str" cm="1">
        <f t="array" ref="G49">_xlfn.IFS(D49&lt;20,"Joven",AND(D49&gt;=20,D49&lt;=35),"Adulto Joven",D49&gt;35,"Adulto")</f>
        <v>Joven</v>
      </c>
      <c r="H49" s="19" t="str">
        <f t="shared" si="7"/>
        <v>N/A</v>
      </c>
    </row>
    <row r="50" spans="3:12" x14ac:dyDescent="0.3">
      <c r="C50" s="62" t="s">
        <v>190</v>
      </c>
      <c r="D50" s="62">
        <v>42</v>
      </c>
      <c r="E50" s="62" t="s">
        <v>71</v>
      </c>
      <c r="F50" s="62" t="s">
        <v>42</v>
      </c>
      <c r="G50" t="str" cm="1">
        <f t="array" ref="G50">_xlfn.IFS(D50&lt;20,"Joven",AND(D50&gt;=20,D50&lt;=35),"Adulto Joven",D50&gt;35,"Adulto")</f>
        <v>Adulto</v>
      </c>
      <c r="H50" s="19" t="str">
        <f t="shared" si="7"/>
        <v>N/A</v>
      </c>
      <c r="L50" t="s">
        <v>191</v>
      </c>
    </row>
    <row r="51" spans="3:12" x14ac:dyDescent="0.3">
      <c r="C51" s="62" t="s">
        <v>192</v>
      </c>
      <c r="D51" s="62">
        <v>28</v>
      </c>
      <c r="E51" s="62" t="s">
        <v>74</v>
      </c>
      <c r="F51" s="62" t="s">
        <v>193</v>
      </c>
      <c r="G51" t="str" cm="1">
        <f t="array" ref="G51">_xlfn.IFS(D51&lt;20,"Joven",AND(D51&gt;=20,D51&lt;=35),"Adulto Joven",D51&gt;35,"Adulto")</f>
        <v>Adulto Joven</v>
      </c>
      <c r="H51" s="19" t="str">
        <f t="shared" si="7"/>
        <v>N/A</v>
      </c>
      <c r="L51" t="s">
        <v>194</v>
      </c>
    </row>
    <row r="52" spans="3:12" x14ac:dyDescent="0.3">
      <c r="C52" s="62" t="s">
        <v>195</v>
      </c>
      <c r="D52" s="62">
        <v>30</v>
      </c>
      <c r="E52" s="62" t="s">
        <v>74</v>
      </c>
      <c r="F52" s="62" t="s">
        <v>196</v>
      </c>
      <c r="G52" t="str" cm="1">
        <f t="array" ref="G52">_xlfn.IFS(D52&lt;20,"Joven",AND(D52&gt;=20,D52&lt;=35),"Adulto Joven",D52&gt;35,"Adulto")</f>
        <v>Adulto Joven</v>
      </c>
      <c r="H52" s="19" t="str">
        <f t="shared" si="7"/>
        <v>N/A</v>
      </c>
    </row>
    <row r="53" spans="3:12" x14ac:dyDescent="0.3">
      <c r="C53" s="62" t="s">
        <v>197</v>
      </c>
      <c r="D53" s="62">
        <v>60</v>
      </c>
      <c r="E53" s="62" t="s">
        <v>71</v>
      </c>
      <c r="F53" s="62" t="s">
        <v>198</v>
      </c>
      <c r="G53" t="str" cm="1">
        <f t="array" ref="G53">_xlfn.IFS(D53&lt;20,"Joven",AND(D53&gt;=20,D53&lt;=35),"Adulto Joven",D53&gt;35,"Adulto")</f>
        <v>Adulto</v>
      </c>
      <c r="H53" s="19" t="str">
        <f t="shared" si="7"/>
        <v>N/A</v>
      </c>
      <c r="J53" t="s">
        <v>199</v>
      </c>
      <c r="K53" t="s">
        <v>200</v>
      </c>
    </row>
    <row r="54" spans="3:12" x14ac:dyDescent="0.3">
      <c r="C54" s="62" t="s">
        <v>201</v>
      </c>
      <c r="D54" s="62">
        <v>10</v>
      </c>
      <c r="E54" s="62" t="s">
        <v>71</v>
      </c>
      <c r="F54" s="62" t="s">
        <v>202</v>
      </c>
      <c r="G54" t="str" cm="1">
        <f t="array" ref="G54">_xlfn.IFS(D54&lt;20,"Joven",AND(D54&gt;=20,D54&lt;=35),"Adulto Joven",D54&gt;35,"Adulto")</f>
        <v>Joven</v>
      </c>
      <c r="H54" s="19" t="str">
        <f t="shared" si="7"/>
        <v>N/A</v>
      </c>
      <c r="J54" t="s">
        <v>203</v>
      </c>
      <c r="K54" t="s">
        <v>204</v>
      </c>
    </row>
    <row r="55" spans="3:12" x14ac:dyDescent="0.3">
      <c r="J55" t="s">
        <v>205</v>
      </c>
      <c r="K55" t="s">
        <v>206</v>
      </c>
    </row>
  </sheetData>
  <mergeCells count="59">
    <mergeCell ref="B3:D3"/>
    <mergeCell ref="E3:F3"/>
    <mergeCell ref="I3:J3"/>
    <mergeCell ref="B4:D4"/>
    <mergeCell ref="E4:F4"/>
    <mergeCell ref="G4:G18"/>
    <mergeCell ref="I4:J4"/>
    <mergeCell ref="I7:J7"/>
    <mergeCell ref="B8:D8"/>
    <mergeCell ref="E8:F8"/>
    <mergeCell ref="I10:J10"/>
    <mergeCell ref="B11:D11"/>
    <mergeCell ref="E11:F11"/>
    <mergeCell ref="I11:J11"/>
    <mergeCell ref="B12:D12"/>
    <mergeCell ref="E12:F12"/>
    <mergeCell ref="K4:K18"/>
    <mergeCell ref="N4:N18"/>
    <mergeCell ref="B5:D5"/>
    <mergeCell ref="E5:F5"/>
    <mergeCell ref="I5:J5"/>
    <mergeCell ref="B6:D6"/>
    <mergeCell ref="E6:F6"/>
    <mergeCell ref="I6:J6"/>
    <mergeCell ref="B7:D7"/>
    <mergeCell ref="E7:F7"/>
    <mergeCell ref="I8:J8"/>
    <mergeCell ref="B9:D9"/>
    <mergeCell ref="E9:F9"/>
    <mergeCell ref="I9:J9"/>
    <mergeCell ref="B10:D10"/>
    <mergeCell ref="E10:F10"/>
    <mergeCell ref="I12:J12"/>
    <mergeCell ref="B13:D13"/>
    <mergeCell ref="E13:F13"/>
    <mergeCell ref="I13:J13"/>
    <mergeCell ref="B14:D14"/>
    <mergeCell ref="E14:F14"/>
    <mergeCell ref="I14:J14"/>
    <mergeCell ref="B15:D15"/>
    <mergeCell ref="E15:F15"/>
    <mergeCell ref="I15:J15"/>
    <mergeCell ref="B16:D16"/>
    <mergeCell ref="E16:F16"/>
    <mergeCell ref="I16:J16"/>
    <mergeCell ref="B17:D17"/>
    <mergeCell ref="E17:F17"/>
    <mergeCell ref="I17:J17"/>
    <mergeCell ref="B18:D18"/>
    <mergeCell ref="E18:F18"/>
    <mergeCell ref="I18:J18"/>
    <mergeCell ref="B37:G37"/>
    <mergeCell ref="B38:G38"/>
    <mergeCell ref="B39:G39"/>
    <mergeCell ref="B27:B28"/>
    <mergeCell ref="C27:C28"/>
    <mergeCell ref="D27:D28"/>
    <mergeCell ref="F27:F28"/>
    <mergeCell ref="G27:G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96FD-C98B-4360-8868-6E7D5ED28D5C}">
  <dimension ref="C25:L65"/>
  <sheetViews>
    <sheetView topLeftCell="A41" zoomScaleNormal="100" workbookViewId="0">
      <selection activeCell="O34" sqref="O34"/>
    </sheetView>
  </sheetViews>
  <sheetFormatPr baseColWidth="10" defaultColWidth="11.5546875" defaultRowHeight="14.4" x14ac:dyDescent="0.3"/>
  <cols>
    <col min="7" max="7" width="16.44140625" customWidth="1"/>
  </cols>
  <sheetData>
    <row r="25" spans="3:8" ht="28.8" x14ac:dyDescent="0.3">
      <c r="C25" s="17" t="s">
        <v>0</v>
      </c>
      <c r="D25" s="18" t="s">
        <v>64</v>
      </c>
      <c r="E25" s="17" t="s">
        <v>65</v>
      </c>
      <c r="F25" s="18" t="s">
        <v>66</v>
      </c>
      <c r="G25" s="18" t="s">
        <v>67</v>
      </c>
      <c r="H25" s="18" t="s">
        <v>68</v>
      </c>
    </row>
    <row r="26" spans="3:8" x14ac:dyDescent="0.3">
      <c r="C26" t="s">
        <v>69</v>
      </c>
      <c r="D26" s="19" t="s">
        <v>70</v>
      </c>
      <c r="E26" s="19" t="s">
        <v>71</v>
      </c>
      <c r="F26" s="19">
        <v>3</v>
      </c>
      <c r="G26" s="20">
        <v>2699.71</v>
      </c>
      <c r="H26" s="20">
        <f>IF(AND(D26="C",E26="M",F26&gt;2),G26*15%,IF(AND(D26="S",E26="F",F26&gt;0),18%*G26,G26*10%))</f>
        <v>269.971</v>
      </c>
    </row>
    <row r="27" spans="3:8" x14ac:dyDescent="0.3">
      <c r="C27" t="s">
        <v>72</v>
      </c>
      <c r="D27" s="19" t="s">
        <v>73</v>
      </c>
      <c r="E27" s="19" t="s">
        <v>74</v>
      </c>
      <c r="F27" s="19">
        <v>1</v>
      </c>
      <c r="G27" s="20">
        <v>2752.01</v>
      </c>
      <c r="H27" s="20">
        <f t="shared" ref="H27:H33" si="0">IF(AND(D27="C",E27="M",F27&gt;2),G27*15%,IF(AND(D27="S",E27="F",F27&gt;0),18%*G27,G27*10%))</f>
        <v>275.20100000000002</v>
      </c>
    </row>
    <row r="28" spans="3:8" x14ac:dyDescent="0.3">
      <c r="C28" t="s">
        <v>75</v>
      </c>
      <c r="D28" s="19" t="s">
        <v>70</v>
      </c>
      <c r="E28" s="19" t="s">
        <v>71</v>
      </c>
      <c r="F28" s="19">
        <v>1</v>
      </c>
      <c r="G28" s="20">
        <v>3016.95</v>
      </c>
      <c r="H28" s="20">
        <f t="shared" si="0"/>
        <v>301.69499999999999</v>
      </c>
    </row>
    <row r="29" spans="3:8" x14ac:dyDescent="0.3">
      <c r="C29" t="s">
        <v>76</v>
      </c>
      <c r="D29" s="19" t="s">
        <v>77</v>
      </c>
      <c r="E29" s="19" t="s">
        <v>74</v>
      </c>
      <c r="F29" s="19">
        <v>0</v>
      </c>
      <c r="G29" s="20">
        <v>3558.33</v>
      </c>
      <c r="H29" s="20">
        <f t="shared" si="0"/>
        <v>355.83300000000003</v>
      </c>
    </row>
    <row r="30" spans="3:8" x14ac:dyDescent="0.3">
      <c r="C30" t="s">
        <v>78</v>
      </c>
      <c r="D30" s="19" t="s">
        <v>70</v>
      </c>
      <c r="E30" s="19" t="s">
        <v>74</v>
      </c>
      <c r="F30" s="19">
        <v>1</v>
      </c>
      <c r="G30" s="20">
        <v>2569.88</v>
      </c>
      <c r="H30" s="20">
        <f t="shared" si="0"/>
        <v>462.57839999999999</v>
      </c>
    </row>
    <row r="31" spans="3:8" x14ac:dyDescent="0.3">
      <c r="C31" t="s">
        <v>79</v>
      </c>
      <c r="D31" s="19" t="s">
        <v>80</v>
      </c>
      <c r="E31" s="19" t="s">
        <v>74</v>
      </c>
      <c r="F31" s="19">
        <v>1</v>
      </c>
      <c r="G31" s="20">
        <v>4730.18</v>
      </c>
      <c r="H31" s="20">
        <f t="shared" si="0"/>
        <v>473.01800000000003</v>
      </c>
    </row>
    <row r="32" spans="3:8" x14ac:dyDescent="0.3">
      <c r="C32" t="s">
        <v>81</v>
      </c>
      <c r="D32" s="19" t="s">
        <v>77</v>
      </c>
      <c r="E32" s="19" t="s">
        <v>74</v>
      </c>
      <c r="F32" s="19">
        <v>2</v>
      </c>
      <c r="G32" s="20">
        <v>2237.29</v>
      </c>
      <c r="H32" s="20">
        <f t="shared" si="0"/>
        <v>223.72900000000001</v>
      </c>
    </row>
    <row r="33" spans="3:12" x14ac:dyDescent="0.3">
      <c r="C33" t="s">
        <v>82</v>
      </c>
      <c r="D33" s="19" t="s">
        <v>73</v>
      </c>
      <c r="E33" s="19" t="s">
        <v>74</v>
      </c>
      <c r="F33" s="19">
        <v>2</v>
      </c>
      <c r="G33" s="20">
        <v>3598.83</v>
      </c>
      <c r="H33" s="20">
        <f t="shared" si="0"/>
        <v>359.88300000000004</v>
      </c>
    </row>
    <row r="35" spans="3:12" x14ac:dyDescent="0.3">
      <c r="H35" t="e" cm="1">
        <f t="array" ref="H35">IF(_xlfn.IFS(AND(D26="C",E26="M",F26&gt;2),G26*15%,AND(D26="S",E26="F",F26&gt;0),18%*G26)="#N/A",G26*10%)</f>
        <v>#N/A</v>
      </c>
    </row>
    <row r="40" spans="3:12" ht="15" thickBot="1" x14ac:dyDescent="0.35"/>
    <row r="41" spans="3:12" ht="29.4" thickBot="1" x14ac:dyDescent="0.35">
      <c r="C41" s="21" t="s">
        <v>83</v>
      </c>
      <c r="D41" s="22" t="s">
        <v>0</v>
      </c>
      <c r="E41" s="23" t="s">
        <v>84</v>
      </c>
      <c r="F41" s="24" t="s">
        <v>85</v>
      </c>
      <c r="G41" s="25" t="s">
        <v>86</v>
      </c>
      <c r="H41" s="26" t="s">
        <v>87</v>
      </c>
    </row>
    <row r="42" spans="3:12" ht="15" thickBot="1" x14ac:dyDescent="0.35">
      <c r="C42" s="27" t="s">
        <v>88</v>
      </c>
      <c r="D42" s="28" t="s">
        <v>89</v>
      </c>
      <c r="E42" s="29">
        <v>4.9000000000000004</v>
      </c>
      <c r="F42" s="30">
        <v>8.6999999999999993</v>
      </c>
      <c r="G42" s="31">
        <v>10</v>
      </c>
      <c r="H42" s="32" t="str">
        <f>IF(AND(E42&gt;=5,F42&gt;=5,G42&lt;10),"Aprobado","Reprobado")</f>
        <v>Reprobado</v>
      </c>
      <c r="J42" s="87" t="s">
        <v>90</v>
      </c>
      <c r="K42" s="88"/>
      <c r="L42" s="89"/>
    </row>
    <row r="43" spans="3:12" ht="15" thickBot="1" x14ac:dyDescent="0.35">
      <c r="C43" s="33" t="s">
        <v>91</v>
      </c>
      <c r="D43" s="34" t="s">
        <v>92</v>
      </c>
      <c r="E43" s="35">
        <v>9.1</v>
      </c>
      <c r="F43" s="36">
        <v>6.3</v>
      </c>
      <c r="G43" s="37">
        <v>2</v>
      </c>
      <c r="H43" s="32" t="str">
        <f t="shared" ref="H43:H63" si="1">IF(AND(E43&gt;=5,F43&gt;=5,G43&lt;10),"Aprobado","Reprobado")</f>
        <v>Aprobado</v>
      </c>
      <c r="J43" s="90" t="s">
        <v>93</v>
      </c>
      <c r="K43" s="91"/>
      <c r="L43" s="92"/>
    </row>
    <row r="44" spans="3:12" ht="15" thickBot="1" x14ac:dyDescent="0.35">
      <c r="C44" s="27" t="s">
        <v>94</v>
      </c>
      <c r="D44" s="28" t="s">
        <v>75</v>
      </c>
      <c r="E44" s="38">
        <v>7.3</v>
      </c>
      <c r="F44" s="39">
        <v>6.3</v>
      </c>
      <c r="G44" s="40">
        <v>0</v>
      </c>
      <c r="H44" s="32" t="str">
        <f t="shared" si="1"/>
        <v>Aprobado</v>
      </c>
      <c r="J44" s="93" t="s">
        <v>95</v>
      </c>
      <c r="K44" s="94"/>
      <c r="L44" s="95"/>
    </row>
    <row r="45" spans="3:12" ht="15" thickBot="1" x14ac:dyDescent="0.35">
      <c r="C45" s="33" t="s">
        <v>96</v>
      </c>
      <c r="D45" s="34" t="s">
        <v>97</v>
      </c>
      <c r="E45" s="35">
        <v>5.6</v>
      </c>
      <c r="F45" s="36">
        <v>4.9000000000000004</v>
      </c>
      <c r="G45" s="37">
        <v>15</v>
      </c>
      <c r="H45" s="32" t="str">
        <f t="shared" si="1"/>
        <v>Reprobado</v>
      </c>
      <c r="J45" s="96" t="s">
        <v>98</v>
      </c>
      <c r="K45" s="97"/>
      <c r="L45" s="98"/>
    </row>
    <row r="46" spans="3:12" ht="15" thickBot="1" x14ac:dyDescent="0.35">
      <c r="C46" s="27" t="s">
        <v>99</v>
      </c>
      <c r="D46" s="28" t="s">
        <v>100</v>
      </c>
      <c r="E46" s="38">
        <v>3.2</v>
      </c>
      <c r="F46" s="39">
        <v>5</v>
      </c>
      <c r="G46" s="40">
        <v>6</v>
      </c>
      <c r="H46" s="32" t="str">
        <f t="shared" si="1"/>
        <v>Reprobado</v>
      </c>
    </row>
    <row r="47" spans="3:12" ht="15" thickBot="1" x14ac:dyDescent="0.35">
      <c r="C47" s="33" t="s">
        <v>101</v>
      </c>
      <c r="D47" s="34" t="s">
        <v>102</v>
      </c>
      <c r="E47" s="35">
        <v>5.3</v>
      </c>
      <c r="F47" s="36">
        <v>6.5</v>
      </c>
      <c r="G47" s="37">
        <v>2</v>
      </c>
      <c r="H47" s="32" t="str">
        <f t="shared" si="1"/>
        <v>Aprobado</v>
      </c>
      <c r="J47" t="str">
        <f>IF(AND(E42&gt;=5,F42&gt;=5,G42&lt;=10),"Si","No")</f>
        <v>No</v>
      </c>
    </row>
    <row r="48" spans="3:12" ht="15" thickBot="1" x14ac:dyDescent="0.35">
      <c r="C48" s="27" t="s">
        <v>103</v>
      </c>
      <c r="D48" s="28" t="s">
        <v>104</v>
      </c>
      <c r="E48" s="38">
        <v>5</v>
      </c>
      <c r="F48" s="39">
        <v>6.4</v>
      </c>
      <c r="G48" s="40">
        <v>0</v>
      </c>
      <c r="H48" s="32" t="str">
        <f t="shared" si="1"/>
        <v>Aprobado</v>
      </c>
    </row>
    <row r="49" spans="3:8" ht="15" thickBot="1" x14ac:dyDescent="0.35">
      <c r="C49" s="33" t="s">
        <v>105</v>
      </c>
      <c r="D49" s="34" t="s">
        <v>106</v>
      </c>
      <c r="E49" s="35">
        <v>5.8</v>
      </c>
      <c r="F49" s="36">
        <v>5.9</v>
      </c>
      <c r="G49" s="37">
        <v>1</v>
      </c>
      <c r="H49" s="32" t="str">
        <f t="shared" si="1"/>
        <v>Aprobado</v>
      </c>
    </row>
    <row r="50" spans="3:8" ht="15" thickBot="1" x14ac:dyDescent="0.35">
      <c r="C50" s="27" t="s">
        <v>107</v>
      </c>
      <c r="D50" s="28" t="s">
        <v>102</v>
      </c>
      <c r="E50" s="38">
        <v>4.9000000000000004</v>
      </c>
      <c r="F50" s="39">
        <v>3.5</v>
      </c>
      <c r="G50" s="40">
        <v>9</v>
      </c>
      <c r="H50" s="32" t="str">
        <f t="shared" si="1"/>
        <v>Reprobado</v>
      </c>
    </row>
    <row r="51" spans="3:8" ht="15" thickBot="1" x14ac:dyDescent="0.35">
      <c r="C51" s="33" t="s">
        <v>108</v>
      </c>
      <c r="D51" s="34" t="s">
        <v>109</v>
      </c>
      <c r="E51" s="35">
        <v>5.6</v>
      </c>
      <c r="F51" s="36">
        <v>5.9</v>
      </c>
      <c r="G51" s="37">
        <v>20</v>
      </c>
      <c r="H51" s="32" t="str">
        <f t="shared" si="1"/>
        <v>Reprobado</v>
      </c>
    </row>
    <row r="52" spans="3:8" ht="15" thickBot="1" x14ac:dyDescent="0.35">
      <c r="C52" s="27" t="s">
        <v>110</v>
      </c>
      <c r="D52" s="28" t="s">
        <v>111</v>
      </c>
      <c r="E52" s="38">
        <v>6.5</v>
      </c>
      <c r="F52" s="39">
        <v>5.9</v>
      </c>
      <c r="G52" s="40">
        <v>14</v>
      </c>
      <c r="H52" s="32" t="str">
        <f t="shared" si="1"/>
        <v>Reprobado</v>
      </c>
    </row>
    <row r="53" spans="3:8" ht="15" thickBot="1" x14ac:dyDescent="0.35">
      <c r="C53" s="33" t="s">
        <v>112</v>
      </c>
      <c r="D53" s="34" t="s">
        <v>106</v>
      </c>
      <c r="E53" s="35">
        <v>4.5</v>
      </c>
      <c r="F53" s="36">
        <v>7.5</v>
      </c>
      <c r="G53" s="37">
        <v>0</v>
      </c>
      <c r="H53" s="32" t="str">
        <f t="shared" si="1"/>
        <v>Reprobado</v>
      </c>
    </row>
    <row r="54" spans="3:8" ht="15" thickBot="1" x14ac:dyDescent="0.35">
      <c r="C54" s="27" t="s">
        <v>113</v>
      </c>
      <c r="D54" s="28" t="s">
        <v>114</v>
      </c>
      <c r="E54" s="38">
        <v>8.5</v>
      </c>
      <c r="F54" s="39">
        <v>7.2</v>
      </c>
      <c r="G54" s="40">
        <v>0</v>
      </c>
      <c r="H54" s="32" t="str">
        <f t="shared" si="1"/>
        <v>Aprobado</v>
      </c>
    </row>
    <row r="55" spans="3:8" ht="15" thickBot="1" x14ac:dyDescent="0.35">
      <c r="C55" s="33" t="s">
        <v>113</v>
      </c>
      <c r="D55" s="34" t="s">
        <v>115</v>
      </c>
      <c r="E55" s="35">
        <v>5.3</v>
      </c>
      <c r="F55" s="36">
        <v>7.9</v>
      </c>
      <c r="G55" s="37">
        <v>3</v>
      </c>
      <c r="H55" s="32" t="str">
        <f t="shared" si="1"/>
        <v>Aprobado</v>
      </c>
    </row>
    <row r="56" spans="3:8" ht="15" thickBot="1" x14ac:dyDescent="0.35">
      <c r="C56" s="27" t="s">
        <v>116</v>
      </c>
      <c r="D56" s="28" t="s">
        <v>69</v>
      </c>
      <c r="E56" s="38">
        <v>5.6</v>
      </c>
      <c r="F56" s="39">
        <v>2.9</v>
      </c>
      <c r="G56" s="40">
        <v>5</v>
      </c>
      <c r="H56" s="32" t="str">
        <f t="shared" si="1"/>
        <v>Reprobado</v>
      </c>
    </row>
    <row r="57" spans="3:8" ht="15" thickBot="1" x14ac:dyDescent="0.35">
      <c r="C57" s="33" t="s">
        <v>117</v>
      </c>
      <c r="D57" s="34" t="s">
        <v>21</v>
      </c>
      <c r="E57" s="35">
        <v>6.8</v>
      </c>
      <c r="F57" s="36">
        <v>7.5</v>
      </c>
      <c r="G57" s="37">
        <v>0</v>
      </c>
      <c r="H57" s="32" t="str">
        <f t="shared" si="1"/>
        <v>Aprobado</v>
      </c>
    </row>
    <row r="58" spans="3:8" ht="15" thickBot="1" x14ac:dyDescent="0.35">
      <c r="C58" s="27" t="s">
        <v>118</v>
      </c>
      <c r="D58" s="28" t="s">
        <v>119</v>
      </c>
      <c r="E58" s="38">
        <v>7.2</v>
      </c>
      <c r="F58" s="39">
        <v>8.1</v>
      </c>
      <c r="G58" s="40">
        <v>1</v>
      </c>
      <c r="H58" s="32" t="str">
        <f t="shared" si="1"/>
        <v>Aprobado</v>
      </c>
    </row>
    <row r="59" spans="3:8" ht="15" thickBot="1" x14ac:dyDescent="0.35">
      <c r="C59" s="33" t="s">
        <v>120</v>
      </c>
      <c r="D59" s="34" t="s">
        <v>121</v>
      </c>
      <c r="E59" s="35">
        <v>4.9000000000000004</v>
      </c>
      <c r="F59" s="36">
        <v>2.8</v>
      </c>
      <c r="G59" s="37">
        <v>17</v>
      </c>
      <c r="H59" s="32" t="str">
        <f t="shared" si="1"/>
        <v>Reprobado</v>
      </c>
    </row>
    <row r="60" spans="3:8" ht="15" thickBot="1" x14ac:dyDescent="0.35">
      <c r="C60" s="27" t="s">
        <v>122</v>
      </c>
      <c r="D60" s="28" t="s">
        <v>123</v>
      </c>
      <c r="E60" s="38">
        <v>5.5</v>
      </c>
      <c r="F60" s="39">
        <v>4.9000000000000004</v>
      </c>
      <c r="G60" s="40">
        <v>3</v>
      </c>
      <c r="H60" s="32" t="str">
        <f t="shared" si="1"/>
        <v>Reprobado</v>
      </c>
    </row>
    <row r="61" spans="3:8" ht="15" thickBot="1" x14ac:dyDescent="0.35">
      <c r="C61" s="33" t="s">
        <v>124</v>
      </c>
      <c r="D61" s="34" t="s">
        <v>125</v>
      </c>
      <c r="E61" s="35">
        <v>1.9</v>
      </c>
      <c r="F61" s="36">
        <v>2.9</v>
      </c>
      <c r="G61" s="37">
        <v>26</v>
      </c>
      <c r="H61" s="32" t="str">
        <f t="shared" si="1"/>
        <v>Reprobado</v>
      </c>
    </row>
    <row r="62" spans="3:8" ht="15" thickBot="1" x14ac:dyDescent="0.35">
      <c r="C62" s="27" t="s">
        <v>126</v>
      </c>
      <c r="D62" s="28" t="s">
        <v>127</v>
      </c>
      <c r="E62" s="38">
        <v>3.6</v>
      </c>
      <c r="F62" s="39">
        <v>5.6</v>
      </c>
      <c r="G62" s="40">
        <v>11</v>
      </c>
      <c r="H62" s="32" t="str">
        <f t="shared" si="1"/>
        <v>Reprobado</v>
      </c>
    </row>
    <row r="63" spans="3:8" ht="15" thickBot="1" x14ac:dyDescent="0.35">
      <c r="C63" s="41" t="s">
        <v>128</v>
      </c>
      <c r="D63" s="42" t="s">
        <v>129</v>
      </c>
      <c r="E63" s="43">
        <v>2.6</v>
      </c>
      <c r="F63" s="44">
        <v>3.9</v>
      </c>
      <c r="G63" s="45">
        <v>10</v>
      </c>
      <c r="H63" s="32" t="str">
        <f t="shared" si="1"/>
        <v>Reprobado</v>
      </c>
    </row>
    <row r="65" spans="8:8" x14ac:dyDescent="0.3">
      <c r="H65" s="17">
        <f>COUNTIF(H42:H63,"Aprobado")</f>
        <v>9</v>
      </c>
    </row>
  </sheetData>
  <mergeCells count="4">
    <mergeCell ref="J42:L42"/>
    <mergeCell ref="J43:L43"/>
    <mergeCell ref="J44:L44"/>
    <mergeCell ref="J45:L45"/>
  </mergeCells>
  <conditionalFormatting sqref="E42:G63">
    <cfRule type="expression" dxfId="2" priority="4">
      <formula>IF(AND(E42&gt;=5,F42&gt;=5,G42&lt;=10),"Si","No")</formula>
    </cfRule>
  </conditionalFormatting>
  <conditionalFormatting sqref="H42:H63 H65">
    <cfRule type="cellIs" dxfId="1" priority="1" operator="equal">
      <formula>$F$3</formula>
    </cfRule>
    <cfRule type="cellIs" dxfId="0" priority="2" operator="equal">
      <formula>$F$2</formula>
    </cfRule>
    <cfRule type="expression" priority="3">
      <formula>IF(AND(E42&gt;=5,F42&gt;=5,G42&lt;=10),"Si","No")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245A-14C1-4B16-A020-2BAD3AEF9188}">
  <dimension ref="L6:R7"/>
  <sheetViews>
    <sheetView topLeftCell="B1" zoomScaleNormal="100" workbookViewId="0">
      <selection activeCell="K9" sqref="K9:K12"/>
    </sheetView>
  </sheetViews>
  <sheetFormatPr baseColWidth="10" defaultColWidth="11.5546875" defaultRowHeight="14.4" x14ac:dyDescent="0.3"/>
  <sheetData>
    <row r="6" spans="12:18" x14ac:dyDescent="0.3">
      <c r="L6" s="99" t="s">
        <v>63</v>
      </c>
      <c r="M6" s="99"/>
      <c r="N6" s="99"/>
      <c r="O6" s="99"/>
      <c r="P6" s="99"/>
      <c r="Q6" s="99"/>
      <c r="R6" s="99"/>
    </row>
    <row r="7" spans="12:18" x14ac:dyDescent="0.3">
      <c r="L7" s="99"/>
      <c r="M7" s="99"/>
      <c r="N7" s="99"/>
      <c r="O7" s="99"/>
      <c r="P7" s="99"/>
      <c r="Q7" s="99"/>
      <c r="R7" s="99"/>
    </row>
  </sheetData>
  <mergeCells count="1">
    <mergeCell ref="L6:R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Operaciones</vt:lpstr>
      <vt:lpstr>Formulas Básicas</vt:lpstr>
      <vt:lpstr>Condicional</vt:lpstr>
      <vt:lpstr>Condicionales</vt:lpstr>
      <vt:lpstr>Calculo de Centroide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Quintero</dc:creator>
  <cp:lastModifiedBy>HARBEY EMIR CELY MENDOZA</cp:lastModifiedBy>
  <dcterms:created xsi:type="dcterms:W3CDTF">2026-04-15T20:48:24Z</dcterms:created>
  <dcterms:modified xsi:type="dcterms:W3CDTF">2026-08-25T01:49:41Z</dcterms:modified>
</cp:coreProperties>
</file>