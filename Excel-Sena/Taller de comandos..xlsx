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m-\Desktop\"/>
    </mc:Choice>
  </mc:AlternateContent>
  <xr:revisionPtr revIDLastSave="0" documentId="13_ncr:1_{D4A8AEF3-7AA8-47BF-8B1A-86047F545C7B}" xr6:coauthVersionLast="47" xr6:coauthVersionMax="47" xr10:uidLastSave="{00000000-0000-0000-0000-000000000000}"/>
  <bookViews>
    <workbookView xWindow="-108" yWindow="-108" windowWidth="23256" windowHeight="13176" activeTab="1" xr2:uid="{24837282-F78D-42E7-98B2-CBB3569BB839}"/>
  </bookViews>
  <sheets>
    <sheet name="Ejercicio 1" sheetId="6" r:id="rId1"/>
    <sheet name="Ejercicio 2" sheetId="1" r:id="rId2"/>
    <sheet name="Ejercicio 3 y 4" sheetId="3" r:id="rId3"/>
    <sheet name="Ejercicio 5 y 6" sheetId="4" r:id="rId4"/>
    <sheet name="ejercicio 7 y 8" sheetId="2" r:id="rId5"/>
    <sheet name="Ejercicio 9" sheetId="7" r:id="rId6"/>
    <sheet name="Bonus" sheetId="5" r:id="rId7"/>
  </sheets>
  <externalReferences>
    <externalReference r:id="rId8"/>
    <externalReference r:id="rId9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aa" hidden="1">1</definedName>
    <definedName name="anscount" hidden="1">1</definedName>
    <definedName name="base">[2]Granja!$A$1:$F$25</definedName>
    <definedName name="limcount" hidden="1">1</definedName>
    <definedName name="sencount" hidden="1">1</definedName>
    <definedName name="sencount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V5" i="5" l="1"/>
  <c r="V12" i="5"/>
  <c r="V10" i="5"/>
  <c r="V8" i="5"/>
  <c r="V6" i="5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30" i="2"/>
  <c r="P36" i="2"/>
  <c r="P34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30" i="2"/>
  <c r="F14" i="2"/>
  <c r="F15" i="2"/>
  <c r="F16" i="2"/>
  <c r="F17" i="2"/>
  <c r="F18" i="2"/>
  <c r="F13" i="2"/>
  <c r="E14" i="2"/>
  <c r="E15" i="2"/>
  <c r="E16" i="2"/>
  <c r="E17" i="2"/>
  <c r="E18" i="2"/>
  <c r="E13" i="2"/>
  <c r="E53" i="7"/>
  <c r="E52" i="7"/>
  <c r="G48" i="7"/>
  <c r="G49" i="7"/>
  <c r="G50" i="7"/>
  <c r="G47" i="7"/>
  <c r="G40" i="7"/>
  <c r="H40" i="7"/>
  <c r="I40" i="7"/>
  <c r="J40" i="7"/>
  <c r="K40" i="7"/>
  <c r="G41" i="7"/>
  <c r="H41" i="7"/>
  <c r="I41" i="7"/>
  <c r="J41" i="7"/>
  <c r="K41" i="7"/>
  <c r="K39" i="7"/>
  <c r="J39" i="7"/>
  <c r="I39" i="7"/>
  <c r="H39" i="7"/>
  <c r="G39" i="7"/>
  <c r="G29" i="7"/>
  <c r="G25" i="7"/>
  <c r="G26" i="7"/>
  <c r="G27" i="7"/>
  <c r="G28" i="7"/>
  <c r="G24" i="7"/>
  <c r="F25" i="7"/>
  <c r="F26" i="7"/>
  <c r="F27" i="7"/>
  <c r="F28" i="7"/>
  <c r="F24" i="7"/>
  <c r="E25" i="7"/>
  <c r="E26" i="7"/>
  <c r="E27" i="7"/>
  <c r="E28" i="7"/>
  <c r="E24" i="7"/>
  <c r="F7" i="7"/>
  <c r="F8" i="7"/>
  <c r="F9" i="7"/>
  <c r="F10" i="7"/>
  <c r="F11" i="7"/>
  <c r="F12" i="7"/>
  <c r="F13" i="7"/>
  <c r="F14" i="7"/>
  <c r="F15" i="7"/>
  <c r="F6" i="7"/>
  <c r="F6" i="4"/>
  <c r="F7" i="4"/>
  <c r="G7" i="4" s="1"/>
  <c r="F8" i="4"/>
  <c r="F9" i="4"/>
  <c r="F10" i="4"/>
  <c r="G10" i="4" s="1"/>
  <c r="F11" i="4"/>
  <c r="G11" i="4" s="1"/>
  <c r="F12" i="4"/>
  <c r="G12" i="4" s="1"/>
  <c r="F5" i="4"/>
  <c r="G5" i="4" s="1"/>
  <c r="H5" i="4" s="1"/>
  <c r="E62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P19" i="3" s="1"/>
  <c r="O5" i="3"/>
  <c r="L6" i="3"/>
  <c r="L7" i="3"/>
  <c r="L8" i="3"/>
  <c r="L9" i="3"/>
  <c r="L10" i="3"/>
  <c r="P10" i="3" s="1"/>
  <c r="L11" i="3"/>
  <c r="P11" i="3" s="1"/>
  <c r="L12" i="3"/>
  <c r="P12" i="3" s="1"/>
  <c r="L13" i="3"/>
  <c r="P13" i="3" s="1"/>
  <c r="L14" i="3"/>
  <c r="L15" i="3"/>
  <c r="L16" i="3"/>
  <c r="L17" i="3"/>
  <c r="L18" i="3"/>
  <c r="L19" i="3"/>
  <c r="L5" i="3"/>
  <c r="P5" i="3"/>
  <c r="P6" i="3"/>
  <c r="P7" i="3"/>
  <c r="P8" i="3"/>
  <c r="P9" i="3"/>
  <c r="P18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5" i="3"/>
  <c r="E64" i="3"/>
  <c r="E63" i="3"/>
  <c r="M59" i="3"/>
  <c r="I59" i="3"/>
  <c r="K5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29" i="3"/>
  <c r="E59" i="3"/>
  <c r="G59" i="3"/>
  <c r="C59" i="3"/>
  <c r="G23" i="6"/>
  <c r="G22" i="6"/>
  <c r="G21" i="6"/>
  <c r="G15" i="6"/>
  <c r="G16" i="6"/>
  <c r="G17" i="6"/>
  <c r="G18" i="6"/>
  <c r="G14" i="6"/>
  <c r="E65" i="1"/>
  <c r="D8" i="1"/>
  <c r="D9" i="1"/>
  <c r="D10" i="1"/>
  <c r="E10" i="1" s="1"/>
  <c r="D11" i="1"/>
  <c r="D12" i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D21" i="1"/>
  <c r="D22" i="1"/>
  <c r="E22" i="1" s="1"/>
  <c r="D23" i="1"/>
  <c r="D24" i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D33" i="1"/>
  <c r="D34" i="1"/>
  <c r="E34" i="1" s="1"/>
  <c r="D35" i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D45" i="1"/>
  <c r="D46" i="1"/>
  <c r="E46" i="1" s="1"/>
  <c r="D47" i="1"/>
  <c r="D48" i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D57" i="1"/>
  <c r="D58" i="1"/>
  <c r="E58" i="1" s="1"/>
  <c r="D59" i="1"/>
  <c r="D60" i="1"/>
  <c r="D61" i="1"/>
  <c r="E61" i="1" s="1"/>
  <c r="D62" i="1"/>
  <c r="E62" i="1" s="1"/>
  <c r="D63" i="1"/>
  <c r="E63" i="1" s="1"/>
  <c r="D64" i="1"/>
  <c r="E64" i="1" s="1"/>
  <c r="D7" i="1"/>
  <c r="E8" i="1"/>
  <c r="E9" i="1"/>
  <c r="E11" i="1"/>
  <c r="E12" i="1"/>
  <c r="E20" i="1"/>
  <c r="E21" i="1"/>
  <c r="E23" i="1"/>
  <c r="E24" i="1"/>
  <c r="E32" i="1"/>
  <c r="E33" i="1"/>
  <c r="E35" i="1"/>
  <c r="E44" i="1"/>
  <c r="E45" i="1"/>
  <c r="E47" i="1"/>
  <c r="E48" i="1"/>
  <c r="E56" i="1"/>
  <c r="E57" i="1"/>
  <c r="E59" i="1"/>
  <c r="E60" i="1"/>
  <c r="E7" i="1"/>
  <c r="H7" i="4" l="1"/>
  <c r="G8" i="4"/>
  <c r="H8" i="4" s="1"/>
  <c r="G9" i="4"/>
  <c r="H9" i="4" s="1"/>
  <c r="G6" i="4"/>
  <c r="H6" i="4" s="1"/>
  <c r="H11" i="4"/>
  <c r="H12" i="4"/>
  <c r="H10" i="4"/>
  <c r="P17" i="3"/>
  <c r="P16" i="3"/>
  <c r="P15" i="3"/>
  <c r="P14" i="3"/>
  <c r="H13" i="4" l="1"/>
  <c r="H14" i="4" s="1"/>
  <c r="H15" i="4" s="1"/>
</calcChain>
</file>

<file path=xl/sharedStrings.xml><?xml version="1.0" encoding="utf-8"?>
<sst xmlns="http://schemas.openxmlformats.org/spreadsheetml/2006/main" count="1559" uniqueCount="503">
  <si>
    <t>Nombre</t>
  </si>
  <si>
    <t>Apellido</t>
  </si>
  <si>
    <t>SUELDO</t>
  </si>
  <si>
    <t>Bono adicional</t>
  </si>
  <si>
    <t>Sueldo Agosto</t>
  </si>
  <si>
    <t>Bono adicional:</t>
  </si>
  <si>
    <t>Javier</t>
  </si>
  <si>
    <t>López</t>
  </si>
  <si>
    <t>María</t>
  </si>
  <si>
    <t>Contreras</t>
  </si>
  <si>
    <t>José</t>
  </si>
  <si>
    <t>Pino</t>
  </si>
  <si>
    <t>Estela</t>
  </si>
  <si>
    <t>Chávez</t>
  </si>
  <si>
    <t>Francisco</t>
  </si>
  <si>
    <t>Lombardi</t>
  </si>
  <si>
    <t>Andrés</t>
  </si>
  <si>
    <t>Wiese</t>
  </si>
  <si>
    <t>Melania</t>
  </si>
  <si>
    <t>Urbina</t>
  </si>
  <si>
    <t>Magdyel</t>
  </si>
  <si>
    <t>Ugaz</t>
  </si>
  <si>
    <t>Lazslo</t>
  </si>
  <si>
    <t>Kovacs</t>
  </si>
  <si>
    <t>Efraín</t>
  </si>
  <si>
    <t>Aguilar</t>
  </si>
  <si>
    <t>Rosana</t>
  </si>
  <si>
    <t>Fernández</t>
  </si>
  <si>
    <t>Piero</t>
  </si>
  <si>
    <t>Díaz</t>
  </si>
  <si>
    <t>Miguel</t>
  </si>
  <si>
    <t>Cervantes</t>
  </si>
  <si>
    <t>Pedro</t>
  </si>
  <si>
    <t>Calderón</t>
  </si>
  <si>
    <t>Mario</t>
  </si>
  <si>
    <t>Vargas</t>
  </si>
  <si>
    <t>Alfredo</t>
  </si>
  <si>
    <t>Bryce</t>
  </si>
  <si>
    <t>Ernesto</t>
  </si>
  <si>
    <t>La Guardia</t>
  </si>
  <si>
    <t>Jorge</t>
  </si>
  <si>
    <t>Pimentel</t>
  </si>
  <si>
    <t>Gustavo</t>
  </si>
  <si>
    <t>Oviedo</t>
  </si>
  <si>
    <t>Juan</t>
  </si>
  <si>
    <t>Oblitas</t>
  </si>
  <si>
    <t>Héctor</t>
  </si>
  <si>
    <t>Chumpitaz</t>
  </si>
  <si>
    <t>Claudio</t>
  </si>
  <si>
    <t>Pizarro</t>
  </si>
  <si>
    <t>Paolo</t>
  </si>
  <si>
    <t>Guerrero</t>
  </si>
  <si>
    <t>Luis</t>
  </si>
  <si>
    <t>Borda</t>
  </si>
  <si>
    <t>Pozada</t>
  </si>
  <si>
    <t>Santiago</t>
  </si>
  <si>
    <t>Paredes</t>
  </si>
  <si>
    <t>Yolanda</t>
  </si>
  <si>
    <t>Cárdenas</t>
  </si>
  <si>
    <t>Alicia</t>
  </si>
  <si>
    <t>Peredo</t>
  </si>
  <si>
    <t>Patricia</t>
  </si>
  <si>
    <t>Valladares</t>
  </si>
  <si>
    <t>Gaby</t>
  </si>
  <si>
    <t>Mariella</t>
  </si>
  <si>
    <t>Gallo</t>
  </si>
  <si>
    <t>Jean</t>
  </si>
  <si>
    <t>Ramos</t>
  </si>
  <si>
    <t>Luz</t>
  </si>
  <si>
    <t>Aguayo</t>
  </si>
  <si>
    <t>Fabiola</t>
  </si>
  <si>
    <t>Alarcón</t>
  </si>
  <si>
    <t>Dayana</t>
  </si>
  <si>
    <t>Casanova</t>
  </si>
  <si>
    <t>Gino</t>
  </si>
  <si>
    <t>Meza</t>
  </si>
  <si>
    <t>Gabriela</t>
  </si>
  <si>
    <t>Espino</t>
  </si>
  <si>
    <t>JoaquÍn</t>
  </si>
  <si>
    <t>Cortez</t>
  </si>
  <si>
    <t>Paulina</t>
  </si>
  <si>
    <t>Rubio</t>
  </si>
  <si>
    <t>Jennifer</t>
  </si>
  <si>
    <t>Gabriel</t>
  </si>
  <si>
    <t>Soto</t>
  </si>
  <si>
    <t>Gonzalo</t>
  </si>
  <si>
    <t>Muñoz</t>
  </si>
  <si>
    <t>Leticia</t>
  </si>
  <si>
    <t>Diego</t>
  </si>
  <si>
    <t>Vásquez</t>
  </si>
  <si>
    <t>Carlos</t>
  </si>
  <si>
    <t>Aramburú</t>
  </si>
  <si>
    <t>Seiken</t>
  </si>
  <si>
    <t>Matayoshi</t>
  </si>
  <si>
    <t>Edelmira</t>
  </si>
  <si>
    <t>Castillo</t>
  </si>
  <si>
    <t>Katia</t>
  </si>
  <si>
    <t>Condos</t>
  </si>
  <si>
    <t>Federico</t>
  </si>
  <si>
    <t>Salazar</t>
  </si>
  <si>
    <t>Verónica</t>
  </si>
  <si>
    <t>Linares</t>
  </si>
  <si>
    <t>Gisela</t>
  </si>
  <si>
    <t>Valcárcel</t>
  </si>
  <si>
    <t>Roberto</t>
  </si>
  <si>
    <t>Martínez</t>
  </si>
  <si>
    <t>Claudia</t>
  </si>
  <si>
    <t>Cabanillas</t>
  </si>
  <si>
    <t>Carenina</t>
  </si>
  <si>
    <t>Salcedo</t>
  </si>
  <si>
    <t>Gina</t>
  </si>
  <si>
    <t>Novoa</t>
  </si>
  <si>
    <t>Francesco</t>
  </si>
  <si>
    <t>Petrozzi</t>
  </si>
  <si>
    <t>Suárez</t>
  </si>
  <si>
    <t xml:space="preserve">Ejercicio 1 </t>
  </si>
  <si>
    <t>IMPUESTO</t>
  </si>
  <si>
    <t>4.75%</t>
  </si>
  <si>
    <t>NOMBRE</t>
  </si>
  <si>
    <t>SALARIO BRUTO</t>
  </si>
  <si>
    <t>RETENCION EN SEGURIDAD SOCIAL</t>
  </si>
  <si>
    <t>SALARIO REAL</t>
  </si>
  <si>
    <t>IVAN</t>
  </si>
  <si>
    <t>1460.65</t>
  </si>
  <si>
    <t>MONICA</t>
  </si>
  <si>
    <t>1520.20</t>
  </si>
  <si>
    <t>YESSICA</t>
  </si>
  <si>
    <t>1050.80</t>
  </si>
  <si>
    <t>CALCULAR LA RETENCION DE LA SEGURIDAD Y HACER OTRA COLUMNA VALOR SALARIO REAL</t>
  </si>
  <si>
    <t>SAMUEL</t>
  </si>
  <si>
    <t>2001.60</t>
  </si>
  <si>
    <t>DENIS</t>
  </si>
  <si>
    <t>2154.56</t>
  </si>
  <si>
    <t>LAURA</t>
  </si>
  <si>
    <t>1582.53</t>
  </si>
  <si>
    <t>Ejercicio 2</t>
  </si>
  <si>
    <t>Nota 1</t>
  </si>
  <si>
    <t>Nota 2</t>
  </si>
  <si>
    <t>Nota 3</t>
  </si>
  <si>
    <t>Nota final</t>
  </si>
  <si>
    <t>SANDIA</t>
  </si>
  <si>
    <t>CALCULAR LA NOTA FINAL DE DIFERENTE MANERA EN LA PRIMERA COLUMNA DE UNA MANERA USANDO SUMA Y LA SIGUIENTE COLUMNA USANDO UNA FUNCIÓN</t>
  </si>
  <si>
    <t>UVA</t>
  </si>
  <si>
    <t>GUANABANA</t>
  </si>
  <si>
    <t>MANDARINA</t>
  </si>
  <si>
    <t>MANZANA</t>
  </si>
  <si>
    <t>LA NOTA FINAL MÁS BAJA FUE:</t>
  </si>
  <si>
    <t>DURAZNO</t>
  </si>
  <si>
    <t>PIÑA</t>
  </si>
  <si>
    <t>LA MEJOR NOTA FINAL BAJA FUE:</t>
  </si>
  <si>
    <t>MANGO</t>
  </si>
  <si>
    <t>ARANDANO</t>
  </si>
  <si>
    <t>FRESA</t>
  </si>
  <si>
    <t>BANANO</t>
  </si>
  <si>
    <t>KIWI</t>
  </si>
  <si>
    <t>TOROMBOLO</t>
  </si>
  <si>
    <t>MORA</t>
  </si>
  <si>
    <t>PERA</t>
  </si>
  <si>
    <t>Ejercicio 4</t>
  </si>
  <si>
    <t>% nota 1</t>
  </si>
  <si>
    <t>Acumulado</t>
  </si>
  <si>
    <t>% nota 2</t>
  </si>
  <si>
    <t>% nota 3</t>
  </si>
  <si>
    <t>Ejercicio 5</t>
  </si>
  <si>
    <t>Ingresos</t>
  </si>
  <si>
    <t>Gastos</t>
  </si>
  <si>
    <t>Lo que me quedo</t>
  </si>
  <si>
    <t>Dia</t>
  </si>
  <si>
    <t>Ingreso 1</t>
  </si>
  <si>
    <t>Ingreso 2</t>
  </si>
  <si>
    <t>Extra</t>
  </si>
  <si>
    <t>Basico</t>
  </si>
  <si>
    <t>Adicional</t>
  </si>
  <si>
    <t>Utilidad</t>
  </si>
  <si>
    <t>Ejercicio 6</t>
  </si>
  <si>
    <t>Codigo</t>
  </si>
  <si>
    <t>Cantidad</t>
  </si>
  <si>
    <t>Detalle</t>
  </si>
  <si>
    <t>Precio
Costo</t>
  </si>
  <si>
    <t>Total</t>
  </si>
  <si>
    <t>Iva 
21%</t>
  </si>
  <si>
    <t>Neto a 
cobrar</t>
  </si>
  <si>
    <t>Gorra</t>
  </si>
  <si>
    <t>Medias</t>
  </si>
  <si>
    <t>Chompas</t>
  </si>
  <si>
    <t>Cual es el importe a pagar?</t>
  </si>
  <si>
    <t>Pantalon</t>
  </si>
  <si>
    <t>Bermudaz</t>
  </si>
  <si>
    <t>Zapato</t>
  </si>
  <si>
    <t>Corbatas</t>
  </si>
  <si>
    <t>Toallas</t>
  </si>
  <si>
    <t>Sub-total</t>
  </si>
  <si>
    <t>Descuento 5%</t>
  </si>
  <si>
    <r>
      <t>Importe a pagar</t>
    </r>
    <r>
      <rPr>
        <sz val="11"/>
        <color rgb="FF000000"/>
        <rFont val="Aptos Narrow"/>
        <family val="2"/>
        <scheme val="minor"/>
      </rPr>
      <t xml:space="preserve"> </t>
    </r>
  </si>
  <si>
    <t>Ejercicio 7</t>
  </si>
  <si>
    <t>Realice la siguiente Tabla.</t>
  </si>
  <si>
    <t>EJERCICIO 3</t>
  </si>
  <si>
    <t>Género </t>
  </si>
  <si>
    <t>Grupo etario </t>
  </si>
  <si>
    <t>Código de la entidad </t>
  </si>
  <si>
    <t>Nombre de la entidad </t>
  </si>
  <si>
    <t>Régimen </t>
  </si>
  <si>
    <t>Tipo de afiliado </t>
  </si>
  <si>
    <t>Estado del afiliado </t>
  </si>
  <si>
    <t>Condición del beneficiario </t>
  </si>
  <si>
    <t>Zona de Afiliación </t>
  </si>
  <si>
    <t>Departamento </t>
  </si>
  <si>
    <t>Municipio </t>
  </si>
  <si>
    <t>tps_nvl_ssb_id </t>
  </si>
  <si>
    <t>Nivel del Sisbén </t>
  </si>
  <si>
    <t>Cantidad de registros </t>
  </si>
  <si>
    <t>CALCULE</t>
  </si>
  <si>
    <t>Masculino</t>
  </si>
  <si>
    <t>65 a 70</t>
  </si>
  <si>
    <t>EPS018</t>
  </si>
  <si>
    <t>ENTIDAD PROMOTORA DE SALUD SERVICIO OCCIDENTAL DE SALUD S.A. S.O.S.</t>
  </si>
  <si>
    <t>Contributivo</t>
  </si>
  <si>
    <t>COTIZANTE</t>
  </si>
  <si>
    <t>Activo</t>
  </si>
  <si>
    <t>NO APLICA</t>
  </si>
  <si>
    <t>Urbana</t>
  </si>
  <si>
    <t>RISARALDA</t>
  </si>
  <si>
    <t>APIA</t>
  </si>
  <si>
    <t>NULL</t>
  </si>
  <si>
    <t>60 a 65</t>
  </si>
  <si>
    <t>EPSC22</t>
  </si>
  <si>
    <t>ENTIDAD PROMOTORA DE SALUD DEL REGIMEN SUBSIDIADO EPS CONVIDA -CM</t>
  </si>
  <si>
    <t>BENEFICIARIO</t>
  </si>
  <si>
    <t>CUNDINAMARCA</t>
  </si>
  <si>
    <t>SUSA</t>
  </si>
  <si>
    <t>CANTIDAD DE REGISTROS TOTALES EN  BOYACA</t>
  </si>
  <si>
    <t>5 a 15</t>
  </si>
  <si>
    <t>EPS041</t>
  </si>
  <si>
    <t>NUEVA EPS S.A. -CM</t>
  </si>
  <si>
    <t>SANTANDER</t>
  </si>
  <si>
    <t>SURATA</t>
  </si>
  <si>
    <t>CANTIDAD DE REGISTROS TOTALES EN  Santander</t>
  </si>
  <si>
    <t>1 a 5</t>
  </si>
  <si>
    <t>EPS005</t>
  </si>
  <si>
    <t>ENTIDAD PROMOTORA DE SALUD SANITAS S.A.S.</t>
  </si>
  <si>
    <t>Activo por Emergencia</t>
  </si>
  <si>
    <t>NARINO</t>
  </si>
  <si>
    <t>ALBAN</t>
  </si>
  <si>
    <t>EPS044</t>
  </si>
  <si>
    <t>MEDIMAS EPS S.A.S.</t>
  </si>
  <si>
    <t>Protección Laboral C</t>
  </si>
  <si>
    <t>QUINDIO</t>
  </si>
  <si>
    <t>FILANDIA</t>
  </si>
  <si>
    <t>CANTIDAD DE REGISTROS TOTALES   tipo cotizante</t>
  </si>
  <si>
    <t>EPS010</t>
  </si>
  <si>
    <t>EPS SURAMERICANA S.A.</t>
  </si>
  <si>
    <t>CHIA</t>
  </si>
  <si>
    <t>19 a 45</t>
  </si>
  <si>
    <t>Rural</t>
  </si>
  <si>
    <t>LINARES</t>
  </si>
  <si>
    <t>CANTIDAD DE REGISTROS TOTALES femeninos</t>
  </si>
  <si>
    <t>Femenino</t>
  </si>
  <si>
    <t>EPS002</t>
  </si>
  <si>
    <t>SALUD TOTAL ENTIDAD PROMOTORA DE SALUD DEL REGIMEN CONTRIBUTIVO Y DEL REGIMEN SUBSIDIADO S.A.</t>
  </si>
  <si>
    <t>ATLANTICO</t>
  </si>
  <si>
    <t>MALAMBO</t>
  </si>
  <si>
    <t>NORTE DE SANTANDER</t>
  </si>
  <si>
    <t>VILLA DEL ROSARIO</t>
  </si>
  <si>
    <t>cantidad de registros totales activo</t>
  </si>
  <si>
    <t>&gt; 75</t>
  </si>
  <si>
    <t>CASANARE</t>
  </si>
  <si>
    <t>YOPAL</t>
  </si>
  <si>
    <t>15 a 19</t>
  </si>
  <si>
    <t>EPS042</t>
  </si>
  <si>
    <t>COOSALUD EPS S.A.</t>
  </si>
  <si>
    <t>MAGDALENA</t>
  </si>
  <si>
    <t>SALAMINA</t>
  </si>
  <si>
    <t>50 a 55</t>
  </si>
  <si>
    <t>MOLAGAVITA</t>
  </si>
  <si>
    <t>55 a 60</t>
  </si>
  <si>
    <t>CCFC55</t>
  </si>
  <si>
    <t>CAJA DE COMPENSACIÓN FAMILIARCAJACOPI ATLÁNTICO -CM</t>
  </si>
  <si>
    <t>META</t>
  </si>
  <si>
    <t>VILLAVICENCIO</t>
  </si>
  <si>
    <t>EPS017</t>
  </si>
  <si>
    <t>EPS FAMISANAR S.A.S.</t>
  </si>
  <si>
    <t>BOYACA</t>
  </si>
  <si>
    <t>TUNJA</t>
  </si>
  <si>
    <t>CUCUNUBA</t>
  </si>
  <si>
    <t>SAMACA</t>
  </si>
  <si>
    <t>ESTUDIANTE</t>
  </si>
  <si>
    <t>ANTIOQUIA</t>
  </si>
  <si>
    <t>APARTADO</t>
  </si>
  <si>
    <t>FACATATIVA</t>
  </si>
  <si>
    <t>CUCUTA</t>
  </si>
  <si>
    <t>EPS008</t>
  </si>
  <si>
    <t>CAJA DE COMPENSACIÓN FAMILIAR COMPENSAR</t>
  </si>
  <si>
    <t>LA CALERA</t>
  </si>
  <si>
    <t>EPS037</t>
  </si>
  <si>
    <t>NUEVA EPS S.A.</t>
  </si>
  <si>
    <t>LA GUAJIRA</t>
  </si>
  <si>
    <t>ALBANIA</t>
  </si>
  <si>
    <t>70 a 75</t>
  </si>
  <si>
    <t>EAS027</t>
  </si>
  <si>
    <t>FONDO PASIVO SOCIAL DE LOS FERROCARRILES NACIONALES</t>
  </si>
  <si>
    <t>CAUCA</t>
  </si>
  <si>
    <t>POPAYAN</t>
  </si>
  <si>
    <t>45 a 50</t>
  </si>
  <si>
    <t>ESSC24</t>
  </si>
  <si>
    <t>COOSALUD EPS S.A. -CM</t>
  </si>
  <si>
    <t>HISPANIA</t>
  </si>
  <si>
    <t>IZA</t>
  </si>
  <si>
    <t>ADICIONAL</t>
  </si>
  <si>
    <t>VALLE</t>
  </si>
  <si>
    <t>PALMIRA</t>
  </si>
  <si>
    <t>&lt; 1</t>
  </si>
  <si>
    <t>BARRANQUILLA</t>
  </si>
  <si>
    <t>HUILA</t>
  </si>
  <si>
    <t>PAICOL</t>
  </si>
  <si>
    <t>PARATEBUENO</t>
  </si>
  <si>
    <t>CESAR</t>
  </si>
  <si>
    <t>SAN ALBERTO</t>
  </si>
  <si>
    <t>CARCASI</t>
  </si>
  <si>
    <t>ESSC07</t>
  </si>
  <si>
    <t>ASOCIACION MUTUAL SER EMPRESA SOLIDARIA DE SALUD ENTIDAD PROMOTORA DE SALUD - MUTUAL SER EPS -CM</t>
  </si>
  <si>
    <t>CORDOBA</t>
  </si>
  <si>
    <t>SAN PELAYO</t>
  </si>
  <si>
    <t>ESSC62</t>
  </si>
  <si>
    <t>ASMET SALUD EPS S.A.S. -CM</t>
  </si>
  <si>
    <t>YUMBO</t>
  </si>
  <si>
    <t>DISCAPACIDAD</t>
  </si>
  <si>
    <t>BARANOA</t>
  </si>
  <si>
    <t>GUAVIARE</t>
  </si>
  <si>
    <t>SAN JOSE DEL GUAVIARE</t>
  </si>
  <si>
    <t>ZARAGOZA</t>
  </si>
  <si>
    <t>LA ESPERANZA</t>
  </si>
  <si>
    <t>EPS012</t>
  </si>
  <si>
    <t>CAJA DE COMPENSACION FAMILIAR DEL VALLE DEL CAUCA "COMFENALCO VALLE DE LA GENTE</t>
  </si>
  <si>
    <t>DOS QUEBRADAS</t>
  </si>
  <si>
    <t>ZIPAQUIRA</t>
  </si>
  <si>
    <t>LANDAZURI</t>
  </si>
  <si>
    <t>MAPIRIPAN</t>
  </si>
  <si>
    <t>TOLIMA</t>
  </si>
  <si>
    <t>LERIDA</t>
  </si>
  <si>
    <t>BUENAVENTURA</t>
  </si>
  <si>
    <t>GUATAVITA</t>
  </si>
  <si>
    <t>CHIQUINQUIRA</t>
  </si>
  <si>
    <t>CCFC24</t>
  </si>
  <si>
    <t>CAJA DE COMPENSACIÓN FAMILIAR DEL HUILA "COMFAMILIAR" -CM</t>
  </si>
  <si>
    <t>UMBITA</t>
  </si>
  <si>
    <t>FLORIDABLANCA</t>
  </si>
  <si>
    <t>EPSIC3</t>
  </si>
  <si>
    <t>ASOCIACIÓN INDÍGENA DEL CAUCA A.I.C. EPSI -CM</t>
  </si>
  <si>
    <t>PUTUMAYO</t>
  </si>
  <si>
    <t>VILLAGARZON</t>
  </si>
  <si>
    <t>SOGAMOSO</t>
  </si>
  <si>
    <t>EPS040</t>
  </si>
  <si>
    <t>ALIANZA MEDELLIN ANTIOQUIA EPS S.A.S. "SAVIA SALUD EPS" -CM</t>
  </si>
  <si>
    <t>LA ESTRELLA</t>
  </si>
  <si>
    <t>EPSIC5</t>
  </si>
  <si>
    <t>ENTIDAD PROMOTORA DE SALUD MALLAMAS EPSI -CM</t>
  </si>
  <si>
    <t>GUACHUCAL</t>
  </si>
  <si>
    <t>SANTUARIO</t>
  </si>
  <si>
    <t>LURUACO</t>
  </si>
  <si>
    <t>BOLIVAR</t>
  </si>
  <si>
    <t>HATILLO DE LOBA</t>
  </si>
  <si>
    <t>TURBANA</t>
  </si>
  <si>
    <t>VALLEDUPAR</t>
  </si>
  <si>
    <t>VALLE DE SAN JOSE</t>
  </si>
  <si>
    <t>SAHAGUN</t>
  </si>
  <si>
    <t>EPS048</t>
  </si>
  <si>
    <t>ASOCIACION MUTUAL SER EMPRESA SOLIDARIA DE SALUD ENTIDAD PROMOTORA DE SALUD - MUTUAL SER EPS</t>
  </si>
  <si>
    <t>MONTERIA</t>
  </si>
  <si>
    <t>SATIVASUR</t>
  </si>
  <si>
    <t>MARIQUITA</t>
  </si>
  <si>
    <t>CCFC23</t>
  </si>
  <si>
    <t>CAJA DE COMPENSACIÓN FAMILIAR DE LA GUAJIRA "COMFAGUAJIRA" -CM</t>
  </si>
  <si>
    <t>URUMITA</t>
  </si>
  <si>
    <t>FOSCA</t>
  </si>
  <si>
    <t>RIOHACHA</t>
  </si>
  <si>
    <t>IBAGUE</t>
  </si>
  <si>
    <t>EPSIC6</t>
  </si>
  <si>
    <t>PIJAOS SALUD EPSI -CM</t>
  </si>
  <si>
    <t>PEREIRA</t>
  </si>
  <si>
    <t>EL PENOL</t>
  </si>
  <si>
    <t>SUCRE</t>
  </si>
  <si>
    <t>SINCELEJO</t>
  </si>
  <si>
    <t>ESSC18</t>
  </si>
  <si>
    <t>EMSSANAR S.A.S. -CM</t>
  </si>
  <si>
    <t>CONTADERO</t>
  </si>
  <si>
    <t>RIONEGRO</t>
  </si>
  <si>
    <t>CAQUETA</t>
  </si>
  <si>
    <t>EL PAUJIL</t>
  </si>
  <si>
    <t>VILLANUEVA</t>
  </si>
  <si>
    <t>SAN GIL</t>
  </si>
  <si>
    <t>EL DOVIO</t>
  </si>
  <si>
    <t>SAMANIEGO</t>
  </si>
  <si>
    <t>TOCAIMA</t>
  </si>
  <si>
    <t>GRANADA</t>
  </si>
  <si>
    <t>LA FLORIDA</t>
  </si>
  <si>
    <t>RETIRO</t>
  </si>
  <si>
    <t>BUENAVISTA</t>
  </si>
  <si>
    <t>YONDO</t>
  </si>
  <si>
    <t>EL MOLINO</t>
  </si>
  <si>
    <t>GAMARRA</t>
  </si>
  <si>
    <t>MACEO</t>
  </si>
  <si>
    <t>CAUCASIA</t>
  </si>
  <si>
    <t>SAN VICENTE DEL CAGUAN</t>
  </si>
  <si>
    <t>EPS045</t>
  </si>
  <si>
    <t>MEDIMAS EPS S.A.S. -CM</t>
  </si>
  <si>
    <t>MUZO</t>
  </si>
  <si>
    <t>GARZON</t>
  </si>
  <si>
    <t>GUADALUPE</t>
  </si>
  <si>
    <t>SAN ONOFRE</t>
  </si>
  <si>
    <t>FOMEQUE</t>
  </si>
  <si>
    <t>Realice la siguiente factura y el subtotal, IGV (impuesto) y total con formulas</t>
  </si>
  <si>
    <t>IGV</t>
  </si>
  <si>
    <t>CÓDIGO DE VENDEDOR</t>
  </si>
  <si>
    <t>FECHA</t>
  </si>
  <si>
    <t>DATOS CLIENTE</t>
  </si>
  <si>
    <t>NOMBRE:</t>
  </si>
  <si>
    <t>RUC:</t>
  </si>
  <si>
    <t>DIRECCIÓN:</t>
  </si>
  <si>
    <t>TELÉFONO:</t>
  </si>
  <si>
    <t>FACTURA DE COMPRA</t>
  </si>
  <si>
    <t>CODIGO</t>
  </si>
  <si>
    <t>PRODUCTO</t>
  </si>
  <si>
    <t>CANTIDAD</t>
  </si>
  <si>
    <t>PRECIO</t>
  </si>
  <si>
    <t>TOTAL</t>
  </si>
  <si>
    <t>p1</t>
  </si>
  <si>
    <t>Cemento</t>
  </si>
  <si>
    <t>P2</t>
  </si>
  <si>
    <t>Calaminas</t>
  </si>
  <si>
    <t>p3</t>
  </si>
  <si>
    <t>Clavos</t>
  </si>
  <si>
    <t>p4</t>
  </si>
  <si>
    <t>Varillas</t>
  </si>
  <si>
    <t>p5</t>
  </si>
  <si>
    <t>Pintura</t>
  </si>
  <si>
    <t>VENDEDOR</t>
  </si>
  <si>
    <t>Ejercicio 1</t>
  </si>
  <si>
    <t>Realice la operación indicada</t>
  </si>
  <si>
    <t>PRECIO UNITARIO</t>
  </si>
  <si>
    <t>Lapicero</t>
  </si>
  <si>
    <t>Carpeta</t>
  </si>
  <si>
    <t>Borrador</t>
  </si>
  <si>
    <t>Sacapuntas</t>
  </si>
  <si>
    <t>Marcador</t>
  </si>
  <si>
    <t>Cartuchera</t>
  </si>
  <si>
    <t>Cuaderno</t>
  </si>
  <si>
    <t>Libreta</t>
  </si>
  <si>
    <t>Lápiz</t>
  </si>
  <si>
    <t>Agenda</t>
  </si>
  <si>
    <t>Realice la tabla y genere con formulas los resultados pertinentes.</t>
  </si>
  <si>
    <r>
      <t>Ferreterí</t>
    </r>
    <r>
      <rPr>
        <b/>
        <sz val="11"/>
        <color rgb="FF000000"/>
        <rFont val="Aptos Narrow"/>
        <family val="2"/>
        <scheme val="minor"/>
      </rPr>
      <t>a "EI tornillo molón</t>
    </r>
    <r>
      <rPr>
        <sz val="11"/>
        <color rgb="FF000000"/>
        <rFont val="Aptos Narrow"/>
        <family val="2"/>
        <scheme val="minor"/>
      </rPr>
      <t>"</t>
    </r>
  </si>
  <si>
    <t>IVA=</t>
  </si>
  <si>
    <t>Artículos</t>
  </si>
  <si>
    <t>Descripción</t>
  </si>
  <si>
    <t xml:space="preserve">Cantidad </t>
  </si>
  <si>
    <t>Precio unitario</t>
  </si>
  <si>
    <t>Subtotal</t>
  </si>
  <si>
    <t>IVA</t>
  </si>
  <si>
    <t>P</t>
  </si>
  <si>
    <t>Tornillo</t>
  </si>
  <si>
    <t>Puntilla</t>
  </si>
  <si>
    <t>Sierra</t>
  </si>
  <si>
    <t>Bote de cola</t>
  </si>
  <si>
    <t>Martillo</t>
  </si>
  <si>
    <t>Ejercicio 3</t>
  </si>
  <si>
    <t>Rellene los espacios dados en la tabla mediante funciones</t>
  </si>
  <si>
    <t>HOY ES:</t>
  </si>
  <si>
    <t>VALOR 1</t>
  </si>
  <si>
    <t>VALOR 2</t>
  </si>
  <si>
    <t>VALOR 3</t>
  </si>
  <si>
    <t>VALOR 4</t>
  </si>
  <si>
    <t>SUMA</t>
  </si>
  <si>
    <t>PROMEDIO</t>
  </si>
  <si>
    <t>MÁXIMO</t>
  </si>
  <si>
    <t>MÍNIMO</t>
  </si>
  <si>
    <t>NOTAS DE INFORMÁTICA</t>
  </si>
  <si>
    <t>corte1</t>
  </si>
  <si>
    <t>corte2</t>
  </si>
  <si>
    <t>final</t>
  </si>
  <si>
    <t>Rodríguez, Juan</t>
  </si>
  <si>
    <t>Martín, Antonio</t>
  </si>
  <si>
    <t>Pérez, Elena</t>
  </si>
  <si>
    <t>Vélez, Arturo</t>
  </si>
  <si>
    <t xml:space="preserve">Mayor promedio: </t>
  </si>
  <si>
    <t>Menor promedio:</t>
  </si>
  <si>
    <t>Valeria Jaimes</t>
  </si>
  <si>
    <t>Harbey Emir Cely</t>
  </si>
  <si>
    <t>Ingresos totales</t>
  </si>
  <si>
    <t>Gastos totales</t>
  </si>
  <si>
    <t>Ahorro en el mes</t>
  </si>
  <si>
    <t>-</t>
  </si>
  <si>
    <t>Articulo</t>
  </si>
  <si>
    <t>Unidades</t>
  </si>
  <si>
    <t>Precio</t>
  </si>
  <si>
    <t>% Dto.</t>
  </si>
  <si>
    <t>Precio Dto</t>
  </si>
  <si>
    <t>FECHA FACTURA</t>
  </si>
  <si>
    <r>
      <t>N</t>
    </r>
    <r>
      <rPr>
        <b/>
        <sz val="11"/>
        <color theme="1"/>
        <rFont val="Aptos Narrow"/>
        <family val="2"/>
      </rPr>
      <t>°</t>
    </r>
    <r>
      <rPr>
        <b/>
        <sz val="11"/>
        <color theme="1"/>
        <rFont val="Aptos Narrow"/>
        <family val="2"/>
        <scheme val="minor"/>
      </rPr>
      <t xml:space="preserve"> FACTURA</t>
    </r>
  </si>
  <si>
    <t>001</t>
  </si>
  <si>
    <t>Direccion</t>
  </si>
  <si>
    <t>Ciudad</t>
  </si>
  <si>
    <t>Departamento</t>
  </si>
  <si>
    <t>CC / 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</si>
</sst>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8" formatCode="&quot;$&quot;\ #,##0.00;[Red]\-&quot;$&quot;\ #,##0.00"/>
    <numFmt numFmtId="164" formatCode="_ &quot;S/&quot;* #,##0.00_ ;_ &quot;S/&quot;* \-#,##0.00_ ;_ &quot;S/&quot;* &quot;-&quot;??_ ;_ @_ "/>
    <numFmt numFmtId="165" formatCode="_ &quot;S/&quot;* #,##0_ ;_ &quot;S/&quot;* \-#,##0_ ;_ &quot;S/&quot;* &quot;-&quot;??_ ;_ @_ "/>
    <numFmt numFmtId="166" formatCode="_-&quot;S/&quot;* #,##0.00_-;\-&quot;S/&quot;* #,##0.00_-;_-&quot;S/&quot;* &quot;-&quot;??_-;_-@_-"/>
    <numFmt numFmtId="167" formatCode="&quot;$&quot;\ #,##0.00"/>
    <numFmt numFmtId="171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rgb="FF6A6A6A"/>
      <name val="Arial"/>
      <family val="2"/>
    </font>
    <font>
      <sz val="9"/>
      <color rgb="FF5E5E5E"/>
      <name val="Arial"/>
      <family val="2"/>
    </font>
    <font>
      <sz val="9"/>
      <color rgb="FF2F2F2F"/>
      <name val="Arial"/>
      <family val="2"/>
    </font>
    <font>
      <b/>
      <sz val="11"/>
      <color rgb="FFFFFFFF"/>
      <name val="Calibri"/>
      <family val="2"/>
    </font>
    <font>
      <sz val="11"/>
      <color rgb="FF363636"/>
      <name val="Calibri"/>
      <family val="2"/>
    </font>
    <font>
      <b/>
      <sz val="11"/>
      <color rgb="FFFF0000"/>
      <name val="Calibri"/>
      <family val="2"/>
    </font>
    <font>
      <b/>
      <i/>
      <sz val="11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</font>
  </fonts>
  <fills count="2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rgb="FF000000"/>
      </right>
      <top/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thick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thick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0" tint="-0.14999847407452621"/>
      </left>
      <right style="thick">
        <color theme="0" tint="-0.14999847407452621"/>
      </right>
      <top style="thick">
        <color theme="0" tint="-0.14999847407452621"/>
      </top>
      <bottom style="thick">
        <color theme="0" tint="-0.14999847407452621"/>
      </bottom>
      <diagonal/>
    </border>
    <border>
      <left style="thick">
        <color theme="0" tint="-0.14999847407452621"/>
      </left>
      <right style="thick">
        <color theme="0" tint="-0.14999847407452621"/>
      </right>
      <top/>
      <bottom style="thick">
        <color theme="0" tint="-0.14999847407452621"/>
      </bottom>
      <diagonal/>
    </border>
    <border>
      <left style="medium">
        <color theme="1"/>
      </left>
      <right style="thick">
        <color indexed="64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thick">
        <color indexed="64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9">
    <xf numFmtId="0" fontId="0" fillId="0" borderId="0" xfId="0"/>
    <xf numFmtId="0" fontId="5" fillId="2" borderId="0" xfId="0" applyFont="1" applyFill="1" applyAlignment="1">
      <alignment horizontal="center" vertical="center"/>
    </xf>
    <xf numFmtId="0" fontId="3" fillId="0" borderId="1" xfId="0" applyFont="1" applyBorder="1"/>
    <xf numFmtId="10" fontId="3" fillId="2" borderId="1" xfId="0" applyNumberFormat="1" applyFont="1" applyFill="1" applyBorder="1"/>
    <xf numFmtId="165" fontId="0" fillId="0" borderId="0" xfId="1" applyNumberFormat="1" applyFont="1" applyBorder="1"/>
    <xf numFmtId="166" fontId="0" fillId="0" borderId="0" xfId="0" applyNumberFormat="1"/>
    <xf numFmtId="0" fontId="0" fillId="4" borderId="0" xfId="0" applyFill="1" applyAlignment="1">
      <alignment wrapText="1"/>
    </xf>
    <xf numFmtId="0" fontId="0" fillId="4" borderId="0" xfId="0" applyFill="1"/>
    <xf numFmtId="0" fontId="0" fillId="0" borderId="0" xfId="0" applyAlignment="1">
      <alignment wrapText="1"/>
    </xf>
    <xf numFmtId="0" fontId="3" fillId="6" borderId="8" xfId="0" applyFont="1" applyFill="1" applyBorder="1" applyAlignment="1">
      <alignment wrapText="1"/>
    </xf>
    <xf numFmtId="0" fontId="3" fillId="6" borderId="9" xfId="0" applyFont="1" applyFill="1" applyBorder="1" applyAlignment="1">
      <alignment wrapText="1"/>
    </xf>
    <xf numFmtId="0" fontId="3" fillId="6" borderId="10" xfId="0" applyFont="1" applyFill="1" applyBorder="1" applyAlignment="1">
      <alignment wrapText="1"/>
    </xf>
    <xf numFmtId="0" fontId="0" fillId="7" borderId="11" xfId="0" applyFill="1" applyBorder="1" applyAlignment="1">
      <alignment wrapText="1"/>
    </xf>
    <xf numFmtId="0" fontId="0" fillId="7" borderId="19" xfId="0" applyFill="1" applyBorder="1" applyAlignment="1">
      <alignment wrapText="1"/>
    </xf>
    <xf numFmtId="0" fontId="6" fillId="8" borderId="21" xfId="0" applyFont="1" applyFill="1" applyBorder="1" applyAlignment="1">
      <alignment wrapText="1"/>
    </xf>
    <xf numFmtId="0" fontId="6" fillId="8" borderId="22" xfId="0" applyFont="1" applyFill="1" applyBorder="1" applyAlignment="1">
      <alignment wrapText="1"/>
    </xf>
    <xf numFmtId="0" fontId="6" fillId="8" borderId="22" xfId="0" applyFont="1" applyFill="1" applyBorder="1" applyAlignment="1">
      <alignment horizontal="center" wrapText="1"/>
    </xf>
    <xf numFmtId="0" fontId="0" fillId="0" borderId="23" xfId="0" applyBorder="1" applyAlignment="1">
      <alignment wrapText="1"/>
    </xf>
    <xf numFmtId="0" fontId="0" fillId="0" borderId="12" xfId="0" applyBorder="1" applyAlignment="1">
      <alignment horizontal="right" wrapText="1"/>
    </xf>
    <xf numFmtId="0" fontId="0" fillId="0" borderId="12" xfId="0" applyBorder="1" applyAlignment="1">
      <alignment horizontal="center" wrapText="1"/>
    </xf>
    <xf numFmtId="2" fontId="0" fillId="0" borderId="12" xfId="0" applyNumberFormat="1" applyBorder="1" applyAlignment="1">
      <alignment horizontal="center" wrapText="1"/>
    </xf>
    <xf numFmtId="0" fontId="6" fillId="10" borderId="22" xfId="0" applyFont="1" applyFill="1" applyBorder="1" applyAlignment="1">
      <alignment horizontal="center" wrapText="1"/>
    </xf>
    <xf numFmtId="0" fontId="0" fillId="0" borderId="21" xfId="0" applyBorder="1" applyAlignment="1">
      <alignment wrapText="1"/>
    </xf>
    <xf numFmtId="0" fontId="0" fillId="11" borderId="23" xfId="0" applyFill="1" applyBorder="1" applyAlignment="1">
      <alignment wrapText="1"/>
    </xf>
    <xf numFmtId="0" fontId="0" fillId="12" borderId="23" xfId="0" applyFill="1" applyBorder="1" applyAlignment="1">
      <alignment horizont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36" xfId="0" applyBorder="1" applyAlignment="1">
      <alignment horizontal="right" wrapText="1"/>
    </xf>
    <xf numFmtId="0" fontId="0" fillId="0" borderId="37" xfId="0" applyBorder="1" applyAlignment="1">
      <alignment horizontal="right" wrapText="1"/>
    </xf>
    <xf numFmtId="0" fontId="0" fillId="0" borderId="37" xfId="0" applyBorder="1" applyAlignment="1">
      <alignment wrapText="1"/>
    </xf>
    <xf numFmtId="6" fontId="0" fillId="0" borderId="37" xfId="0" applyNumberFormat="1" applyBorder="1" applyAlignment="1">
      <alignment horizontal="right" wrapText="1"/>
    </xf>
    <xf numFmtId="0" fontId="0" fillId="0" borderId="38" xfId="0" applyBorder="1" applyAlignment="1">
      <alignment horizontal="right" wrapText="1"/>
    </xf>
    <xf numFmtId="0" fontId="0" fillId="0" borderId="39" xfId="0" applyBorder="1" applyAlignment="1">
      <alignment horizontal="right" wrapText="1"/>
    </xf>
    <xf numFmtId="0" fontId="0" fillId="0" borderId="39" xfId="0" applyBorder="1" applyAlignment="1">
      <alignment wrapText="1"/>
    </xf>
    <xf numFmtId="6" fontId="0" fillId="0" borderId="39" xfId="0" applyNumberFormat="1" applyBorder="1" applyAlignment="1">
      <alignment horizontal="right" wrapText="1"/>
    </xf>
    <xf numFmtId="0" fontId="10" fillId="14" borderId="50" xfId="0" applyFont="1" applyFill="1" applyBorder="1" applyAlignment="1">
      <alignment vertical="center" wrapText="1"/>
    </xf>
    <xf numFmtId="0" fontId="10" fillId="14" borderId="51" xfId="0" applyFont="1" applyFill="1" applyBorder="1" applyAlignment="1">
      <alignment vertical="center" wrapText="1"/>
    </xf>
    <xf numFmtId="0" fontId="10" fillId="14" borderId="52" xfId="0" applyFont="1" applyFill="1" applyBorder="1" applyAlignment="1">
      <alignment horizontal="center" vertical="center" wrapText="1"/>
    </xf>
    <xf numFmtId="0" fontId="11" fillId="15" borderId="53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11" fillId="15" borderId="54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vertical="center"/>
    </xf>
    <xf numFmtId="2" fontId="0" fillId="0" borderId="0" xfId="0" applyNumberFormat="1"/>
    <xf numFmtId="0" fontId="12" fillId="14" borderId="53" xfId="0" applyFont="1" applyFill="1" applyBorder="1" applyAlignment="1">
      <alignment vertical="center" wrapText="1"/>
    </xf>
    <xf numFmtId="0" fontId="12" fillId="14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12" fillId="14" borderId="54" xfId="0" applyFont="1" applyFill="1" applyBorder="1" applyAlignment="1">
      <alignment horizontal="center" vertical="center" wrapText="1"/>
    </xf>
    <xf numFmtId="0" fontId="11" fillId="15" borderId="55" xfId="0" applyFont="1" applyFill="1" applyBorder="1" applyAlignment="1">
      <alignment vertical="center" wrapText="1"/>
    </xf>
    <xf numFmtId="0" fontId="11" fillId="15" borderId="56" xfId="0" applyFont="1" applyFill="1" applyBorder="1" applyAlignment="1">
      <alignment vertical="center" wrapText="1"/>
    </xf>
    <xf numFmtId="0" fontId="0" fillId="15" borderId="56" xfId="0" applyFill="1" applyBorder="1" applyAlignment="1">
      <alignment vertical="center" wrapText="1"/>
    </xf>
    <xf numFmtId="0" fontId="11" fillId="15" borderId="57" xfId="0" applyFont="1" applyFill="1" applyBorder="1" applyAlignment="1">
      <alignment horizontal="center" vertical="center" wrapText="1"/>
    </xf>
    <xf numFmtId="0" fontId="0" fillId="0" borderId="1" xfId="0" applyBorder="1"/>
    <xf numFmtId="9" fontId="0" fillId="0" borderId="1" xfId="0" applyNumberFormat="1" applyBorder="1"/>
    <xf numFmtId="0" fontId="9" fillId="0" borderId="0" xfId="0" applyFont="1"/>
    <xf numFmtId="0" fontId="4" fillId="17" borderId="1" xfId="0" applyFont="1" applyFill="1" applyBorder="1"/>
    <xf numFmtId="0" fontId="9" fillId="0" borderId="1" xfId="0" applyFont="1" applyBorder="1"/>
    <xf numFmtId="14" fontId="9" fillId="0" borderId="1" xfId="0" applyNumberFormat="1" applyFont="1" applyBorder="1"/>
    <xf numFmtId="0" fontId="4" fillId="17" borderId="1" xfId="0" applyFont="1" applyFill="1" applyBorder="1" applyAlignment="1">
      <alignment horizontal="center"/>
    </xf>
    <xf numFmtId="167" fontId="9" fillId="0" borderId="1" xfId="0" applyNumberFormat="1" applyFont="1" applyBorder="1"/>
    <xf numFmtId="0" fontId="13" fillId="19" borderId="21" xfId="0" applyFont="1" applyFill="1" applyBorder="1" applyAlignment="1">
      <alignment horizontal="center" vertical="center" wrapText="1"/>
    </xf>
    <xf numFmtId="0" fontId="13" fillId="19" borderId="32" xfId="0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right" wrapText="1"/>
    </xf>
    <xf numFmtId="0" fontId="14" fillId="0" borderId="62" xfId="0" applyFont="1" applyBorder="1" applyAlignment="1">
      <alignment wrapText="1"/>
    </xf>
    <xf numFmtId="6" fontId="14" fillId="0" borderId="62" xfId="0" applyNumberFormat="1" applyFont="1" applyBorder="1" applyAlignment="1">
      <alignment horizontal="right" wrapText="1"/>
    </xf>
    <xf numFmtId="6" fontId="15" fillId="6" borderId="62" xfId="0" applyNumberFormat="1" applyFont="1" applyFill="1" applyBorder="1" applyAlignment="1">
      <alignment horizontal="center" vertical="center" wrapText="1"/>
    </xf>
    <xf numFmtId="9" fontId="9" fillId="0" borderId="0" xfId="0" applyNumberFormat="1" applyFont="1"/>
    <xf numFmtId="0" fontId="9" fillId="20" borderId="1" xfId="0" applyFont="1" applyFill="1" applyBorder="1" applyAlignment="1">
      <alignment horizontal="center"/>
    </xf>
    <xf numFmtId="0" fontId="16" fillId="13" borderId="1" xfId="0" applyFont="1" applyFill="1" applyBorder="1"/>
    <xf numFmtId="14" fontId="17" fillId="21" borderId="1" xfId="0" applyNumberFormat="1" applyFont="1" applyFill="1" applyBorder="1"/>
    <xf numFmtId="0" fontId="16" fillId="13" borderId="1" xfId="0" applyFont="1" applyFill="1" applyBorder="1" applyAlignment="1">
      <alignment horizontal="center"/>
    </xf>
    <xf numFmtId="0" fontId="0" fillId="5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6" borderId="1" xfId="0" applyFill="1" applyBorder="1"/>
    <xf numFmtId="0" fontId="18" fillId="26" borderId="0" xfId="0" applyFont="1" applyFill="1" applyAlignment="1">
      <alignment horizontal="center"/>
    </xf>
    <xf numFmtId="0" fontId="2" fillId="27" borderId="0" xfId="0" applyFont="1" applyFill="1"/>
    <xf numFmtId="0" fontId="2" fillId="27" borderId="52" xfId="0" applyFont="1" applyFill="1" applyBorder="1"/>
    <xf numFmtId="0" fontId="2" fillId="27" borderId="57" xfId="0" applyFont="1" applyFill="1" applyBorder="1"/>
    <xf numFmtId="0" fontId="0" fillId="13" borderId="0" xfId="0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18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58" xfId="0" applyFont="1" applyBorder="1" applyAlignment="1">
      <alignment horizontal="center"/>
    </xf>
    <xf numFmtId="0" fontId="9" fillId="0" borderId="59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0" fillId="9" borderId="0" xfId="0" applyFill="1" applyAlignment="1">
      <alignment horizontal="center"/>
    </xf>
    <xf numFmtId="0" fontId="6" fillId="10" borderId="30" xfId="0" applyFont="1" applyFill="1" applyBorder="1" applyAlignment="1">
      <alignment horizontal="center" wrapText="1"/>
    </xf>
    <xf numFmtId="0" fontId="6" fillId="10" borderId="31" xfId="0" applyFont="1" applyFill="1" applyBorder="1" applyAlignment="1">
      <alignment horizontal="center" wrapText="1"/>
    </xf>
    <xf numFmtId="0" fontId="6" fillId="10" borderId="32" xfId="0" applyFont="1" applyFill="1" applyBorder="1" applyAlignment="1">
      <alignment horizontal="center"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9" fontId="6" fillId="0" borderId="33" xfId="0" applyNumberFormat="1" applyFont="1" applyBorder="1" applyAlignment="1">
      <alignment horizontal="center" vertical="center" wrapText="1"/>
    </xf>
    <xf numFmtId="9" fontId="6" fillId="0" borderId="34" xfId="0" applyNumberFormat="1" applyFont="1" applyBorder="1" applyAlignment="1">
      <alignment horizontal="center" vertical="center" wrapText="1"/>
    </xf>
    <xf numFmtId="9" fontId="6" fillId="0" borderId="35" xfId="0" applyNumberFormat="1" applyFont="1" applyBorder="1" applyAlignment="1">
      <alignment horizontal="center" vertical="center" wrapText="1"/>
    </xf>
    <xf numFmtId="9" fontId="0" fillId="0" borderId="33" xfId="0" applyNumberFormat="1" applyBorder="1" applyAlignment="1">
      <alignment horizontal="center" vertical="center" wrapText="1"/>
    </xf>
    <xf numFmtId="9" fontId="0" fillId="0" borderId="34" xfId="0" applyNumberFormat="1" applyBorder="1" applyAlignment="1">
      <alignment horizontal="center" vertical="center" wrapText="1"/>
    </xf>
    <xf numFmtId="9" fontId="0" fillId="0" borderId="35" xfId="0" applyNumberFormat="1" applyBorder="1" applyAlignment="1">
      <alignment horizontal="center" vertical="center" wrapText="1"/>
    </xf>
    <xf numFmtId="0" fontId="0" fillId="9" borderId="30" xfId="0" applyFill="1" applyBorder="1" applyAlignment="1">
      <alignment horizontal="center" wrapText="1"/>
    </xf>
    <xf numFmtId="0" fontId="0" fillId="9" borderId="31" xfId="0" applyFill="1" applyBorder="1" applyAlignment="1">
      <alignment horizontal="center" wrapText="1"/>
    </xf>
    <xf numFmtId="0" fontId="0" fillId="9" borderId="32" xfId="0" applyFill="1" applyBorder="1" applyAlignment="1">
      <alignment horizontal="center" wrapText="1"/>
    </xf>
    <xf numFmtId="0" fontId="0" fillId="11" borderId="30" xfId="0" applyFill="1" applyBorder="1" applyAlignment="1">
      <alignment horizontal="center" wrapText="1"/>
    </xf>
    <xf numFmtId="0" fontId="0" fillId="11" borderId="32" xfId="0" applyFill="1" applyBorder="1" applyAlignment="1">
      <alignment horizontal="center" wrapText="1"/>
    </xf>
    <xf numFmtId="0" fontId="0" fillId="13" borderId="0" xfId="0" applyFill="1" applyAlignment="1">
      <alignment horizontal="center"/>
    </xf>
    <xf numFmtId="0" fontId="0" fillId="13" borderId="26" xfId="0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0" fillId="13" borderId="28" xfId="0" applyFill="1" applyBorder="1" applyAlignment="1">
      <alignment horizontal="center"/>
    </xf>
    <xf numFmtId="0" fontId="3" fillId="0" borderId="40" xfId="0" applyFont="1" applyBorder="1" applyAlignment="1">
      <alignment wrapText="1"/>
    </xf>
    <xf numFmtId="0" fontId="3" fillId="0" borderId="41" xfId="0" applyFont="1" applyBorder="1" applyAlignment="1">
      <alignment wrapText="1"/>
    </xf>
    <xf numFmtId="0" fontId="3" fillId="0" borderId="42" xfId="0" applyFont="1" applyBorder="1" applyAlignment="1">
      <alignment wrapText="1"/>
    </xf>
    <xf numFmtId="0" fontId="3" fillId="0" borderId="44" xfId="0" applyFont="1" applyBorder="1" applyAlignment="1">
      <alignment wrapText="1"/>
    </xf>
    <xf numFmtId="0" fontId="3" fillId="0" borderId="45" xfId="0" applyFont="1" applyBorder="1" applyAlignment="1">
      <alignment wrapText="1"/>
    </xf>
    <xf numFmtId="0" fontId="3" fillId="0" borderId="46" xfId="0" applyFont="1" applyBorder="1" applyAlignment="1">
      <alignment wrapText="1"/>
    </xf>
    <xf numFmtId="0" fontId="8" fillId="0" borderId="47" xfId="0" applyFont="1" applyBorder="1" applyAlignment="1">
      <alignment wrapText="1"/>
    </xf>
    <xf numFmtId="0" fontId="8" fillId="0" borderId="48" xfId="0" applyFont="1" applyBorder="1" applyAlignment="1">
      <alignment wrapText="1"/>
    </xf>
    <xf numFmtId="0" fontId="8" fillId="0" borderId="49" xfId="0" applyFont="1" applyBorder="1" applyAlignment="1">
      <alignment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20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9" fillId="20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18" fillId="26" borderId="0" xfId="0" applyFont="1" applyFill="1" applyAlignment="1">
      <alignment horizontal="center"/>
    </xf>
    <xf numFmtId="0" fontId="0" fillId="9" borderId="53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55" xfId="0" applyFill="1" applyBorder="1" applyAlignment="1">
      <alignment horizontal="center"/>
    </xf>
    <xf numFmtId="0" fontId="0" fillId="9" borderId="56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9" borderId="50" xfId="0" applyFill="1" applyBorder="1" applyAlignment="1">
      <alignment horizontal="center" wrapText="1"/>
    </xf>
    <xf numFmtId="0" fontId="0" fillId="9" borderId="51" xfId="0" applyFill="1" applyBorder="1" applyAlignment="1">
      <alignment horizontal="center" wrapText="1"/>
    </xf>
    <xf numFmtId="0" fontId="0" fillId="9" borderId="53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18" fontId="9" fillId="0" borderId="0" xfId="0" applyNumberFormat="1" applyFont="1"/>
    <xf numFmtId="167" fontId="0" fillId="12" borderId="30" xfId="0" applyNumberFormat="1" applyFill="1" applyBorder="1" applyAlignment="1">
      <alignment horizontal="center" wrapText="1"/>
    </xf>
    <xf numFmtId="167" fontId="0" fillId="12" borderId="32" xfId="0" applyNumberFormat="1" applyFill="1" applyBorder="1" applyAlignment="1">
      <alignment horizontal="center" wrapText="1"/>
    </xf>
    <xf numFmtId="167" fontId="3" fillId="12" borderId="30" xfId="0" applyNumberFormat="1" applyFont="1" applyFill="1" applyBorder="1" applyAlignment="1">
      <alignment horizontal="center" wrapText="1"/>
    </xf>
    <xf numFmtId="167" fontId="3" fillId="12" borderId="32" xfId="0" applyNumberFormat="1" applyFont="1" applyFill="1" applyBorder="1" applyAlignment="1">
      <alignment horizontal="center" wrapText="1"/>
    </xf>
    <xf numFmtId="167" fontId="3" fillId="12" borderId="1" xfId="0" applyNumberFormat="1" applyFont="1" applyFill="1" applyBorder="1" applyAlignment="1">
      <alignment horizontal="center" wrapText="1"/>
    </xf>
    <xf numFmtId="167" fontId="3" fillId="12" borderId="1" xfId="0" applyNumberFormat="1" applyFont="1" applyFill="1" applyBorder="1" applyAlignment="1">
      <alignment horizontal="center" wrapText="1"/>
    </xf>
    <xf numFmtId="171" fontId="3" fillId="18" borderId="12" xfId="0" applyNumberFormat="1" applyFont="1" applyFill="1" applyBorder="1" applyAlignment="1">
      <alignment horizontal="center" wrapText="1"/>
    </xf>
    <xf numFmtId="0" fontId="0" fillId="12" borderId="23" xfId="0" quotePrefix="1" applyFill="1" applyBorder="1" applyAlignment="1">
      <alignment horizontal="center" wrapText="1"/>
    </xf>
    <xf numFmtId="171" fontId="19" fillId="18" borderId="12" xfId="0" applyNumberFormat="1" applyFont="1" applyFill="1" applyBorder="1" applyAlignment="1">
      <alignment horizontal="center" wrapText="1"/>
    </xf>
    <xf numFmtId="0" fontId="2" fillId="0" borderId="30" xfId="0" applyFont="1" applyBorder="1" applyAlignment="1">
      <alignment wrapText="1"/>
    </xf>
    <xf numFmtId="0" fontId="2" fillId="0" borderId="31" xfId="0" applyFont="1" applyBorder="1" applyAlignment="1">
      <alignment wrapText="1"/>
    </xf>
    <xf numFmtId="0" fontId="2" fillId="0" borderId="32" xfId="0" applyFont="1" applyBorder="1" applyAlignment="1">
      <alignment wrapText="1"/>
    </xf>
    <xf numFmtId="6" fontId="0" fillId="0" borderId="37" xfId="0" applyNumberFormat="1" applyBorder="1" applyAlignment="1">
      <alignment wrapText="1"/>
    </xf>
    <xf numFmtId="6" fontId="0" fillId="0" borderId="43" xfId="0" applyNumberFormat="1" applyBorder="1" applyAlignment="1">
      <alignment wrapText="1"/>
    </xf>
    <xf numFmtId="8" fontId="0" fillId="0" borderId="43" xfId="0" applyNumberFormat="1" applyBorder="1" applyAlignment="1">
      <alignment wrapText="1"/>
    </xf>
    <xf numFmtId="8" fontId="0" fillId="0" borderId="12" xfId="0" applyNumberFormat="1" applyBorder="1" applyAlignment="1">
      <alignment wrapText="1"/>
    </xf>
    <xf numFmtId="167" fontId="0" fillId="7" borderId="12" xfId="0" applyNumberFormat="1" applyFill="1" applyBorder="1" applyAlignment="1">
      <alignment horizontal="right" wrapText="1"/>
    </xf>
    <xf numFmtId="167" fontId="0" fillId="7" borderId="13" xfId="0" applyNumberFormat="1" applyFill="1" applyBorder="1" applyAlignment="1">
      <alignment horizontal="right" wrapText="1"/>
    </xf>
    <xf numFmtId="167" fontId="0" fillId="7" borderId="14" xfId="0" applyNumberFormat="1" applyFill="1" applyBorder="1" applyAlignment="1">
      <alignment horizontal="right" wrapText="1"/>
    </xf>
    <xf numFmtId="167" fontId="0" fillId="7" borderId="20" xfId="0" applyNumberFormat="1" applyFill="1" applyBorder="1" applyAlignment="1">
      <alignment horizontal="right" wrapText="1"/>
    </xf>
    <xf numFmtId="2" fontId="0" fillId="0" borderId="29" xfId="0" applyNumberFormat="1" applyBorder="1"/>
    <xf numFmtId="0" fontId="0" fillId="16" borderId="63" xfId="0" applyFill="1" applyBorder="1"/>
    <xf numFmtId="0" fontId="0" fillId="16" borderId="59" xfId="0" applyFill="1" applyBorder="1"/>
    <xf numFmtId="0" fontId="0" fillId="16" borderId="64" xfId="0" applyFill="1" applyBorder="1"/>
    <xf numFmtId="0" fontId="0" fillId="16" borderId="65" xfId="0" applyFill="1" applyBorder="1"/>
    <xf numFmtId="0" fontId="0" fillId="16" borderId="66" xfId="0" applyFill="1" applyBorder="1"/>
    <xf numFmtId="0" fontId="0" fillId="18" borderId="58" xfId="0" applyFill="1" applyBorder="1"/>
    <xf numFmtId="0" fontId="0" fillId="18" borderId="59" xfId="0" applyFill="1" applyBorder="1"/>
    <xf numFmtId="0" fontId="0" fillId="18" borderId="0" xfId="0" applyFill="1" applyBorder="1"/>
    <xf numFmtId="0" fontId="0" fillId="18" borderId="65" xfId="0" applyFill="1" applyBorder="1"/>
    <xf numFmtId="0" fontId="0" fillId="18" borderId="60" xfId="0" applyFill="1" applyBorder="1"/>
    <xf numFmtId="0" fontId="0" fillId="18" borderId="61" xfId="0" applyFill="1" applyBorder="1"/>
    <xf numFmtId="0" fontId="0" fillId="16" borderId="0" xfId="0" applyFill="1" applyBorder="1"/>
    <xf numFmtId="0" fontId="0" fillId="16" borderId="60" xfId="0" applyFill="1" applyBorder="1"/>
    <xf numFmtId="0" fontId="3" fillId="9" borderId="67" xfId="0" applyFont="1" applyFill="1" applyBorder="1" applyAlignment="1">
      <alignment horizontal="center"/>
    </xf>
    <xf numFmtId="14" fontId="0" fillId="0" borderId="67" xfId="0" applyNumberFormat="1" applyBorder="1" applyAlignment="1">
      <alignment horizontal="center"/>
    </xf>
    <xf numFmtId="0" fontId="0" fillId="0" borderId="67" xfId="0" applyBorder="1" applyAlignment="1">
      <alignment horizontal="center"/>
    </xf>
    <xf numFmtId="1" fontId="0" fillId="0" borderId="67" xfId="0" quotePrefix="1" applyNumberFormat="1" applyBorder="1" applyAlignment="1">
      <alignment horizontal="center"/>
    </xf>
    <xf numFmtId="1" fontId="0" fillId="0" borderId="67" xfId="0" applyNumberFormat="1" applyBorder="1" applyAlignment="1">
      <alignment horizontal="center"/>
    </xf>
    <xf numFmtId="0" fontId="0" fillId="28" borderId="68" xfId="0" applyFill="1" applyBorder="1"/>
    <xf numFmtId="0" fontId="0" fillId="28" borderId="69" xfId="0" applyFill="1" applyBorder="1"/>
    <xf numFmtId="0" fontId="3" fillId="9" borderId="70" xfId="0" applyFont="1" applyFill="1" applyBorder="1" applyAlignment="1">
      <alignment horizontal="center" vertical="center"/>
    </xf>
    <xf numFmtId="0" fontId="3" fillId="9" borderId="71" xfId="0" applyFont="1" applyFill="1" applyBorder="1" applyAlignment="1">
      <alignment horizontal="center" vertical="center"/>
    </xf>
    <xf numFmtId="0" fontId="3" fillId="9" borderId="72" xfId="0" applyFont="1" applyFill="1" applyBorder="1" applyAlignment="1">
      <alignment horizontal="center" vertical="center"/>
    </xf>
    <xf numFmtId="0" fontId="3" fillId="16" borderId="52" xfId="0" applyFont="1" applyFill="1" applyBorder="1" applyAlignment="1">
      <alignment horizontal="center"/>
    </xf>
    <xf numFmtId="0" fontId="3" fillId="16" borderId="54" xfId="0" applyFont="1" applyFill="1" applyBorder="1" applyAlignment="1">
      <alignment horizontal="center"/>
    </xf>
    <xf numFmtId="0" fontId="3" fillId="16" borderId="57" xfId="0" applyFont="1" applyFill="1" applyBorder="1" applyAlignment="1">
      <alignment horizontal="center"/>
    </xf>
  </cellXfs>
  <cellStyles count="2">
    <cellStyle name="Moneda 2" xfId="1" xr:uid="{BD5CFE2D-086C-4C31-90B6-C8D8855D170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114300</xdr:rowOff>
    </xdr:from>
    <xdr:to>
      <xdr:col>9</xdr:col>
      <xdr:colOff>438149</xdr:colOff>
      <xdr:row>4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C180821-A556-4DBC-866A-2823B4CFAE2B}"/>
            </a:ext>
          </a:extLst>
        </xdr:cNvPr>
        <xdr:cNvSpPr txBox="1"/>
      </xdr:nvSpPr>
      <xdr:spPr>
        <a:xfrm>
          <a:off x="76199" y="114300"/>
          <a:ext cx="9033510" cy="1066800"/>
        </a:xfrm>
        <a:prstGeom prst="rect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1400"/>
            <a:t>Se desea brindar un bono adicional a los diferentes contratistas que trabajan en Alpina. El bono será de 5,40%</a:t>
          </a:r>
          <a:r>
            <a:rPr lang="es-PE" sz="1400" baseline="0"/>
            <a:t> del sueldo. Este bono Será asignado para el sueldo del mes de agosto. Con sus conocimientos calcule el valor del bono, teniendo en cuenta la información dada.</a:t>
          </a:r>
          <a:endParaRPr lang="es-PE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742950</xdr:colOff>
      <xdr:row>25</xdr:row>
      <xdr:rowOff>28575</xdr:rowOff>
    </xdr:from>
    <xdr:to>
      <xdr:col>23</xdr:col>
      <xdr:colOff>180975</xdr:colOff>
      <xdr:row>36</xdr:row>
      <xdr:rowOff>190500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02CFBE3-C94F-433C-9495-598A8611A26B}"/>
            </a:ext>
          </a:extLst>
        </xdr:cNvPr>
        <xdr:cNvSpPr txBox="1"/>
      </xdr:nvSpPr>
      <xdr:spPr>
        <a:xfrm>
          <a:off x="13422630" y="4745355"/>
          <a:ext cx="4985385" cy="2257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Carlos logró escribir todos sus ingresos y egresos por un mes. El quería saber cuanto ha logrado ahorra por cada día (utilidad).</a:t>
          </a:r>
        </a:p>
        <a:p>
          <a:endParaRPr lang="en-US" sz="1100"/>
        </a:p>
        <a:p>
          <a:r>
            <a:rPr lang="en-US" sz="1100"/>
            <a:t>Cuanto ahorra</a:t>
          </a:r>
          <a:r>
            <a:rPr lang="en-US" sz="1100" baseline="0"/>
            <a:t> en el mes?</a:t>
          </a:r>
        </a:p>
        <a:p>
          <a:r>
            <a:rPr lang="en-US" sz="1100" baseline="0"/>
            <a:t>Cuanto son los ingresos totales de Carlos?</a:t>
          </a:r>
        </a:p>
        <a:p>
          <a:r>
            <a:rPr lang="en-US" sz="1100" baseline="0"/>
            <a:t>Cuanto son los gastos totales de Carlos?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729615</xdr:colOff>
      <xdr:row>30</xdr:row>
      <xdr:rowOff>3810</xdr:rowOff>
    </xdr:from>
    <xdr:to>
      <xdr:col>9</xdr:col>
      <xdr:colOff>137252</xdr:colOff>
      <xdr:row>60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081A1A-D674-4ACF-B016-F33C39566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" y="5848350"/>
          <a:ext cx="6539957" cy="6069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99060</xdr:colOff>
      <xdr:row>17</xdr:row>
      <xdr:rowOff>160020</xdr:rowOff>
    </xdr:from>
    <xdr:to>
      <xdr:col>17</xdr:col>
      <xdr:colOff>693420</xdr:colOff>
      <xdr:row>26</xdr:row>
      <xdr:rowOff>91440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82E5FF6-0B75-61D7-A882-A85120713677}"/>
            </a:ext>
          </a:extLst>
        </xdr:cNvPr>
        <xdr:cNvSpPr txBox="1"/>
      </xdr:nvSpPr>
      <xdr:spPr>
        <a:xfrm>
          <a:off x="8884920" y="3909060"/>
          <a:ext cx="5349240" cy="1584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DATO CUANDO LE PIDAN UN DATO SIN CONDICION USE LOS SIGUIENTES COMANDOS</a:t>
          </a:r>
        </a:p>
        <a:p>
          <a:endParaRPr lang="es-CO" sz="1100"/>
        </a:p>
        <a:p>
          <a:r>
            <a:rPr lang="es-CO" sz="1100"/>
            <a:t>SI</a:t>
          </a:r>
          <a:r>
            <a:rPr lang="es-CO" sz="1100" baseline="0"/>
            <a:t> NECESITA SUMAR UN RANGO........</a:t>
          </a:r>
          <a:r>
            <a:rPr lang="es-CO" sz="1100" b="1" baseline="0"/>
            <a:t>=SUMA(RANGO DE VALORES)</a:t>
          </a:r>
        </a:p>
        <a:p>
          <a:endParaRPr lang="es-CO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100" baseline="0"/>
            <a:t>SI NECESITA PROMEDIAR O LA MEDIA DE UN RANGO..... </a:t>
          </a:r>
          <a:r>
            <a:rPr lang="es-CO" sz="1100" b="1" baseline="0"/>
            <a:t>=PROM(</a:t>
          </a:r>
          <a:r>
            <a:rPr lang="es-CO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RANGO DE VALORES)</a:t>
          </a:r>
          <a:b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NECESITA EL VALOR MAS GRANDE..... </a:t>
          </a:r>
          <a:r>
            <a:rPr lang="es-CO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=MAX(RANGO DE VALORES)</a:t>
          </a:r>
          <a:b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NECESITA EL VALOR MAS PEQUEÑO..... </a:t>
          </a:r>
          <a:r>
            <a:rPr lang="es-CO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=MIN(RANGO DE VALORES)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O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NECESITA EL NUMERO DE ELEMENTOS ...... =CONTAR(RANGO DE DATOS)</a:t>
          </a:r>
          <a:b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CO">
            <a:effectLst/>
          </a:endParaRPr>
        </a:p>
        <a:p>
          <a:endParaRPr lang="es-CO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ergio/OneDrive/Cursos%20CIBERTEC%202016%20Empresas/12%20Excel%20intermedio%20a%20la%20medida%20para%20OIT/123iv%20Examen%20Final%20para%20OIT%20-%20APELLIDOS%20Y%20NOMBRES.xlsm" TargetMode="External"/><Relationship Id="rId1" Type="http://schemas.openxmlformats.org/officeDocument/2006/relationships/externalLinkPath" Target="/Users/Sergio/OneDrive/Cursos%20CIBERTEC%202016%20Empresas/12%20Excel%20intermedio%20a%20la%20medida%20para%20OIT/123iv%20Examen%20Final%20para%20OIT%20-%20APELLIDOS%20Y%20NOMBR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ducción"/>
      <sheetName val="Preguntas 1 y 2"/>
      <sheetName val="Preguntas 3 y 4"/>
      <sheetName val="Preguntas 5 y 6"/>
      <sheetName val="Pregunta 7"/>
      <sheetName val="Pregunta 8"/>
      <sheetName val="Pregunta 9"/>
      <sheetName val="Pregunta 10"/>
      <sheetName val="Pregunta 11"/>
      <sheetName val="Pregunta 12"/>
      <sheetName val="Gran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N° Producto</v>
          </cell>
          <cell r="B1" t="str">
            <v>Descripción</v>
          </cell>
          <cell r="C1" t="str">
            <v>Rubro</v>
          </cell>
          <cell r="D1" t="str">
            <v>U/medida</v>
          </cell>
          <cell r="E1" t="str">
            <v>Granja</v>
          </cell>
          <cell r="F1" t="str">
            <v>Precio</v>
          </cell>
        </row>
        <row r="2">
          <cell r="A2">
            <v>1</v>
          </cell>
          <cell r="B2" t="str">
            <v>Manzana</v>
          </cell>
          <cell r="C2" t="str">
            <v>frutas</v>
          </cell>
          <cell r="D2" t="str">
            <v>kilo</v>
          </cell>
          <cell r="E2" t="str">
            <v>Luciana</v>
          </cell>
          <cell r="F2">
            <v>0.8</v>
          </cell>
        </row>
        <row r="3">
          <cell r="A3">
            <v>2</v>
          </cell>
          <cell r="B3" t="str">
            <v>Plátano</v>
          </cell>
          <cell r="C3" t="str">
            <v>frutas</v>
          </cell>
          <cell r="D3" t="str">
            <v>kilo</v>
          </cell>
          <cell r="E3" t="str">
            <v>La garota</v>
          </cell>
          <cell r="F3">
            <v>0.5</v>
          </cell>
        </row>
        <row r="4">
          <cell r="A4">
            <v>3</v>
          </cell>
          <cell r="B4" t="str">
            <v>Maíz</v>
          </cell>
          <cell r="C4" t="str">
            <v>semillas</v>
          </cell>
          <cell r="D4" t="str">
            <v>kilo</v>
          </cell>
          <cell r="E4" t="str">
            <v>El canuto</v>
          </cell>
          <cell r="F4">
            <v>0.6</v>
          </cell>
        </row>
        <row r="5">
          <cell r="A5">
            <v>4</v>
          </cell>
          <cell r="B5" t="str">
            <v>Pera</v>
          </cell>
          <cell r="C5" t="str">
            <v>frutas</v>
          </cell>
          <cell r="D5" t="str">
            <v>kilo</v>
          </cell>
          <cell r="E5" t="str">
            <v>Litoral</v>
          </cell>
          <cell r="F5">
            <v>2.2999999999999998</v>
          </cell>
        </row>
        <row r="6">
          <cell r="A6">
            <v>5</v>
          </cell>
          <cell r="B6" t="str">
            <v>Papa</v>
          </cell>
          <cell r="C6" t="str">
            <v>verduras</v>
          </cell>
          <cell r="D6" t="str">
            <v>kilo</v>
          </cell>
          <cell r="E6" t="str">
            <v>El ceibal</v>
          </cell>
          <cell r="F6">
            <v>0.8</v>
          </cell>
        </row>
        <row r="7">
          <cell r="A7">
            <v>6</v>
          </cell>
          <cell r="B7" t="str">
            <v>Camote</v>
          </cell>
          <cell r="C7" t="str">
            <v>verduras</v>
          </cell>
          <cell r="D7" t="str">
            <v>kilo</v>
          </cell>
          <cell r="E7" t="str">
            <v>El ceibal</v>
          </cell>
          <cell r="F7">
            <v>0.5</v>
          </cell>
        </row>
        <row r="8">
          <cell r="A8">
            <v>7</v>
          </cell>
          <cell r="B8" t="str">
            <v>Zapallo</v>
          </cell>
          <cell r="C8" t="str">
            <v>verduras</v>
          </cell>
          <cell r="D8" t="str">
            <v>kilo</v>
          </cell>
          <cell r="E8" t="str">
            <v>El ceibal</v>
          </cell>
          <cell r="F8">
            <v>0.6</v>
          </cell>
        </row>
        <row r="9">
          <cell r="A9">
            <v>8</v>
          </cell>
          <cell r="B9" t="str">
            <v>Cebolla</v>
          </cell>
          <cell r="C9" t="str">
            <v>verduras</v>
          </cell>
          <cell r="D9" t="str">
            <v>kilo</v>
          </cell>
          <cell r="E9" t="str">
            <v>Luciana</v>
          </cell>
          <cell r="F9">
            <v>2</v>
          </cell>
        </row>
        <row r="10">
          <cell r="A10">
            <v>9</v>
          </cell>
          <cell r="B10" t="str">
            <v>Lechuga</v>
          </cell>
          <cell r="C10" t="str">
            <v>verduras</v>
          </cell>
          <cell r="D10" t="str">
            <v>unidad</v>
          </cell>
          <cell r="E10" t="str">
            <v>El canuto</v>
          </cell>
          <cell r="F10">
            <v>1</v>
          </cell>
        </row>
        <row r="11">
          <cell r="A11">
            <v>10</v>
          </cell>
          <cell r="B11" t="str">
            <v>Pimiento</v>
          </cell>
          <cell r="C11" t="str">
            <v>verduras</v>
          </cell>
          <cell r="D11" t="str">
            <v>kilo</v>
          </cell>
          <cell r="E11" t="str">
            <v>Primavera</v>
          </cell>
          <cell r="F11">
            <v>1.1000000000000001</v>
          </cell>
        </row>
        <row r="12">
          <cell r="A12">
            <v>11</v>
          </cell>
          <cell r="B12" t="str">
            <v>Fresa</v>
          </cell>
          <cell r="C12" t="str">
            <v>frutas</v>
          </cell>
          <cell r="D12" t="str">
            <v>kilo</v>
          </cell>
          <cell r="E12" t="str">
            <v>Luciana</v>
          </cell>
          <cell r="F12">
            <v>3.1</v>
          </cell>
        </row>
        <row r="13">
          <cell r="A13">
            <v>12</v>
          </cell>
          <cell r="B13" t="str">
            <v>Girasol</v>
          </cell>
          <cell r="C13" t="str">
            <v>semillas</v>
          </cell>
          <cell r="D13" t="str">
            <v>kilo</v>
          </cell>
          <cell r="E13" t="str">
            <v>La garota</v>
          </cell>
          <cell r="F13">
            <v>2.2999999999999998</v>
          </cell>
        </row>
        <row r="14">
          <cell r="A14">
            <v>13</v>
          </cell>
          <cell r="B14" t="str">
            <v>Maní</v>
          </cell>
          <cell r="C14" t="str">
            <v>semillas</v>
          </cell>
          <cell r="D14" t="str">
            <v>kilo</v>
          </cell>
          <cell r="E14" t="str">
            <v>La garota</v>
          </cell>
          <cell r="F14">
            <v>2</v>
          </cell>
        </row>
        <row r="15">
          <cell r="A15">
            <v>14</v>
          </cell>
          <cell r="B15" t="str">
            <v>Durazno</v>
          </cell>
          <cell r="C15" t="str">
            <v>frutas</v>
          </cell>
          <cell r="D15" t="str">
            <v>kilo</v>
          </cell>
          <cell r="E15" t="str">
            <v>Luciana</v>
          </cell>
          <cell r="F15">
            <v>3.5</v>
          </cell>
        </row>
        <row r="16">
          <cell r="A16">
            <v>15</v>
          </cell>
          <cell r="B16" t="str">
            <v>Alpiste</v>
          </cell>
          <cell r="C16" t="str">
            <v>semillas</v>
          </cell>
          <cell r="D16" t="str">
            <v>kilo</v>
          </cell>
          <cell r="E16" t="str">
            <v>La siembra</v>
          </cell>
          <cell r="F16">
            <v>0.9</v>
          </cell>
        </row>
        <row r="17">
          <cell r="A17">
            <v>16</v>
          </cell>
          <cell r="B17" t="str">
            <v>Acelga</v>
          </cell>
          <cell r="C17" t="str">
            <v>verduras</v>
          </cell>
          <cell r="D17" t="str">
            <v>atado</v>
          </cell>
          <cell r="E17" t="str">
            <v>El ceibal</v>
          </cell>
          <cell r="F17">
            <v>0.6</v>
          </cell>
        </row>
        <row r="18">
          <cell r="A18">
            <v>17</v>
          </cell>
          <cell r="B18" t="str">
            <v>Zanahoria</v>
          </cell>
          <cell r="C18" t="str">
            <v>verduras</v>
          </cell>
          <cell r="D18" t="str">
            <v>kilo</v>
          </cell>
          <cell r="E18" t="str">
            <v>El ceibal</v>
          </cell>
          <cell r="F18">
            <v>1</v>
          </cell>
        </row>
        <row r="19">
          <cell r="A19">
            <v>18</v>
          </cell>
          <cell r="B19" t="str">
            <v>Espinaca</v>
          </cell>
          <cell r="C19" t="str">
            <v>verduras</v>
          </cell>
          <cell r="D19" t="str">
            <v>atado</v>
          </cell>
          <cell r="E19" t="str">
            <v>El ceibal</v>
          </cell>
          <cell r="F19">
            <v>0.9</v>
          </cell>
        </row>
        <row r="20">
          <cell r="A20">
            <v>19</v>
          </cell>
          <cell r="B20" t="str">
            <v>Naranja</v>
          </cell>
          <cell r="C20" t="str">
            <v>frutas</v>
          </cell>
          <cell r="D20" t="str">
            <v>kilo</v>
          </cell>
          <cell r="E20" t="str">
            <v>Litoral</v>
          </cell>
          <cell r="F20">
            <v>0.5</v>
          </cell>
        </row>
        <row r="21">
          <cell r="A21">
            <v>20</v>
          </cell>
          <cell r="B21" t="str">
            <v>Ajo</v>
          </cell>
          <cell r="C21" t="str">
            <v>verduras</v>
          </cell>
          <cell r="D21" t="str">
            <v>unidad</v>
          </cell>
          <cell r="E21" t="str">
            <v>Luciana</v>
          </cell>
          <cell r="F21">
            <v>2.4</v>
          </cell>
        </row>
        <row r="22">
          <cell r="A22">
            <v>21</v>
          </cell>
          <cell r="B22" t="str">
            <v>Tomate</v>
          </cell>
          <cell r="C22" t="str">
            <v>verduras</v>
          </cell>
          <cell r="D22" t="str">
            <v>kilo</v>
          </cell>
          <cell r="E22" t="str">
            <v>Primavera</v>
          </cell>
          <cell r="F22">
            <v>1.1000000000000001</v>
          </cell>
        </row>
        <row r="23">
          <cell r="A23">
            <v>22</v>
          </cell>
          <cell r="B23" t="str">
            <v>Zapallito</v>
          </cell>
          <cell r="C23" t="str">
            <v>verduras</v>
          </cell>
          <cell r="D23" t="str">
            <v>kilo</v>
          </cell>
          <cell r="E23" t="str">
            <v>La garota</v>
          </cell>
          <cell r="F23">
            <v>0.6</v>
          </cell>
        </row>
        <row r="24">
          <cell r="A24">
            <v>23</v>
          </cell>
          <cell r="B24" t="str">
            <v>Avena</v>
          </cell>
          <cell r="C24" t="str">
            <v>semillas</v>
          </cell>
          <cell r="D24" t="str">
            <v>kilo</v>
          </cell>
          <cell r="E24" t="str">
            <v>Luciana</v>
          </cell>
          <cell r="F24">
            <v>1</v>
          </cell>
        </row>
        <row r="25">
          <cell r="A25">
            <v>24</v>
          </cell>
          <cell r="B25" t="str">
            <v>Soya</v>
          </cell>
          <cell r="C25" t="str">
            <v>semillas</v>
          </cell>
          <cell r="D25" t="str">
            <v>kilo</v>
          </cell>
          <cell r="E25" t="str">
            <v>El canuto</v>
          </cell>
          <cell r="F25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D5A9-BE26-453B-B316-2808D222D8E6}">
  <dimension ref="B2:O23"/>
  <sheetViews>
    <sheetView zoomScale="90" zoomScaleNormal="90" workbookViewId="0">
      <selection activeCell="L7" sqref="L7"/>
    </sheetView>
  </sheetViews>
  <sheetFormatPr baseColWidth="10" defaultColWidth="10.77734375" defaultRowHeight="14.4" x14ac:dyDescent="0.3"/>
  <cols>
    <col min="2" max="2" width="13.77734375" customWidth="1"/>
    <col min="3" max="3" width="27.21875" bestFit="1" customWidth="1"/>
    <col min="4" max="4" width="12.44140625" customWidth="1"/>
    <col min="5" max="5" width="14.77734375" customWidth="1"/>
    <col min="6" max="6" width="13.77734375" customWidth="1"/>
    <col min="7" max="7" width="14.21875" customWidth="1"/>
  </cols>
  <sheetData>
    <row r="2" spans="2:15" x14ac:dyDescent="0.3">
      <c r="D2" s="83" t="s">
        <v>410</v>
      </c>
      <c r="E2" s="83"/>
      <c r="F2" s="83"/>
      <c r="G2" s="83"/>
      <c r="H2" s="83"/>
      <c r="I2" s="83"/>
      <c r="J2" s="83"/>
      <c r="K2" s="83"/>
      <c r="N2" s="52" t="s">
        <v>411</v>
      </c>
      <c r="O2" s="53">
        <v>0.18</v>
      </c>
    </row>
    <row r="7" spans="2:15" x14ac:dyDescent="0.3">
      <c r="B7" s="54"/>
      <c r="C7" s="54"/>
      <c r="D7" s="54"/>
      <c r="E7" s="54"/>
      <c r="F7" s="54"/>
      <c r="G7" s="54"/>
      <c r="H7" s="54"/>
    </row>
    <row r="8" spans="2:15" x14ac:dyDescent="0.3">
      <c r="B8" s="54"/>
      <c r="C8" s="55" t="s">
        <v>412</v>
      </c>
      <c r="D8" s="56">
        <v>1</v>
      </c>
      <c r="E8" s="56"/>
      <c r="F8" s="55" t="s">
        <v>413</v>
      </c>
      <c r="G8" s="57">
        <v>46248</v>
      </c>
      <c r="H8" s="161">
        <v>0.60069444444444442</v>
      </c>
    </row>
    <row r="9" spans="2:15" x14ac:dyDescent="0.3">
      <c r="B9" s="84" t="s">
        <v>414</v>
      </c>
      <c r="C9" s="84"/>
      <c r="D9" s="84"/>
      <c r="E9" s="84"/>
      <c r="F9" s="84"/>
      <c r="G9" s="84"/>
      <c r="H9" s="161">
        <v>0.6020833333333333</v>
      </c>
    </row>
    <row r="10" spans="2:15" x14ac:dyDescent="0.3">
      <c r="B10" s="55" t="s">
        <v>415</v>
      </c>
      <c r="C10" s="56" t="s">
        <v>485</v>
      </c>
      <c r="D10" s="55" t="s">
        <v>416</v>
      </c>
      <c r="E10" s="85"/>
      <c r="F10" s="85"/>
      <c r="G10" s="85"/>
      <c r="H10" s="54"/>
    </row>
    <row r="11" spans="2:15" x14ac:dyDescent="0.3">
      <c r="B11" s="55" t="s">
        <v>417</v>
      </c>
      <c r="C11" s="56"/>
      <c r="D11" s="55" t="s">
        <v>418</v>
      </c>
      <c r="E11" s="85">
        <v>3222250777</v>
      </c>
      <c r="F11" s="85"/>
      <c r="G11" s="85"/>
      <c r="H11" s="54"/>
    </row>
    <row r="12" spans="2:15" x14ac:dyDescent="0.3">
      <c r="B12" s="84" t="s">
        <v>419</v>
      </c>
      <c r="C12" s="84"/>
      <c r="D12" s="84"/>
      <c r="E12" s="84"/>
      <c r="F12" s="84"/>
      <c r="G12" s="84"/>
      <c r="H12" s="54"/>
    </row>
    <row r="13" spans="2:15" x14ac:dyDescent="0.3">
      <c r="B13" s="58" t="s">
        <v>420</v>
      </c>
      <c r="C13" s="82" t="s">
        <v>421</v>
      </c>
      <c r="D13" s="82"/>
      <c r="E13" s="58" t="s">
        <v>422</v>
      </c>
      <c r="F13" s="58" t="s">
        <v>423</v>
      </c>
      <c r="G13" s="58" t="s">
        <v>424</v>
      </c>
    </row>
    <row r="14" spans="2:15" x14ac:dyDescent="0.3">
      <c r="B14" s="56" t="s">
        <v>425</v>
      </c>
      <c r="C14" s="86" t="s">
        <v>426</v>
      </c>
      <c r="D14" s="86"/>
      <c r="E14" s="56">
        <v>1</v>
      </c>
      <c r="F14" s="59">
        <v>220</v>
      </c>
      <c r="G14" s="59">
        <f>PRODUCT(E14,F14)</f>
        <v>220</v>
      </c>
    </row>
    <row r="15" spans="2:15" x14ac:dyDescent="0.3">
      <c r="B15" s="56" t="s">
        <v>427</v>
      </c>
      <c r="C15" s="86" t="s">
        <v>428</v>
      </c>
      <c r="D15" s="86"/>
      <c r="E15" s="56">
        <v>2</v>
      </c>
      <c r="F15" s="59">
        <v>50</v>
      </c>
      <c r="G15" s="59">
        <f t="shared" ref="G15:G18" si="0">PRODUCT(E15,F15)</f>
        <v>100</v>
      </c>
    </row>
    <row r="16" spans="2:15" x14ac:dyDescent="0.3">
      <c r="B16" s="56" t="s">
        <v>429</v>
      </c>
      <c r="C16" s="86" t="s">
        <v>430</v>
      </c>
      <c r="D16" s="86"/>
      <c r="E16" s="56">
        <v>3</v>
      </c>
      <c r="F16" s="59">
        <v>10</v>
      </c>
      <c r="G16" s="59">
        <f t="shared" si="0"/>
        <v>30</v>
      </c>
    </row>
    <row r="17" spans="2:7" x14ac:dyDescent="0.3">
      <c r="B17" s="56" t="s">
        <v>431</v>
      </c>
      <c r="C17" s="86" t="s">
        <v>432</v>
      </c>
      <c r="D17" s="86"/>
      <c r="E17" s="56">
        <v>15</v>
      </c>
      <c r="F17" s="59">
        <v>185</v>
      </c>
      <c r="G17" s="59">
        <f t="shared" si="0"/>
        <v>2775</v>
      </c>
    </row>
    <row r="18" spans="2:7" x14ac:dyDescent="0.3">
      <c r="B18" s="56" t="s">
        <v>433</v>
      </c>
      <c r="C18" s="86" t="s">
        <v>434</v>
      </c>
      <c r="D18" s="86"/>
      <c r="E18" s="56">
        <v>4</v>
      </c>
      <c r="F18" s="59">
        <v>320</v>
      </c>
      <c r="G18" s="59">
        <f t="shared" si="0"/>
        <v>1280</v>
      </c>
    </row>
    <row r="19" spans="2:7" x14ac:dyDescent="0.3">
      <c r="B19" s="56"/>
      <c r="C19" s="86"/>
      <c r="D19" s="86"/>
      <c r="E19" s="56"/>
      <c r="F19" s="56"/>
      <c r="G19" s="56"/>
    </row>
    <row r="20" spans="2:7" x14ac:dyDescent="0.3">
      <c r="B20" s="56"/>
      <c r="C20" s="86"/>
      <c r="D20" s="86"/>
      <c r="E20" s="56"/>
      <c r="F20" s="56"/>
      <c r="G20" s="56"/>
    </row>
    <row r="21" spans="2:7" x14ac:dyDescent="0.3">
      <c r="B21" s="87"/>
      <c r="C21" s="87"/>
      <c r="D21" s="87"/>
      <c r="E21" s="88"/>
      <c r="F21" s="55" t="s">
        <v>191</v>
      </c>
      <c r="G21" s="59">
        <f>SUM(G14:G18)</f>
        <v>4405</v>
      </c>
    </row>
    <row r="22" spans="2:7" x14ac:dyDescent="0.3">
      <c r="B22" s="89"/>
      <c r="C22" s="89"/>
      <c r="D22" s="89"/>
      <c r="E22" s="90"/>
      <c r="F22" s="55" t="s">
        <v>411</v>
      </c>
      <c r="G22" s="59">
        <f>G21*$O$2</f>
        <v>792.9</v>
      </c>
    </row>
    <row r="23" spans="2:7" x14ac:dyDescent="0.3">
      <c r="B23" s="55" t="s">
        <v>435</v>
      </c>
      <c r="C23" s="85" t="s">
        <v>486</v>
      </c>
      <c r="D23" s="85"/>
      <c r="E23" s="85"/>
      <c r="F23" s="55" t="s">
        <v>424</v>
      </c>
      <c r="G23" s="59">
        <f>SUM(G21:G22)</f>
        <v>5197.8999999999996</v>
      </c>
    </row>
  </sheetData>
  <mergeCells count="15">
    <mergeCell ref="C20:D20"/>
    <mergeCell ref="B21:E22"/>
    <mergeCell ref="C23:E23"/>
    <mergeCell ref="C14:D14"/>
    <mergeCell ref="C15:D15"/>
    <mergeCell ref="C16:D16"/>
    <mergeCell ref="C17:D17"/>
    <mergeCell ref="C18:D18"/>
    <mergeCell ref="C19:D19"/>
    <mergeCell ref="C13:D13"/>
    <mergeCell ref="D2:K2"/>
    <mergeCell ref="B9:G9"/>
    <mergeCell ref="E10:G10"/>
    <mergeCell ref="E11:G11"/>
    <mergeCell ref="B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4569-3564-4E91-A8ED-7C330999F3E5}">
  <dimension ref="A4:H65"/>
  <sheetViews>
    <sheetView tabSelected="1" zoomScale="92" workbookViewId="0">
      <selection activeCell="G11" sqref="G11"/>
    </sheetView>
  </sheetViews>
  <sheetFormatPr baseColWidth="10" defaultRowHeight="14.4" x14ac:dyDescent="0.3"/>
  <cols>
    <col min="1" max="3" width="15.21875" customWidth="1"/>
    <col min="4" max="5" width="15.77734375" customWidth="1"/>
    <col min="7" max="7" width="14.5546875" bestFit="1" customWidth="1"/>
    <col min="11" max="11" width="16.44140625" customWidth="1"/>
  </cols>
  <sheetData>
    <row r="4" spans="1:8" ht="41.25" customHeight="1" x14ac:dyDescent="0.3"/>
    <row r="6" spans="1:8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G6" s="2" t="s">
        <v>5</v>
      </c>
      <c r="H6" s="3">
        <v>5.3999999999999999E-2</v>
      </c>
    </row>
    <row r="7" spans="1:8" x14ac:dyDescent="0.3">
      <c r="A7" t="s">
        <v>6</v>
      </c>
      <c r="B7" t="s">
        <v>7</v>
      </c>
      <c r="C7" s="4">
        <v>2970</v>
      </c>
      <c r="D7" s="5">
        <f>PRODUCT(C7,H6)</f>
        <v>160.38</v>
      </c>
      <c r="E7" s="5">
        <f>SUM(C7,D7)</f>
        <v>3130.38</v>
      </c>
    </row>
    <row r="8" spans="1:8" x14ac:dyDescent="0.3">
      <c r="A8" t="s">
        <v>8</v>
      </c>
      <c r="B8" t="s">
        <v>9</v>
      </c>
      <c r="C8" s="4">
        <v>5750</v>
      </c>
      <c r="D8" s="5">
        <f t="shared" ref="D8:D64" si="0">PRODUCT(C8,H7)</f>
        <v>5750</v>
      </c>
      <c r="E8" s="5">
        <f t="shared" ref="E8:E64" si="1">SUM(C8,D8)</f>
        <v>11500</v>
      </c>
    </row>
    <row r="9" spans="1:8" x14ac:dyDescent="0.3">
      <c r="A9" t="s">
        <v>10</v>
      </c>
      <c r="B9" t="s">
        <v>11</v>
      </c>
      <c r="C9" s="4">
        <v>4170</v>
      </c>
      <c r="D9" s="5">
        <f t="shared" si="0"/>
        <v>4170</v>
      </c>
      <c r="E9" s="5">
        <f t="shared" si="1"/>
        <v>8340</v>
      </c>
    </row>
    <row r="10" spans="1:8" x14ac:dyDescent="0.3">
      <c r="A10" t="s">
        <v>12</v>
      </c>
      <c r="B10" t="s">
        <v>13</v>
      </c>
      <c r="C10" s="4">
        <v>3630</v>
      </c>
      <c r="D10" s="5">
        <f t="shared" si="0"/>
        <v>3630</v>
      </c>
      <c r="E10" s="5">
        <f t="shared" si="1"/>
        <v>7260</v>
      </c>
    </row>
    <row r="11" spans="1:8" x14ac:dyDescent="0.3">
      <c r="A11" t="s">
        <v>14</v>
      </c>
      <c r="B11" t="s">
        <v>15</v>
      </c>
      <c r="C11" s="4">
        <v>4810</v>
      </c>
      <c r="D11" s="5">
        <f t="shared" si="0"/>
        <v>4810</v>
      </c>
      <c r="E11" s="5">
        <f t="shared" si="1"/>
        <v>9620</v>
      </c>
    </row>
    <row r="12" spans="1:8" x14ac:dyDescent="0.3">
      <c r="A12" t="s">
        <v>16</v>
      </c>
      <c r="B12" t="s">
        <v>17</v>
      </c>
      <c r="C12" s="4">
        <v>5040</v>
      </c>
      <c r="D12" s="5">
        <f t="shared" si="0"/>
        <v>5040</v>
      </c>
      <c r="E12" s="5">
        <f t="shared" si="1"/>
        <v>10080</v>
      </c>
    </row>
    <row r="13" spans="1:8" x14ac:dyDescent="0.3">
      <c r="A13" t="s">
        <v>18</v>
      </c>
      <c r="B13" t="s">
        <v>19</v>
      </c>
      <c r="C13" s="4">
        <v>3120</v>
      </c>
      <c r="D13" s="5">
        <f t="shared" si="0"/>
        <v>3120</v>
      </c>
      <c r="E13" s="5">
        <f t="shared" si="1"/>
        <v>6240</v>
      </c>
    </row>
    <row r="14" spans="1:8" x14ac:dyDescent="0.3">
      <c r="A14" t="s">
        <v>20</v>
      </c>
      <c r="B14" t="s">
        <v>21</v>
      </c>
      <c r="C14" s="4">
        <v>5620</v>
      </c>
      <c r="D14" s="5">
        <f t="shared" si="0"/>
        <v>5620</v>
      </c>
      <c r="E14" s="5">
        <f t="shared" si="1"/>
        <v>11240</v>
      </c>
    </row>
    <row r="15" spans="1:8" x14ac:dyDescent="0.3">
      <c r="A15" t="s">
        <v>22</v>
      </c>
      <c r="B15" t="s">
        <v>23</v>
      </c>
      <c r="C15" s="4">
        <v>3870</v>
      </c>
      <c r="D15" s="5">
        <f t="shared" si="0"/>
        <v>3870</v>
      </c>
      <c r="E15" s="5">
        <f t="shared" si="1"/>
        <v>7740</v>
      </c>
    </row>
    <row r="16" spans="1:8" x14ac:dyDescent="0.3">
      <c r="A16" t="s">
        <v>24</v>
      </c>
      <c r="B16" t="s">
        <v>25</v>
      </c>
      <c r="C16" s="4">
        <v>2290</v>
      </c>
      <c r="D16" s="5">
        <f t="shared" si="0"/>
        <v>2290</v>
      </c>
      <c r="E16" s="5">
        <f t="shared" si="1"/>
        <v>4580</v>
      </c>
    </row>
    <row r="17" spans="1:5" x14ac:dyDescent="0.3">
      <c r="A17" t="s">
        <v>26</v>
      </c>
      <c r="B17" t="s">
        <v>27</v>
      </c>
      <c r="C17" s="4">
        <v>3200</v>
      </c>
      <c r="D17" s="5">
        <f t="shared" si="0"/>
        <v>3200</v>
      </c>
      <c r="E17" s="5">
        <f t="shared" si="1"/>
        <v>6400</v>
      </c>
    </row>
    <row r="18" spans="1:5" x14ac:dyDescent="0.3">
      <c r="A18" t="s">
        <v>28</v>
      </c>
      <c r="B18" t="s">
        <v>29</v>
      </c>
      <c r="C18" s="4">
        <v>3880</v>
      </c>
      <c r="D18" s="5">
        <f t="shared" si="0"/>
        <v>3880</v>
      </c>
      <c r="E18" s="5">
        <f t="shared" si="1"/>
        <v>7760</v>
      </c>
    </row>
    <row r="19" spans="1:5" x14ac:dyDescent="0.3">
      <c r="A19" t="s">
        <v>30</v>
      </c>
      <c r="B19" t="s">
        <v>31</v>
      </c>
      <c r="C19" s="4">
        <v>2560</v>
      </c>
      <c r="D19" s="5">
        <f t="shared" si="0"/>
        <v>2560</v>
      </c>
      <c r="E19" s="5">
        <f t="shared" si="1"/>
        <v>5120</v>
      </c>
    </row>
    <row r="20" spans="1:5" x14ac:dyDescent="0.3">
      <c r="A20" t="s">
        <v>32</v>
      </c>
      <c r="B20" t="s">
        <v>33</v>
      </c>
      <c r="C20" s="4">
        <v>3110</v>
      </c>
      <c r="D20" s="5">
        <f t="shared" si="0"/>
        <v>3110</v>
      </c>
      <c r="E20" s="5">
        <f t="shared" si="1"/>
        <v>6220</v>
      </c>
    </row>
    <row r="21" spans="1:5" x14ac:dyDescent="0.3">
      <c r="A21" t="s">
        <v>34</v>
      </c>
      <c r="B21" t="s">
        <v>35</v>
      </c>
      <c r="C21" s="4">
        <v>4990</v>
      </c>
      <c r="D21" s="5">
        <f t="shared" si="0"/>
        <v>4990</v>
      </c>
      <c r="E21" s="5">
        <f t="shared" si="1"/>
        <v>9980</v>
      </c>
    </row>
    <row r="22" spans="1:5" x14ac:dyDescent="0.3">
      <c r="A22" t="s">
        <v>36</v>
      </c>
      <c r="B22" t="s">
        <v>37</v>
      </c>
      <c r="C22" s="4">
        <v>5260</v>
      </c>
      <c r="D22" s="5">
        <f t="shared" si="0"/>
        <v>5260</v>
      </c>
      <c r="E22" s="5">
        <f t="shared" si="1"/>
        <v>10520</v>
      </c>
    </row>
    <row r="23" spans="1:5" x14ac:dyDescent="0.3">
      <c r="A23" t="s">
        <v>38</v>
      </c>
      <c r="B23" t="s">
        <v>39</v>
      </c>
      <c r="C23" s="4">
        <v>5110</v>
      </c>
      <c r="D23" s="5">
        <f t="shared" si="0"/>
        <v>5110</v>
      </c>
      <c r="E23" s="5">
        <f t="shared" si="1"/>
        <v>10220</v>
      </c>
    </row>
    <row r="24" spans="1:5" x14ac:dyDescent="0.3">
      <c r="A24" t="s">
        <v>40</v>
      </c>
      <c r="B24" t="s">
        <v>41</v>
      </c>
      <c r="C24" s="4">
        <v>2400</v>
      </c>
      <c r="D24" s="5">
        <f t="shared" si="0"/>
        <v>2400</v>
      </c>
      <c r="E24" s="5">
        <f t="shared" si="1"/>
        <v>4800</v>
      </c>
    </row>
    <row r="25" spans="1:5" x14ac:dyDescent="0.3">
      <c r="A25" t="s">
        <v>42</v>
      </c>
      <c r="B25" t="s">
        <v>43</v>
      </c>
      <c r="C25" s="4">
        <v>4960</v>
      </c>
      <c r="D25" s="5">
        <f t="shared" si="0"/>
        <v>4960</v>
      </c>
      <c r="E25" s="5">
        <f t="shared" si="1"/>
        <v>9920</v>
      </c>
    </row>
    <row r="26" spans="1:5" x14ac:dyDescent="0.3">
      <c r="A26" t="s">
        <v>44</v>
      </c>
      <c r="B26" t="s">
        <v>45</v>
      </c>
      <c r="C26" s="4">
        <v>2470</v>
      </c>
      <c r="D26" s="5">
        <f t="shared" si="0"/>
        <v>2470</v>
      </c>
      <c r="E26" s="5">
        <f t="shared" si="1"/>
        <v>4940</v>
      </c>
    </row>
    <row r="27" spans="1:5" x14ac:dyDescent="0.3">
      <c r="A27" t="s">
        <v>46</v>
      </c>
      <c r="B27" t="s">
        <v>47</v>
      </c>
      <c r="C27" s="4">
        <v>5170</v>
      </c>
      <c r="D27" s="5">
        <f t="shared" si="0"/>
        <v>5170</v>
      </c>
      <c r="E27" s="5">
        <f t="shared" si="1"/>
        <v>10340</v>
      </c>
    </row>
    <row r="28" spans="1:5" x14ac:dyDescent="0.3">
      <c r="A28" t="s">
        <v>48</v>
      </c>
      <c r="B28" t="s">
        <v>49</v>
      </c>
      <c r="C28" s="4">
        <v>5960</v>
      </c>
      <c r="D28" s="5">
        <f t="shared" si="0"/>
        <v>5960</v>
      </c>
      <c r="E28" s="5">
        <f t="shared" si="1"/>
        <v>11920</v>
      </c>
    </row>
    <row r="29" spans="1:5" x14ac:dyDescent="0.3">
      <c r="A29" t="s">
        <v>50</v>
      </c>
      <c r="B29" t="s">
        <v>51</v>
      </c>
      <c r="C29" s="4">
        <v>2550</v>
      </c>
      <c r="D29" s="5">
        <f t="shared" si="0"/>
        <v>2550</v>
      </c>
      <c r="E29" s="5">
        <f t="shared" si="1"/>
        <v>5100</v>
      </c>
    </row>
    <row r="30" spans="1:5" x14ac:dyDescent="0.3">
      <c r="A30" t="s">
        <v>52</v>
      </c>
      <c r="B30" t="s">
        <v>53</v>
      </c>
      <c r="C30" s="4">
        <v>2790</v>
      </c>
      <c r="D30" s="5">
        <f t="shared" si="0"/>
        <v>2790</v>
      </c>
      <c r="E30" s="5">
        <f t="shared" si="1"/>
        <v>5580</v>
      </c>
    </row>
    <row r="31" spans="1:5" x14ac:dyDescent="0.3">
      <c r="A31" t="s">
        <v>36</v>
      </c>
      <c r="B31" t="s">
        <v>54</v>
      </c>
      <c r="C31" s="4">
        <v>5030</v>
      </c>
      <c r="D31" s="5">
        <f t="shared" si="0"/>
        <v>5030</v>
      </c>
      <c r="E31" s="5">
        <f t="shared" si="1"/>
        <v>10060</v>
      </c>
    </row>
    <row r="32" spans="1:5" x14ac:dyDescent="0.3">
      <c r="A32" t="s">
        <v>55</v>
      </c>
      <c r="B32" t="s">
        <v>56</v>
      </c>
      <c r="C32" s="4">
        <v>2530</v>
      </c>
      <c r="D32" s="5">
        <f t="shared" si="0"/>
        <v>2530</v>
      </c>
      <c r="E32" s="5">
        <f t="shared" si="1"/>
        <v>5060</v>
      </c>
    </row>
    <row r="33" spans="1:5" x14ac:dyDescent="0.3">
      <c r="A33" t="s">
        <v>57</v>
      </c>
      <c r="B33" t="s">
        <v>58</v>
      </c>
      <c r="C33" s="4">
        <v>2300</v>
      </c>
      <c r="D33" s="5">
        <f t="shared" si="0"/>
        <v>2300</v>
      </c>
      <c r="E33" s="5">
        <f t="shared" si="1"/>
        <v>4600</v>
      </c>
    </row>
    <row r="34" spans="1:5" x14ac:dyDescent="0.3">
      <c r="A34" t="s">
        <v>59</v>
      </c>
      <c r="B34" t="s">
        <v>60</v>
      </c>
      <c r="C34" s="4">
        <v>4770</v>
      </c>
      <c r="D34" s="5">
        <f t="shared" si="0"/>
        <v>4770</v>
      </c>
      <c r="E34" s="5">
        <f t="shared" si="1"/>
        <v>9540</v>
      </c>
    </row>
    <row r="35" spans="1:5" x14ac:dyDescent="0.3">
      <c r="A35" t="s">
        <v>61</v>
      </c>
      <c r="B35" t="s">
        <v>62</v>
      </c>
      <c r="C35" s="4">
        <v>3420</v>
      </c>
      <c r="D35" s="5">
        <f t="shared" si="0"/>
        <v>3420</v>
      </c>
      <c r="E35" s="5">
        <f t="shared" si="1"/>
        <v>6840</v>
      </c>
    </row>
    <row r="36" spans="1:5" x14ac:dyDescent="0.3">
      <c r="A36" t="s">
        <v>63</v>
      </c>
      <c r="B36" t="s">
        <v>7</v>
      </c>
      <c r="C36" s="4">
        <v>5280</v>
      </c>
      <c r="D36" s="5">
        <f t="shared" si="0"/>
        <v>5280</v>
      </c>
      <c r="E36" s="5">
        <f t="shared" si="1"/>
        <v>10560</v>
      </c>
    </row>
    <row r="37" spans="1:5" x14ac:dyDescent="0.3">
      <c r="A37" t="s">
        <v>64</v>
      </c>
      <c r="B37" t="s">
        <v>65</v>
      </c>
      <c r="C37" s="4">
        <v>4930</v>
      </c>
      <c r="D37" s="5">
        <f t="shared" si="0"/>
        <v>4930</v>
      </c>
      <c r="E37" s="5">
        <f t="shared" si="1"/>
        <v>9860</v>
      </c>
    </row>
    <row r="38" spans="1:5" x14ac:dyDescent="0.3">
      <c r="A38" t="s">
        <v>66</v>
      </c>
      <c r="B38" t="s">
        <v>67</v>
      </c>
      <c r="C38" s="4">
        <v>2490</v>
      </c>
      <c r="D38" s="5">
        <f t="shared" si="0"/>
        <v>2490</v>
      </c>
      <c r="E38" s="5">
        <f t="shared" si="1"/>
        <v>4980</v>
      </c>
    </row>
    <row r="39" spans="1:5" x14ac:dyDescent="0.3">
      <c r="A39" t="s">
        <v>68</v>
      </c>
      <c r="B39" t="s">
        <v>69</v>
      </c>
      <c r="C39" s="4">
        <v>2580</v>
      </c>
      <c r="D39" s="5">
        <f t="shared" si="0"/>
        <v>2580</v>
      </c>
      <c r="E39" s="5">
        <f t="shared" si="1"/>
        <v>5160</v>
      </c>
    </row>
    <row r="40" spans="1:5" x14ac:dyDescent="0.3">
      <c r="A40" t="s">
        <v>70</v>
      </c>
      <c r="B40" t="s">
        <v>71</v>
      </c>
      <c r="C40" s="4">
        <v>5340</v>
      </c>
      <c r="D40" s="5">
        <f t="shared" si="0"/>
        <v>5340</v>
      </c>
      <c r="E40" s="5">
        <f t="shared" si="1"/>
        <v>10680</v>
      </c>
    </row>
    <row r="41" spans="1:5" x14ac:dyDescent="0.3">
      <c r="A41" t="s">
        <v>72</v>
      </c>
      <c r="B41" t="s">
        <v>73</v>
      </c>
      <c r="C41" s="4">
        <v>3710</v>
      </c>
      <c r="D41" s="5">
        <f t="shared" si="0"/>
        <v>3710</v>
      </c>
      <c r="E41" s="5">
        <f t="shared" si="1"/>
        <v>7420</v>
      </c>
    </row>
    <row r="42" spans="1:5" x14ac:dyDescent="0.3">
      <c r="A42" t="s">
        <v>74</v>
      </c>
      <c r="B42" t="s">
        <v>75</v>
      </c>
      <c r="C42" s="4">
        <v>3420</v>
      </c>
      <c r="D42" s="5">
        <f t="shared" si="0"/>
        <v>3420</v>
      </c>
      <c r="E42" s="5">
        <f t="shared" si="1"/>
        <v>6840</v>
      </c>
    </row>
    <row r="43" spans="1:5" x14ac:dyDescent="0.3">
      <c r="A43" t="s">
        <v>52</v>
      </c>
      <c r="B43" t="s">
        <v>31</v>
      </c>
      <c r="C43" s="4">
        <v>2780</v>
      </c>
      <c r="D43" s="5">
        <f t="shared" si="0"/>
        <v>2780</v>
      </c>
      <c r="E43" s="5">
        <f t="shared" si="1"/>
        <v>5560</v>
      </c>
    </row>
    <row r="44" spans="1:5" x14ac:dyDescent="0.3">
      <c r="A44" t="s">
        <v>76</v>
      </c>
      <c r="B44" t="s">
        <v>77</v>
      </c>
      <c r="C44" s="4">
        <v>2750</v>
      </c>
      <c r="D44" s="5">
        <f t="shared" si="0"/>
        <v>2750</v>
      </c>
      <c r="E44" s="5">
        <f t="shared" si="1"/>
        <v>5500</v>
      </c>
    </row>
    <row r="45" spans="1:5" x14ac:dyDescent="0.3">
      <c r="A45" t="s">
        <v>78</v>
      </c>
      <c r="B45" t="s">
        <v>79</v>
      </c>
      <c r="C45" s="4">
        <v>4070</v>
      </c>
      <c r="D45" s="5">
        <f t="shared" si="0"/>
        <v>4070</v>
      </c>
      <c r="E45" s="5">
        <f t="shared" si="1"/>
        <v>8140</v>
      </c>
    </row>
    <row r="46" spans="1:5" x14ac:dyDescent="0.3">
      <c r="A46" t="s">
        <v>80</v>
      </c>
      <c r="B46" t="s">
        <v>81</v>
      </c>
      <c r="C46" s="4">
        <v>5280</v>
      </c>
      <c r="D46" s="5">
        <f t="shared" si="0"/>
        <v>5280</v>
      </c>
      <c r="E46" s="5">
        <f t="shared" si="1"/>
        <v>10560</v>
      </c>
    </row>
    <row r="47" spans="1:5" x14ac:dyDescent="0.3">
      <c r="A47" t="s">
        <v>82</v>
      </c>
      <c r="B47" t="s">
        <v>7</v>
      </c>
      <c r="C47" s="4">
        <v>4410</v>
      </c>
      <c r="D47" s="5">
        <f t="shared" si="0"/>
        <v>4410</v>
      </c>
      <c r="E47" s="5">
        <f t="shared" si="1"/>
        <v>8820</v>
      </c>
    </row>
    <row r="48" spans="1:5" x14ac:dyDescent="0.3">
      <c r="A48" t="s">
        <v>83</v>
      </c>
      <c r="B48" t="s">
        <v>84</v>
      </c>
      <c r="C48" s="4">
        <v>2070</v>
      </c>
      <c r="D48" s="5">
        <f t="shared" si="0"/>
        <v>2070</v>
      </c>
      <c r="E48" s="5">
        <f t="shared" si="1"/>
        <v>4140</v>
      </c>
    </row>
    <row r="49" spans="1:5" x14ac:dyDescent="0.3">
      <c r="A49" t="s">
        <v>85</v>
      </c>
      <c r="B49" t="s">
        <v>86</v>
      </c>
      <c r="C49" s="4">
        <v>5360</v>
      </c>
      <c r="D49" s="5">
        <f t="shared" si="0"/>
        <v>5360</v>
      </c>
      <c r="E49" s="5">
        <f t="shared" si="1"/>
        <v>10720</v>
      </c>
    </row>
    <row r="50" spans="1:5" x14ac:dyDescent="0.3">
      <c r="A50" t="s">
        <v>87</v>
      </c>
      <c r="B50" t="s">
        <v>33</v>
      </c>
      <c r="C50" s="4">
        <v>4670</v>
      </c>
      <c r="D50" s="5">
        <f t="shared" si="0"/>
        <v>4670</v>
      </c>
      <c r="E50" s="5">
        <f t="shared" si="1"/>
        <v>9340</v>
      </c>
    </row>
    <row r="51" spans="1:5" x14ac:dyDescent="0.3">
      <c r="A51" t="s">
        <v>88</v>
      </c>
      <c r="B51" t="s">
        <v>89</v>
      </c>
      <c r="C51" s="4">
        <v>4660</v>
      </c>
      <c r="D51" s="5">
        <f t="shared" si="0"/>
        <v>4660</v>
      </c>
      <c r="E51" s="5">
        <f t="shared" si="1"/>
        <v>9320</v>
      </c>
    </row>
    <row r="52" spans="1:5" x14ac:dyDescent="0.3">
      <c r="A52" t="s">
        <v>90</v>
      </c>
      <c r="B52" t="s">
        <v>91</v>
      </c>
      <c r="C52" s="4">
        <v>3140</v>
      </c>
      <c r="D52" s="5">
        <f t="shared" si="0"/>
        <v>3140</v>
      </c>
      <c r="E52" s="5">
        <f t="shared" si="1"/>
        <v>6280</v>
      </c>
    </row>
    <row r="53" spans="1:5" x14ac:dyDescent="0.3">
      <c r="A53" t="s">
        <v>92</v>
      </c>
      <c r="B53" t="s">
        <v>93</v>
      </c>
      <c r="C53" s="4">
        <v>4700</v>
      </c>
      <c r="D53" s="5">
        <f t="shared" si="0"/>
        <v>4700</v>
      </c>
      <c r="E53" s="5">
        <f t="shared" si="1"/>
        <v>9400</v>
      </c>
    </row>
    <row r="54" spans="1:5" x14ac:dyDescent="0.3">
      <c r="A54" t="s">
        <v>94</v>
      </c>
      <c r="B54" t="s">
        <v>95</v>
      </c>
      <c r="C54" s="4">
        <v>4450</v>
      </c>
      <c r="D54" s="5">
        <f t="shared" si="0"/>
        <v>4450</v>
      </c>
      <c r="E54" s="5">
        <f t="shared" si="1"/>
        <v>8900</v>
      </c>
    </row>
    <row r="55" spans="1:5" x14ac:dyDescent="0.3">
      <c r="A55" t="s">
        <v>96</v>
      </c>
      <c r="B55" t="s">
        <v>97</v>
      </c>
      <c r="C55" s="4">
        <v>2290</v>
      </c>
      <c r="D55" s="5">
        <f t="shared" si="0"/>
        <v>2290</v>
      </c>
      <c r="E55" s="5">
        <f t="shared" si="1"/>
        <v>4580</v>
      </c>
    </row>
    <row r="56" spans="1:5" x14ac:dyDescent="0.3">
      <c r="A56" t="s">
        <v>98</v>
      </c>
      <c r="B56" t="s">
        <v>99</v>
      </c>
      <c r="C56" s="4">
        <v>2360</v>
      </c>
      <c r="D56" s="5">
        <f t="shared" si="0"/>
        <v>2360</v>
      </c>
      <c r="E56" s="5">
        <f t="shared" si="1"/>
        <v>4720</v>
      </c>
    </row>
    <row r="57" spans="1:5" x14ac:dyDescent="0.3">
      <c r="A57" t="s">
        <v>100</v>
      </c>
      <c r="B57" t="s">
        <v>101</v>
      </c>
      <c r="C57" s="4">
        <v>2960</v>
      </c>
      <c r="D57" s="5">
        <f t="shared" si="0"/>
        <v>2960</v>
      </c>
      <c r="E57" s="5">
        <f t="shared" si="1"/>
        <v>5920</v>
      </c>
    </row>
    <row r="58" spans="1:5" x14ac:dyDescent="0.3">
      <c r="A58" t="s">
        <v>102</v>
      </c>
      <c r="B58" t="s">
        <v>103</v>
      </c>
      <c r="C58" s="4">
        <v>4370</v>
      </c>
      <c r="D58" s="5">
        <f t="shared" si="0"/>
        <v>4370</v>
      </c>
      <c r="E58" s="5">
        <f t="shared" si="1"/>
        <v>8740</v>
      </c>
    </row>
    <row r="59" spans="1:5" x14ac:dyDescent="0.3">
      <c r="A59" t="s">
        <v>104</v>
      </c>
      <c r="B59" t="s">
        <v>105</v>
      </c>
      <c r="C59" s="4">
        <v>4840</v>
      </c>
      <c r="D59" s="5">
        <f t="shared" si="0"/>
        <v>4840</v>
      </c>
      <c r="E59" s="5">
        <f t="shared" si="1"/>
        <v>9680</v>
      </c>
    </row>
    <row r="60" spans="1:5" x14ac:dyDescent="0.3">
      <c r="A60" t="s">
        <v>106</v>
      </c>
      <c r="B60" t="s">
        <v>107</v>
      </c>
      <c r="C60" s="4">
        <v>2900</v>
      </c>
      <c r="D60" s="5">
        <f t="shared" si="0"/>
        <v>2900</v>
      </c>
      <c r="E60" s="5">
        <f t="shared" si="1"/>
        <v>5800</v>
      </c>
    </row>
    <row r="61" spans="1:5" x14ac:dyDescent="0.3">
      <c r="A61" t="s">
        <v>108</v>
      </c>
      <c r="B61" t="s">
        <v>109</v>
      </c>
      <c r="C61" s="4">
        <v>3030</v>
      </c>
      <c r="D61" s="5">
        <f t="shared" si="0"/>
        <v>3030</v>
      </c>
      <c r="E61" s="5">
        <f t="shared" si="1"/>
        <v>6060</v>
      </c>
    </row>
    <row r="62" spans="1:5" x14ac:dyDescent="0.3">
      <c r="A62" t="s">
        <v>110</v>
      </c>
      <c r="B62" t="s">
        <v>111</v>
      </c>
      <c r="C62" s="4">
        <v>4900</v>
      </c>
      <c r="D62" s="5">
        <f t="shared" si="0"/>
        <v>4900</v>
      </c>
      <c r="E62" s="5">
        <f t="shared" si="1"/>
        <v>9800</v>
      </c>
    </row>
    <row r="63" spans="1:5" x14ac:dyDescent="0.3">
      <c r="A63" t="s">
        <v>112</v>
      </c>
      <c r="B63" t="s">
        <v>113</v>
      </c>
      <c r="C63" s="4">
        <v>2300</v>
      </c>
      <c r="D63" s="5">
        <f t="shared" si="0"/>
        <v>2300</v>
      </c>
      <c r="E63" s="5">
        <f t="shared" si="1"/>
        <v>4600</v>
      </c>
    </row>
    <row r="64" spans="1:5" x14ac:dyDescent="0.3">
      <c r="A64" t="s">
        <v>32</v>
      </c>
      <c r="B64" t="s">
        <v>114</v>
      </c>
      <c r="C64" s="4">
        <v>4220</v>
      </c>
      <c r="D64" s="5">
        <f t="shared" si="0"/>
        <v>4220</v>
      </c>
      <c r="E64" s="5">
        <f t="shared" si="1"/>
        <v>8440</v>
      </c>
    </row>
    <row r="65" spans="5:5" x14ac:dyDescent="0.3">
      <c r="E65" s="5">
        <f>SUM(E7:E64)</f>
        <v>445170.38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67E0-466B-4697-A545-D646C2F5D235}">
  <dimension ref="B2:P64"/>
  <sheetViews>
    <sheetView topLeftCell="A44" workbookViewId="0">
      <selection activeCell="Q11" sqref="Q11"/>
    </sheetView>
  </sheetViews>
  <sheetFormatPr baseColWidth="10" defaultRowHeight="14.4" x14ac:dyDescent="0.3"/>
  <cols>
    <col min="5" max="5" width="13" bestFit="1" customWidth="1"/>
  </cols>
  <sheetData>
    <row r="2" spans="2:16" x14ac:dyDescent="0.3">
      <c r="B2" s="91" t="s">
        <v>158</v>
      </c>
      <c r="C2" s="91"/>
      <c r="D2" s="91"/>
      <c r="E2" s="91"/>
    </row>
    <row r="3" spans="2:16" ht="15" thickBot="1" x14ac:dyDescent="0.35"/>
    <row r="4" spans="2:16" ht="16.2" thickBot="1" x14ac:dyDescent="0.35">
      <c r="B4" s="92" t="s">
        <v>0</v>
      </c>
      <c r="C4" s="93"/>
      <c r="D4" s="94"/>
      <c r="E4" s="92" t="s">
        <v>136</v>
      </c>
      <c r="F4" s="94"/>
      <c r="G4" s="21" t="s">
        <v>159</v>
      </c>
      <c r="H4" s="21" t="s">
        <v>160</v>
      </c>
      <c r="I4" s="92" t="s">
        <v>137</v>
      </c>
      <c r="J4" s="94"/>
      <c r="K4" s="21" t="s">
        <v>161</v>
      </c>
      <c r="L4" s="21" t="s">
        <v>160</v>
      </c>
      <c r="M4" s="21" t="s">
        <v>138</v>
      </c>
      <c r="N4" s="21" t="s">
        <v>162</v>
      </c>
      <c r="O4" s="21" t="s">
        <v>160</v>
      </c>
      <c r="P4" s="21" t="s">
        <v>139</v>
      </c>
    </row>
    <row r="5" spans="2:16" ht="15" thickBot="1" x14ac:dyDescent="0.35">
      <c r="B5" s="95" t="s">
        <v>140</v>
      </c>
      <c r="C5" s="96"/>
      <c r="D5" s="97"/>
      <c r="E5" s="98">
        <v>4.5</v>
      </c>
      <c r="F5" s="99"/>
      <c r="G5" s="100">
        <v>0.3</v>
      </c>
      <c r="H5" s="19">
        <f>E5*$G$5</f>
        <v>1.3499999999999999</v>
      </c>
      <c r="I5" s="98">
        <v>3.2</v>
      </c>
      <c r="J5" s="99"/>
      <c r="K5" s="103">
        <v>0.4</v>
      </c>
      <c r="L5" s="19">
        <f>I5*$K$5</f>
        <v>1.2800000000000002</v>
      </c>
      <c r="M5" s="19">
        <v>3.8</v>
      </c>
      <c r="N5" s="103">
        <v>0.3</v>
      </c>
      <c r="O5" s="19">
        <f>L5*$N$5</f>
        <v>0.38400000000000006</v>
      </c>
      <c r="P5" s="168">
        <f>SUM(H5,L5,O5)</f>
        <v>3.0139999999999998</v>
      </c>
    </row>
    <row r="6" spans="2:16" ht="15" thickBot="1" x14ac:dyDescent="0.35">
      <c r="B6" s="95" t="s">
        <v>142</v>
      </c>
      <c r="C6" s="96"/>
      <c r="D6" s="97"/>
      <c r="E6" s="98">
        <v>4</v>
      </c>
      <c r="F6" s="99"/>
      <c r="G6" s="101"/>
      <c r="H6" s="19">
        <f t="shared" ref="H6:H19" si="0">E6*$G$5</f>
        <v>1.2</v>
      </c>
      <c r="I6" s="98">
        <v>4.2</v>
      </c>
      <c r="J6" s="99"/>
      <c r="K6" s="104"/>
      <c r="L6" s="19">
        <f t="shared" ref="L6:L19" si="1">I6*$K$5</f>
        <v>1.6800000000000002</v>
      </c>
      <c r="M6" s="19">
        <v>5</v>
      </c>
      <c r="N6" s="104"/>
      <c r="O6" s="19">
        <f t="shared" ref="O6:O19" si="2">L6*$N$5</f>
        <v>0.504</v>
      </c>
      <c r="P6" s="168">
        <f t="shared" ref="P6:P19" si="3">SUM(H6,L6,O6)</f>
        <v>3.3839999999999999</v>
      </c>
    </row>
    <row r="7" spans="2:16" ht="15" thickBot="1" x14ac:dyDescent="0.35">
      <c r="B7" s="95" t="s">
        <v>143</v>
      </c>
      <c r="C7" s="96"/>
      <c r="D7" s="97"/>
      <c r="E7" s="98">
        <v>3.5</v>
      </c>
      <c r="F7" s="99"/>
      <c r="G7" s="101"/>
      <c r="H7" s="19">
        <f t="shared" si="0"/>
        <v>1.05</v>
      </c>
      <c r="I7" s="98">
        <v>4.4000000000000004</v>
      </c>
      <c r="J7" s="99"/>
      <c r="K7" s="104"/>
      <c r="L7" s="19">
        <f t="shared" si="1"/>
        <v>1.7600000000000002</v>
      </c>
      <c r="M7" s="19">
        <v>3.2</v>
      </c>
      <c r="N7" s="104"/>
      <c r="O7" s="19">
        <f t="shared" si="2"/>
        <v>0.52800000000000002</v>
      </c>
      <c r="P7" s="168">
        <f t="shared" si="3"/>
        <v>3.3380000000000005</v>
      </c>
    </row>
    <row r="8" spans="2:16" ht="15" thickBot="1" x14ac:dyDescent="0.35">
      <c r="B8" s="95" t="s">
        <v>144</v>
      </c>
      <c r="C8" s="96"/>
      <c r="D8" s="97"/>
      <c r="E8" s="98">
        <v>4</v>
      </c>
      <c r="F8" s="99"/>
      <c r="G8" s="101"/>
      <c r="H8" s="19">
        <f t="shared" si="0"/>
        <v>1.2</v>
      </c>
      <c r="I8" s="98">
        <v>4.2</v>
      </c>
      <c r="J8" s="99"/>
      <c r="K8" s="104"/>
      <c r="L8" s="19">
        <f t="shared" si="1"/>
        <v>1.6800000000000002</v>
      </c>
      <c r="M8" s="19">
        <v>5</v>
      </c>
      <c r="N8" s="104"/>
      <c r="O8" s="19">
        <f t="shared" si="2"/>
        <v>0.504</v>
      </c>
      <c r="P8" s="168">
        <f t="shared" si="3"/>
        <v>3.3839999999999999</v>
      </c>
    </row>
    <row r="9" spans="2:16" ht="15" thickBot="1" x14ac:dyDescent="0.35">
      <c r="B9" s="95" t="s">
        <v>145</v>
      </c>
      <c r="C9" s="96"/>
      <c r="D9" s="97"/>
      <c r="E9" s="98">
        <v>3.8</v>
      </c>
      <c r="F9" s="99"/>
      <c r="G9" s="101"/>
      <c r="H9" s="19">
        <f t="shared" si="0"/>
        <v>1.1399999999999999</v>
      </c>
      <c r="I9" s="98">
        <v>4.0999999999999996</v>
      </c>
      <c r="J9" s="99"/>
      <c r="K9" s="104"/>
      <c r="L9" s="19">
        <f t="shared" si="1"/>
        <v>1.64</v>
      </c>
      <c r="M9" s="19">
        <v>4</v>
      </c>
      <c r="N9" s="104"/>
      <c r="O9" s="19">
        <f t="shared" si="2"/>
        <v>0.49199999999999994</v>
      </c>
      <c r="P9" s="168">
        <f t="shared" si="3"/>
        <v>3.2719999999999998</v>
      </c>
    </row>
    <row r="10" spans="2:16" ht="15" thickBot="1" x14ac:dyDescent="0.35">
      <c r="B10" s="171" t="s">
        <v>147</v>
      </c>
      <c r="C10" s="172"/>
      <c r="D10" s="173"/>
      <c r="E10" s="98">
        <v>1</v>
      </c>
      <c r="F10" s="99"/>
      <c r="G10" s="101"/>
      <c r="H10" s="19">
        <f t="shared" si="0"/>
        <v>0.3</v>
      </c>
      <c r="I10" s="98">
        <v>5</v>
      </c>
      <c r="J10" s="99"/>
      <c r="K10" s="104"/>
      <c r="L10" s="19">
        <f t="shared" si="1"/>
        <v>2</v>
      </c>
      <c r="M10" s="19">
        <v>3</v>
      </c>
      <c r="N10" s="104"/>
      <c r="O10" s="19">
        <f t="shared" si="2"/>
        <v>0.6</v>
      </c>
      <c r="P10" s="170">
        <f t="shared" si="3"/>
        <v>2.9</v>
      </c>
    </row>
    <row r="11" spans="2:16" ht="15" thickBot="1" x14ac:dyDescent="0.35">
      <c r="B11" s="171" t="s">
        <v>148</v>
      </c>
      <c r="C11" s="172"/>
      <c r="D11" s="173"/>
      <c r="E11" s="98">
        <v>4</v>
      </c>
      <c r="F11" s="99"/>
      <c r="G11" s="101"/>
      <c r="H11" s="19">
        <f t="shared" si="0"/>
        <v>1.2</v>
      </c>
      <c r="I11" s="98">
        <v>3.2</v>
      </c>
      <c r="J11" s="99"/>
      <c r="K11" s="104"/>
      <c r="L11" s="19">
        <f t="shared" si="1"/>
        <v>1.2800000000000002</v>
      </c>
      <c r="M11" s="19">
        <v>4.5</v>
      </c>
      <c r="N11" s="104"/>
      <c r="O11" s="19">
        <f t="shared" si="2"/>
        <v>0.38400000000000006</v>
      </c>
      <c r="P11" s="170">
        <f t="shared" si="3"/>
        <v>2.8640000000000003</v>
      </c>
    </row>
    <row r="12" spans="2:16" ht="15" thickBot="1" x14ac:dyDescent="0.35">
      <c r="B12" s="95" t="s">
        <v>150</v>
      </c>
      <c r="C12" s="96"/>
      <c r="D12" s="97"/>
      <c r="E12" s="98">
        <v>5</v>
      </c>
      <c r="F12" s="99"/>
      <c r="G12" s="101"/>
      <c r="H12" s="19">
        <f t="shared" si="0"/>
        <v>1.5</v>
      </c>
      <c r="I12" s="98">
        <v>3.5</v>
      </c>
      <c r="J12" s="99"/>
      <c r="K12" s="104"/>
      <c r="L12" s="19">
        <f t="shared" si="1"/>
        <v>1.4000000000000001</v>
      </c>
      <c r="M12" s="19">
        <v>4</v>
      </c>
      <c r="N12" s="104"/>
      <c r="O12" s="19">
        <f t="shared" si="2"/>
        <v>0.42000000000000004</v>
      </c>
      <c r="P12" s="168">
        <f t="shared" si="3"/>
        <v>3.3200000000000003</v>
      </c>
    </row>
    <row r="13" spans="2:16" ht="15" thickBot="1" x14ac:dyDescent="0.35">
      <c r="B13" s="95" t="s">
        <v>151</v>
      </c>
      <c r="C13" s="96"/>
      <c r="D13" s="97"/>
      <c r="E13" s="98">
        <v>5</v>
      </c>
      <c r="F13" s="99"/>
      <c r="G13" s="101"/>
      <c r="H13" s="19">
        <f t="shared" si="0"/>
        <v>1.5</v>
      </c>
      <c r="I13" s="98">
        <v>3.8</v>
      </c>
      <c r="J13" s="99"/>
      <c r="K13" s="104"/>
      <c r="L13" s="19">
        <f t="shared" si="1"/>
        <v>1.52</v>
      </c>
      <c r="M13" s="19">
        <v>4</v>
      </c>
      <c r="N13" s="104"/>
      <c r="O13" s="19">
        <f t="shared" si="2"/>
        <v>0.45599999999999996</v>
      </c>
      <c r="P13" s="168">
        <f t="shared" si="3"/>
        <v>3.476</v>
      </c>
    </row>
    <row r="14" spans="2:16" ht="15" thickBot="1" x14ac:dyDescent="0.35">
      <c r="B14" s="95" t="s">
        <v>152</v>
      </c>
      <c r="C14" s="96"/>
      <c r="D14" s="97"/>
      <c r="E14" s="98">
        <v>4.5</v>
      </c>
      <c r="F14" s="99"/>
      <c r="G14" s="101"/>
      <c r="H14" s="19">
        <f t="shared" si="0"/>
        <v>1.3499999999999999</v>
      </c>
      <c r="I14" s="98">
        <v>3.3</v>
      </c>
      <c r="J14" s="99"/>
      <c r="K14" s="104"/>
      <c r="L14" s="19">
        <f t="shared" si="1"/>
        <v>1.32</v>
      </c>
      <c r="M14" s="19">
        <v>2</v>
      </c>
      <c r="N14" s="104"/>
      <c r="O14" s="19">
        <f t="shared" si="2"/>
        <v>0.39600000000000002</v>
      </c>
      <c r="P14" s="168">
        <f t="shared" si="3"/>
        <v>3.0659999999999998</v>
      </c>
    </row>
    <row r="15" spans="2:16" ht="15" thickBot="1" x14ac:dyDescent="0.35">
      <c r="B15" s="95" t="s">
        <v>153</v>
      </c>
      <c r="C15" s="96"/>
      <c r="D15" s="97"/>
      <c r="E15" s="98">
        <v>4.7</v>
      </c>
      <c r="F15" s="99"/>
      <c r="G15" s="101"/>
      <c r="H15" s="19">
        <f t="shared" si="0"/>
        <v>1.41</v>
      </c>
      <c r="I15" s="98">
        <v>3.5</v>
      </c>
      <c r="J15" s="99"/>
      <c r="K15" s="104"/>
      <c r="L15" s="19">
        <f t="shared" si="1"/>
        <v>1.4000000000000001</v>
      </c>
      <c r="M15" s="19">
        <v>4</v>
      </c>
      <c r="N15" s="104"/>
      <c r="O15" s="19">
        <f t="shared" si="2"/>
        <v>0.42000000000000004</v>
      </c>
      <c r="P15" s="168">
        <f t="shared" si="3"/>
        <v>3.23</v>
      </c>
    </row>
    <row r="16" spans="2:16" ht="15" thickBot="1" x14ac:dyDescent="0.35">
      <c r="B16" s="171" t="s">
        <v>154</v>
      </c>
      <c r="C16" s="172"/>
      <c r="D16" s="173"/>
      <c r="E16" s="98">
        <v>4</v>
      </c>
      <c r="F16" s="99"/>
      <c r="G16" s="101"/>
      <c r="H16" s="19">
        <f t="shared" si="0"/>
        <v>1.2</v>
      </c>
      <c r="I16" s="98">
        <v>3.2</v>
      </c>
      <c r="J16" s="99"/>
      <c r="K16" s="104"/>
      <c r="L16" s="19">
        <f t="shared" si="1"/>
        <v>1.2800000000000002</v>
      </c>
      <c r="M16" s="19">
        <v>4</v>
      </c>
      <c r="N16" s="104"/>
      <c r="O16" s="19">
        <f t="shared" si="2"/>
        <v>0.38400000000000006</v>
      </c>
      <c r="P16" s="170">
        <f t="shared" si="3"/>
        <v>2.8640000000000003</v>
      </c>
    </row>
    <row r="17" spans="2:16" ht="15" thickBot="1" x14ac:dyDescent="0.35">
      <c r="B17" s="95" t="s">
        <v>155</v>
      </c>
      <c r="C17" s="96"/>
      <c r="D17" s="97"/>
      <c r="E17" s="98">
        <v>4.9000000000000004</v>
      </c>
      <c r="F17" s="99"/>
      <c r="G17" s="101"/>
      <c r="H17" s="19">
        <f t="shared" si="0"/>
        <v>1.47</v>
      </c>
      <c r="I17" s="98">
        <v>4.2</v>
      </c>
      <c r="J17" s="99"/>
      <c r="K17" s="104"/>
      <c r="L17" s="19">
        <f t="shared" si="1"/>
        <v>1.6800000000000002</v>
      </c>
      <c r="M17" s="19">
        <v>3.8</v>
      </c>
      <c r="N17" s="104"/>
      <c r="O17" s="19">
        <f t="shared" si="2"/>
        <v>0.504</v>
      </c>
      <c r="P17" s="168">
        <f t="shared" si="3"/>
        <v>3.6540000000000004</v>
      </c>
    </row>
    <row r="18" spans="2:16" ht="15" thickBot="1" x14ac:dyDescent="0.35">
      <c r="B18" s="171" t="s">
        <v>156</v>
      </c>
      <c r="C18" s="172"/>
      <c r="D18" s="173"/>
      <c r="E18" s="98">
        <v>0</v>
      </c>
      <c r="F18" s="99"/>
      <c r="G18" s="101"/>
      <c r="H18" s="19">
        <f t="shared" si="0"/>
        <v>0</v>
      </c>
      <c r="I18" s="98">
        <v>5</v>
      </c>
      <c r="J18" s="99"/>
      <c r="K18" s="104"/>
      <c r="L18" s="19">
        <f t="shared" si="1"/>
        <v>2</v>
      </c>
      <c r="M18" s="19">
        <v>4.2</v>
      </c>
      <c r="N18" s="104"/>
      <c r="O18" s="19">
        <f t="shared" si="2"/>
        <v>0.6</v>
      </c>
      <c r="P18" s="170">
        <f t="shared" si="3"/>
        <v>2.6</v>
      </c>
    </row>
    <row r="19" spans="2:16" ht="15" thickBot="1" x14ac:dyDescent="0.35">
      <c r="B19" s="171" t="s">
        <v>157</v>
      </c>
      <c r="C19" s="172"/>
      <c r="D19" s="173"/>
      <c r="E19" s="98">
        <v>2.5</v>
      </c>
      <c r="F19" s="99"/>
      <c r="G19" s="102"/>
      <c r="H19" s="19">
        <f t="shared" si="0"/>
        <v>0.75</v>
      </c>
      <c r="I19" s="98">
        <v>2</v>
      </c>
      <c r="J19" s="99"/>
      <c r="K19" s="105"/>
      <c r="L19" s="19">
        <f t="shared" si="1"/>
        <v>0.8</v>
      </c>
      <c r="M19" s="19">
        <v>1.2</v>
      </c>
      <c r="N19" s="105"/>
      <c r="O19" s="19">
        <f t="shared" si="2"/>
        <v>0.24</v>
      </c>
      <c r="P19" s="170">
        <f t="shared" si="3"/>
        <v>1.79</v>
      </c>
    </row>
    <row r="24" spans="2:16" x14ac:dyDescent="0.3">
      <c r="B24" s="91" t="s">
        <v>163</v>
      </c>
      <c r="C24" s="91"/>
      <c r="D24" s="91"/>
      <c r="E24" s="91"/>
    </row>
    <row r="26" spans="2:16" ht="15" thickBot="1" x14ac:dyDescent="0.35"/>
    <row r="27" spans="2:16" ht="15" thickBot="1" x14ac:dyDescent="0.35">
      <c r="B27" s="22"/>
      <c r="C27" s="106" t="s">
        <v>164</v>
      </c>
      <c r="D27" s="107"/>
      <c r="E27" s="107"/>
      <c r="F27" s="107"/>
      <c r="G27" s="107"/>
      <c r="H27" s="108"/>
      <c r="I27" s="106" t="s">
        <v>165</v>
      </c>
      <c r="J27" s="107"/>
      <c r="K27" s="107"/>
      <c r="L27" s="108"/>
      <c r="M27" s="106" t="s">
        <v>166</v>
      </c>
      <c r="N27" s="108"/>
    </row>
    <row r="28" spans="2:16" ht="15" thickBot="1" x14ac:dyDescent="0.35">
      <c r="B28" s="23" t="s">
        <v>167</v>
      </c>
      <c r="C28" s="109" t="s">
        <v>168</v>
      </c>
      <c r="D28" s="110"/>
      <c r="E28" s="109" t="s">
        <v>169</v>
      </c>
      <c r="F28" s="110"/>
      <c r="G28" s="109" t="s">
        <v>170</v>
      </c>
      <c r="H28" s="110"/>
      <c r="I28" s="109" t="s">
        <v>171</v>
      </c>
      <c r="J28" s="110"/>
      <c r="K28" s="109" t="s">
        <v>172</v>
      </c>
      <c r="L28" s="110"/>
      <c r="M28" s="109" t="s">
        <v>173</v>
      </c>
      <c r="N28" s="110"/>
    </row>
    <row r="29" spans="2:16" ht="15" thickBot="1" x14ac:dyDescent="0.35">
      <c r="B29" s="24">
        <v>1</v>
      </c>
      <c r="C29" s="162">
        <v>30000</v>
      </c>
      <c r="D29" s="163"/>
      <c r="E29" s="162"/>
      <c r="F29" s="163"/>
      <c r="G29" s="162"/>
      <c r="H29" s="163"/>
      <c r="I29" s="162">
        <v>25000</v>
      </c>
      <c r="J29" s="163"/>
      <c r="K29" s="162"/>
      <c r="L29" s="163"/>
      <c r="M29" s="162">
        <f>SUM(C29:H29)-SUM(I29:L29)</f>
        <v>5000</v>
      </c>
      <c r="N29" s="163"/>
    </row>
    <row r="30" spans="2:16" ht="15" thickBot="1" x14ac:dyDescent="0.35">
      <c r="B30" s="24">
        <v>2</v>
      </c>
      <c r="C30" s="162">
        <v>30000</v>
      </c>
      <c r="D30" s="163"/>
      <c r="E30" s="162"/>
      <c r="F30" s="163"/>
      <c r="G30" s="162"/>
      <c r="H30" s="163"/>
      <c r="I30" s="162">
        <v>25000</v>
      </c>
      <c r="J30" s="163"/>
      <c r="K30" s="162"/>
      <c r="L30" s="163"/>
      <c r="M30" s="162">
        <f t="shared" ref="M30:M58" si="4">SUM(C30:H30)-SUM(I30:L30)</f>
        <v>5000</v>
      </c>
      <c r="N30" s="163"/>
    </row>
    <row r="31" spans="2:16" ht="15" thickBot="1" x14ac:dyDescent="0.35">
      <c r="B31" s="24">
        <v>3</v>
      </c>
      <c r="C31" s="162">
        <v>30000</v>
      </c>
      <c r="D31" s="163"/>
      <c r="E31" s="162"/>
      <c r="F31" s="163"/>
      <c r="G31" s="162"/>
      <c r="H31" s="163"/>
      <c r="I31" s="162">
        <v>25000</v>
      </c>
      <c r="J31" s="163"/>
      <c r="K31" s="162"/>
      <c r="L31" s="163"/>
      <c r="M31" s="162">
        <f t="shared" si="4"/>
        <v>5000</v>
      </c>
      <c r="N31" s="163"/>
    </row>
    <row r="32" spans="2:16" ht="15" thickBot="1" x14ac:dyDescent="0.35">
      <c r="B32" s="24">
        <v>4</v>
      </c>
      <c r="C32" s="162">
        <v>30000</v>
      </c>
      <c r="D32" s="163"/>
      <c r="E32" s="162"/>
      <c r="F32" s="163"/>
      <c r="G32" s="162"/>
      <c r="H32" s="163"/>
      <c r="I32" s="162">
        <v>25000</v>
      </c>
      <c r="J32" s="163"/>
      <c r="K32" s="162"/>
      <c r="L32" s="163"/>
      <c r="M32" s="162">
        <f t="shared" si="4"/>
        <v>5000</v>
      </c>
      <c r="N32" s="163"/>
    </row>
    <row r="33" spans="2:14" ht="15" thickBot="1" x14ac:dyDescent="0.35">
      <c r="B33" s="24">
        <v>5</v>
      </c>
      <c r="C33" s="162">
        <v>30000</v>
      </c>
      <c r="D33" s="163"/>
      <c r="E33" s="162"/>
      <c r="F33" s="163"/>
      <c r="G33" s="162"/>
      <c r="H33" s="163"/>
      <c r="I33" s="162">
        <v>25000</v>
      </c>
      <c r="J33" s="163"/>
      <c r="K33" s="162"/>
      <c r="L33" s="163"/>
      <c r="M33" s="162">
        <f t="shared" si="4"/>
        <v>5000</v>
      </c>
      <c r="N33" s="163"/>
    </row>
    <row r="34" spans="2:14" ht="15" thickBot="1" x14ac:dyDescent="0.35">
      <c r="B34" s="24">
        <v>6</v>
      </c>
      <c r="C34" s="162">
        <v>30000</v>
      </c>
      <c r="D34" s="163"/>
      <c r="E34" s="162"/>
      <c r="F34" s="163"/>
      <c r="G34" s="162"/>
      <c r="H34" s="163"/>
      <c r="I34" s="162">
        <v>25000</v>
      </c>
      <c r="J34" s="163"/>
      <c r="K34" s="162"/>
      <c r="L34" s="163"/>
      <c r="M34" s="162">
        <f t="shared" si="4"/>
        <v>5000</v>
      </c>
      <c r="N34" s="163"/>
    </row>
    <row r="35" spans="2:14" ht="15" thickBot="1" x14ac:dyDescent="0.35">
      <c r="B35" s="24">
        <v>7</v>
      </c>
      <c r="C35" s="162">
        <v>30000</v>
      </c>
      <c r="D35" s="163"/>
      <c r="E35" s="162">
        <v>500000</v>
      </c>
      <c r="F35" s="163"/>
      <c r="G35" s="162"/>
      <c r="H35" s="163"/>
      <c r="I35" s="162">
        <v>25000</v>
      </c>
      <c r="J35" s="163"/>
      <c r="K35" s="162">
        <v>100000</v>
      </c>
      <c r="L35" s="163"/>
      <c r="M35" s="162">
        <f t="shared" si="4"/>
        <v>405000</v>
      </c>
      <c r="N35" s="163"/>
    </row>
    <row r="36" spans="2:14" ht="15" thickBot="1" x14ac:dyDescent="0.35">
      <c r="B36" s="24">
        <v>8</v>
      </c>
      <c r="C36" s="162">
        <v>30000</v>
      </c>
      <c r="D36" s="163"/>
      <c r="E36" s="162"/>
      <c r="F36" s="163"/>
      <c r="G36" s="162"/>
      <c r="H36" s="163"/>
      <c r="I36" s="162">
        <v>25000</v>
      </c>
      <c r="J36" s="163"/>
      <c r="K36" s="162"/>
      <c r="L36" s="163"/>
      <c r="M36" s="162">
        <f t="shared" si="4"/>
        <v>5000</v>
      </c>
      <c r="N36" s="163"/>
    </row>
    <row r="37" spans="2:14" ht="15" thickBot="1" x14ac:dyDescent="0.35">
      <c r="B37" s="24">
        <v>9</v>
      </c>
      <c r="C37" s="162">
        <v>30000</v>
      </c>
      <c r="D37" s="163"/>
      <c r="E37" s="162"/>
      <c r="F37" s="163"/>
      <c r="G37" s="162"/>
      <c r="H37" s="163"/>
      <c r="I37" s="162">
        <v>25000</v>
      </c>
      <c r="J37" s="163"/>
      <c r="K37" s="162"/>
      <c r="L37" s="163"/>
      <c r="M37" s="162">
        <f t="shared" si="4"/>
        <v>5000</v>
      </c>
      <c r="N37" s="163"/>
    </row>
    <row r="38" spans="2:14" ht="15" thickBot="1" x14ac:dyDescent="0.35">
      <c r="B38" s="24">
        <v>10</v>
      </c>
      <c r="C38" s="162">
        <v>30000</v>
      </c>
      <c r="D38" s="163"/>
      <c r="E38" s="162"/>
      <c r="F38" s="163"/>
      <c r="G38" s="162">
        <v>300000</v>
      </c>
      <c r="H38" s="163"/>
      <c r="I38" s="162">
        <v>25000</v>
      </c>
      <c r="J38" s="163"/>
      <c r="K38" s="162"/>
      <c r="L38" s="163"/>
      <c r="M38" s="162">
        <f t="shared" si="4"/>
        <v>305000</v>
      </c>
      <c r="N38" s="163"/>
    </row>
    <row r="39" spans="2:14" ht="15" thickBot="1" x14ac:dyDescent="0.35">
      <c r="B39" s="24">
        <v>11</v>
      </c>
      <c r="C39" s="162">
        <v>30000</v>
      </c>
      <c r="D39" s="163"/>
      <c r="E39" s="162"/>
      <c r="F39" s="163"/>
      <c r="G39" s="162"/>
      <c r="H39" s="163"/>
      <c r="I39" s="162">
        <v>25000</v>
      </c>
      <c r="J39" s="163"/>
      <c r="K39" s="162"/>
      <c r="L39" s="163"/>
      <c r="M39" s="162">
        <f t="shared" si="4"/>
        <v>5000</v>
      </c>
      <c r="N39" s="163"/>
    </row>
    <row r="40" spans="2:14" ht="15" thickBot="1" x14ac:dyDescent="0.35">
      <c r="B40" s="24">
        <v>12</v>
      </c>
      <c r="C40" s="162">
        <v>30000</v>
      </c>
      <c r="D40" s="163"/>
      <c r="E40" s="162"/>
      <c r="F40" s="163"/>
      <c r="G40" s="162"/>
      <c r="H40" s="163"/>
      <c r="I40" s="162">
        <v>25000</v>
      </c>
      <c r="J40" s="163"/>
      <c r="K40" s="162"/>
      <c r="L40" s="163"/>
      <c r="M40" s="162">
        <f t="shared" si="4"/>
        <v>5000</v>
      </c>
      <c r="N40" s="163"/>
    </row>
    <row r="41" spans="2:14" ht="15" thickBot="1" x14ac:dyDescent="0.35">
      <c r="B41" s="24">
        <v>13</v>
      </c>
      <c r="C41" s="162">
        <v>30000</v>
      </c>
      <c r="D41" s="163"/>
      <c r="E41" s="162"/>
      <c r="F41" s="163"/>
      <c r="G41" s="162"/>
      <c r="H41" s="163"/>
      <c r="I41" s="162">
        <v>25000</v>
      </c>
      <c r="J41" s="163"/>
      <c r="K41" s="162"/>
      <c r="L41" s="163"/>
      <c r="M41" s="162">
        <f t="shared" si="4"/>
        <v>5000</v>
      </c>
      <c r="N41" s="163"/>
    </row>
    <row r="42" spans="2:14" ht="15" thickBot="1" x14ac:dyDescent="0.35">
      <c r="B42" s="24">
        <v>14</v>
      </c>
      <c r="C42" s="162">
        <v>30000</v>
      </c>
      <c r="D42" s="163"/>
      <c r="E42" s="162">
        <v>300000</v>
      </c>
      <c r="F42" s="163"/>
      <c r="G42" s="162"/>
      <c r="H42" s="163"/>
      <c r="I42" s="162">
        <v>25000</v>
      </c>
      <c r="J42" s="163"/>
      <c r="K42" s="162">
        <v>150000</v>
      </c>
      <c r="L42" s="163"/>
      <c r="M42" s="162">
        <f t="shared" si="4"/>
        <v>155000</v>
      </c>
      <c r="N42" s="163"/>
    </row>
    <row r="43" spans="2:14" ht="15" thickBot="1" x14ac:dyDescent="0.35">
      <c r="B43" s="24">
        <v>15</v>
      </c>
      <c r="C43" s="162">
        <v>30000</v>
      </c>
      <c r="D43" s="163"/>
      <c r="E43" s="162"/>
      <c r="F43" s="163"/>
      <c r="G43" s="162"/>
      <c r="H43" s="163"/>
      <c r="I43" s="162">
        <v>25000</v>
      </c>
      <c r="J43" s="163"/>
      <c r="K43" s="162"/>
      <c r="L43" s="163"/>
      <c r="M43" s="162">
        <f t="shared" si="4"/>
        <v>5000</v>
      </c>
      <c r="N43" s="163"/>
    </row>
    <row r="44" spans="2:14" ht="15" thickBot="1" x14ac:dyDescent="0.35">
      <c r="B44" s="24">
        <v>16</v>
      </c>
      <c r="C44" s="162">
        <v>30000</v>
      </c>
      <c r="D44" s="163"/>
      <c r="E44" s="162"/>
      <c r="F44" s="163"/>
      <c r="G44" s="162"/>
      <c r="H44" s="163"/>
      <c r="I44" s="162">
        <v>25000</v>
      </c>
      <c r="J44" s="163"/>
      <c r="K44" s="162"/>
      <c r="L44" s="163"/>
      <c r="M44" s="162">
        <f t="shared" si="4"/>
        <v>5000</v>
      </c>
      <c r="N44" s="163"/>
    </row>
    <row r="45" spans="2:14" ht="15" thickBot="1" x14ac:dyDescent="0.35">
      <c r="B45" s="24">
        <v>17</v>
      </c>
      <c r="C45" s="162">
        <v>30000</v>
      </c>
      <c r="D45" s="163"/>
      <c r="E45" s="162"/>
      <c r="F45" s="163"/>
      <c r="G45" s="162"/>
      <c r="H45" s="163"/>
      <c r="I45" s="162">
        <v>25000</v>
      </c>
      <c r="J45" s="163"/>
      <c r="K45" s="162"/>
      <c r="L45" s="163"/>
      <c r="M45" s="162">
        <f t="shared" si="4"/>
        <v>5000</v>
      </c>
      <c r="N45" s="163"/>
    </row>
    <row r="46" spans="2:14" ht="15" thickBot="1" x14ac:dyDescent="0.35">
      <c r="B46" s="24">
        <v>18</v>
      </c>
      <c r="C46" s="162">
        <v>30000</v>
      </c>
      <c r="D46" s="163"/>
      <c r="E46" s="162"/>
      <c r="F46" s="163"/>
      <c r="G46" s="162"/>
      <c r="H46" s="163"/>
      <c r="I46" s="162">
        <v>25000</v>
      </c>
      <c r="J46" s="163"/>
      <c r="K46" s="162"/>
      <c r="L46" s="163"/>
      <c r="M46" s="162">
        <f t="shared" si="4"/>
        <v>5000</v>
      </c>
      <c r="N46" s="163"/>
    </row>
    <row r="47" spans="2:14" ht="15" thickBot="1" x14ac:dyDescent="0.35">
      <c r="B47" s="24">
        <v>19</v>
      </c>
      <c r="C47" s="162">
        <v>30000</v>
      </c>
      <c r="D47" s="163"/>
      <c r="E47" s="162"/>
      <c r="F47" s="163"/>
      <c r="G47" s="162"/>
      <c r="H47" s="163"/>
      <c r="I47" s="162">
        <v>25000</v>
      </c>
      <c r="J47" s="163"/>
      <c r="K47" s="162"/>
      <c r="L47" s="163"/>
      <c r="M47" s="162">
        <f t="shared" si="4"/>
        <v>5000</v>
      </c>
      <c r="N47" s="163"/>
    </row>
    <row r="48" spans="2:14" ht="15" thickBot="1" x14ac:dyDescent="0.35">
      <c r="B48" s="24">
        <v>20</v>
      </c>
      <c r="C48" s="162">
        <v>30000</v>
      </c>
      <c r="D48" s="163"/>
      <c r="E48" s="162"/>
      <c r="F48" s="163"/>
      <c r="G48" s="162"/>
      <c r="H48" s="163"/>
      <c r="I48" s="162">
        <v>25000</v>
      </c>
      <c r="J48" s="163"/>
      <c r="K48" s="162"/>
      <c r="L48" s="163"/>
      <c r="M48" s="162">
        <f t="shared" si="4"/>
        <v>5000</v>
      </c>
      <c r="N48" s="163"/>
    </row>
    <row r="49" spans="2:14" ht="15" thickBot="1" x14ac:dyDescent="0.35">
      <c r="B49" s="24">
        <v>21</v>
      </c>
      <c r="C49" s="162">
        <v>30000</v>
      </c>
      <c r="D49" s="163"/>
      <c r="E49" s="162">
        <v>250000</v>
      </c>
      <c r="F49" s="163"/>
      <c r="G49" s="162"/>
      <c r="H49" s="163"/>
      <c r="I49" s="162">
        <v>25000</v>
      </c>
      <c r="J49" s="163"/>
      <c r="K49" s="162">
        <v>200000</v>
      </c>
      <c r="L49" s="163"/>
      <c r="M49" s="162">
        <f t="shared" si="4"/>
        <v>55000</v>
      </c>
      <c r="N49" s="163"/>
    </row>
    <row r="50" spans="2:14" ht="15" thickBot="1" x14ac:dyDescent="0.35">
      <c r="B50" s="24">
        <v>22</v>
      </c>
      <c r="C50" s="162">
        <v>30000</v>
      </c>
      <c r="D50" s="163"/>
      <c r="E50" s="162"/>
      <c r="F50" s="163"/>
      <c r="G50" s="162"/>
      <c r="H50" s="163"/>
      <c r="I50" s="162">
        <v>25000</v>
      </c>
      <c r="J50" s="163"/>
      <c r="K50" s="162"/>
      <c r="L50" s="163"/>
      <c r="M50" s="162">
        <f t="shared" si="4"/>
        <v>5000</v>
      </c>
      <c r="N50" s="163"/>
    </row>
    <row r="51" spans="2:14" ht="15" thickBot="1" x14ac:dyDescent="0.35">
      <c r="B51" s="24">
        <v>23</v>
      </c>
      <c r="C51" s="162">
        <v>30000</v>
      </c>
      <c r="D51" s="163"/>
      <c r="E51" s="162"/>
      <c r="F51" s="163"/>
      <c r="G51" s="162"/>
      <c r="H51" s="163"/>
      <c r="I51" s="162">
        <v>25000</v>
      </c>
      <c r="J51" s="163"/>
      <c r="K51" s="162"/>
      <c r="L51" s="163"/>
      <c r="M51" s="162">
        <f t="shared" si="4"/>
        <v>5000</v>
      </c>
      <c r="N51" s="163"/>
    </row>
    <row r="52" spans="2:14" ht="15" thickBot="1" x14ac:dyDescent="0.35">
      <c r="B52" s="24">
        <v>24</v>
      </c>
      <c r="C52" s="162">
        <v>30000</v>
      </c>
      <c r="D52" s="163"/>
      <c r="E52" s="162"/>
      <c r="F52" s="163"/>
      <c r="G52" s="162"/>
      <c r="H52" s="163"/>
      <c r="I52" s="162">
        <v>25000</v>
      </c>
      <c r="J52" s="163"/>
      <c r="K52" s="162"/>
      <c r="L52" s="163"/>
      <c r="M52" s="162">
        <f t="shared" si="4"/>
        <v>5000</v>
      </c>
      <c r="N52" s="163"/>
    </row>
    <row r="53" spans="2:14" ht="15" thickBot="1" x14ac:dyDescent="0.35">
      <c r="B53" s="24">
        <v>25</v>
      </c>
      <c r="C53" s="162">
        <v>30000</v>
      </c>
      <c r="D53" s="163"/>
      <c r="E53" s="162"/>
      <c r="F53" s="163"/>
      <c r="G53" s="162"/>
      <c r="H53" s="163"/>
      <c r="I53" s="162">
        <v>25000</v>
      </c>
      <c r="J53" s="163"/>
      <c r="K53" s="162"/>
      <c r="L53" s="163"/>
      <c r="M53" s="162">
        <f t="shared" si="4"/>
        <v>5000</v>
      </c>
      <c r="N53" s="163"/>
    </row>
    <row r="54" spans="2:14" ht="15" thickBot="1" x14ac:dyDescent="0.35">
      <c r="B54" s="24">
        <v>26</v>
      </c>
      <c r="C54" s="162">
        <v>30000</v>
      </c>
      <c r="D54" s="163"/>
      <c r="E54" s="162"/>
      <c r="F54" s="163"/>
      <c r="G54" s="162"/>
      <c r="H54" s="163"/>
      <c r="I54" s="162">
        <v>25000</v>
      </c>
      <c r="J54" s="163"/>
      <c r="K54" s="162"/>
      <c r="L54" s="163"/>
      <c r="M54" s="162">
        <f t="shared" si="4"/>
        <v>5000</v>
      </c>
      <c r="N54" s="163"/>
    </row>
    <row r="55" spans="2:14" ht="15" thickBot="1" x14ac:dyDescent="0.35">
      <c r="B55" s="24">
        <v>27</v>
      </c>
      <c r="C55" s="162">
        <v>30000</v>
      </c>
      <c r="D55" s="163"/>
      <c r="E55" s="162"/>
      <c r="F55" s="163"/>
      <c r="G55" s="162"/>
      <c r="H55" s="163"/>
      <c r="I55" s="162">
        <v>25000</v>
      </c>
      <c r="J55" s="163"/>
      <c r="K55" s="162"/>
      <c r="L55" s="163"/>
      <c r="M55" s="162">
        <f t="shared" si="4"/>
        <v>5000</v>
      </c>
      <c r="N55" s="163"/>
    </row>
    <row r="56" spans="2:14" ht="15" thickBot="1" x14ac:dyDescent="0.35">
      <c r="B56" s="24">
        <v>28</v>
      </c>
      <c r="C56" s="162">
        <v>30000</v>
      </c>
      <c r="D56" s="163"/>
      <c r="E56" s="162"/>
      <c r="F56" s="163"/>
      <c r="G56" s="162"/>
      <c r="H56" s="163"/>
      <c r="I56" s="162">
        <v>25000</v>
      </c>
      <c r="J56" s="163"/>
      <c r="K56" s="162"/>
      <c r="L56" s="163"/>
      <c r="M56" s="162">
        <f t="shared" si="4"/>
        <v>5000</v>
      </c>
      <c r="N56" s="163"/>
    </row>
    <row r="57" spans="2:14" ht="15" thickBot="1" x14ac:dyDescent="0.35">
      <c r="B57" s="24">
        <v>29</v>
      </c>
      <c r="C57" s="162">
        <v>30000</v>
      </c>
      <c r="D57" s="163"/>
      <c r="E57" s="162"/>
      <c r="F57" s="163"/>
      <c r="G57" s="162"/>
      <c r="H57" s="163"/>
      <c r="I57" s="162">
        <v>25000</v>
      </c>
      <c r="J57" s="163"/>
      <c r="K57" s="162"/>
      <c r="L57" s="163"/>
      <c r="M57" s="162">
        <f t="shared" si="4"/>
        <v>5000</v>
      </c>
      <c r="N57" s="163"/>
    </row>
    <row r="58" spans="2:14" ht="15" thickBot="1" x14ac:dyDescent="0.35">
      <c r="B58" s="24">
        <v>30</v>
      </c>
      <c r="C58" s="162">
        <v>30000</v>
      </c>
      <c r="D58" s="163"/>
      <c r="E58" s="162">
        <v>500000</v>
      </c>
      <c r="F58" s="163"/>
      <c r="G58" s="162"/>
      <c r="H58" s="163"/>
      <c r="I58" s="162">
        <v>25000</v>
      </c>
      <c r="J58" s="163"/>
      <c r="K58" s="162">
        <v>500000</v>
      </c>
      <c r="L58" s="163"/>
      <c r="M58" s="162">
        <f t="shared" si="4"/>
        <v>5000</v>
      </c>
      <c r="N58" s="163"/>
    </row>
    <row r="59" spans="2:14" ht="15" thickBot="1" x14ac:dyDescent="0.35">
      <c r="B59" s="169" t="s">
        <v>490</v>
      </c>
      <c r="C59" s="164">
        <f>SUM(C29:D58)</f>
        <v>900000</v>
      </c>
      <c r="D59" s="165"/>
      <c r="E59" s="164">
        <f t="shared" ref="E59:H59" si="5">SUM(E29:F58)</f>
        <v>1550000</v>
      </c>
      <c r="F59" s="165"/>
      <c r="G59" s="164">
        <f t="shared" ref="G59:H59" si="6">SUM(G29:H58)</f>
        <v>300000</v>
      </c>
      <c r="H59" s="165"/>
      <c r="I59" s="164">
        <f>SUM(I29:J58)</f>
        <v>750000</v>
      </c>
      <c r="J59" s="165"/>
      <c r="K59" s="164">
        <f>SUM(K29:L58)</f>
        <v>950000</v>
      </c>
      <c r="L59" s="165"/>
      <c r="M59" s="164">
        <f t="shared" ref="M59" si="7">SUM(C59:H59)-SUM(I59:L59)</f>
        <v>1050000</v>
      </c>
      <c r="N59" s="165"/>
    </row>
    <row r="62" spans="2:14" x14ac:dyDescent="0.3">
      <c r="C62" s="166" t="s">
        <v>489</v>
      </c>
      <c r="D62" s="166"/>
      <c r="E62" s="167">
        <f>M59</f>
        <v>1050000</v>
      </c>
    </row>
    <row r="63" spans="2:14" x14ac:dyDescent="0.3">
      <c r="C63" s="166" t="s">
        <v>487</v>
      </c>
      <c r="D63" s="166"/>
      <c r="E63" s="167">
        <f>SUM(C59:H59)</f>
        <v>2750000</v>
      </c>
    </row>
    <row r="64" spans="2:14" x14ac:dyDescent="0.3">
      <c r="C64" s="166" t="s">
        <v>488</v>
      </c>
      <c r="D64" s="166"/>
      <c r="E64" s="167">
        <f>SUM(I59:L59)</f>
        <v>1700000</v>
      </c>
    </row>
  </sheetData>
  <mergeCells count="251">
    <mergeCell ref="C63:D63"/>
    <mergeCell ref="C64:D64"/>
    <mergeCell ref="C62:D62"/>
    <mergeCell ref="C59:D59"/>
    <mergeCell ref="E59:F59"/>
    <mergeCell ref="G59:H59"/>
    <mergeCell ref="I59:J59"/>
    <mergeCell ref="K59:L59"/>
    <mergeCell ref="M59:N59"/>
    <mergeCell ref="C58:D58"/>
    <mergeCell ref="E58:F58"/>
    <mergeCell ref="G58:H58"/>
    <mergeCell ref="I58:J58"/>
    <mergeCell ref="K58:L58"/>
    <mergeCell ref="M58:N58"/>
    <mergeCell ref="C57:D57"/>
    <mergeCell ref="E57:F57"/>
    <mergeCell ref="G57:H57"/>
    <mergeCell ref="I57:J57"/>
    <mergeCell ref="K57:L57"/>
    <mergeCell ref="M57:N57"/>
    <mergeCell ref="C56:D56"/>
    <mergeCell ref="E56:F56"/>
    <mergeCell ref="G56:H56"/>
    <mergeCell ref="I56:J56"/>
    <mergeCell ref="K56:L56"/>
    <mergeCell ref="M56:N56"/>
    <mergeCell ref="C55:D55"/>
    <mergeCell ref="E55:F55"/>
    <mergeCell ref="G55:H55"/>
    <mergeCell ref="I55:J55"/>
    <mergeCell ref="K55:L55"/>
    <mergeCell ref="M55:N55"/>
    <mergeCell ref="C54:D54"/>
    <mergeCell ref="E54:F54"/>
    <mergeCell ref="G54:H54"/>
    <mergeCell ref="I54:J54"/>
    <mergeCell ref="K54:L54"/>
    <mergeCell ref="M54:N54"/>
    <mergeCell ref="C53:D53"/>
    <mergeCell ref="E53:F53"/>
    <mergeCell ref="G53:H53"/>
    <mergeCell ref="I53:J53"/>
    <mergeCell ref="K53:L53"/>
    <mergeCell ref="M53:N53"/>
    <mergeCell ref="C52:D52"/>
    <mergeCell ref="E52:F52"/>
    <mergeCell ref="G52:H52"/>
    <mergeCell ref="I52:J52"/>
    <mergeCell ref="K52:L52"/>
    <mergeCell ref="M52:N52"/>
    <mergeCell ref="C51:D51"/>
    <mergeCell ref="E51:F51"/>
    <mergeCell ref="G51:H51"/>
    <mergeCell ref="I51:J51"/>
    <mergeCell ref="K51:L51"/>
    <mergeCell ref="M51:N51"/>
    <mergeCell ref="C50:D50"/>
    <mergeCell ref="E50:F50"/>
    <mergeCell ref="G50:H50"/>
    <mergeCell ref="I50:J50"/>
    <mergeCell ref="K50:L50"/>
    <mergeCell ref="M50:N50"/>
    <mergeCell ref="C49:D49"/>
    <mergeCell ref="E49:F49"/>
    <mergeCell ref="G49:H49"/>
    <mergeCell ref="I49:J49"/>
    <mergeCell ref="K49:L49"/>
    <mergeCell ref="M49:N49"/>
    <mergeCell ref="C48:D48"/>
    <mergeCell ref="E48:F48"/>
    <mergeCell ref="G48:H48"/>
    <mergeCell ref="I48:J48"/>
    <mergeCell ref="K48:L48"/>
    <mergeCell ref="M48:N48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M46:N46"/>
    <mergeCell ref="C45:D45"/>
    <mergeCell ref="E45:F45"/>
    <mergeCell ref="G45:H45"/>
    <mergeCell ref="I45:J45"/>
    <mergeCell ref="K45:L45"/>
    <mergeCell ref="M45:N45"/>
    <mergeCell ref="C44:D44"/>
    <mergeCell ref="E44:F44"/>
    <mergeCell ref="G44:H44"/>
    <mergeCell ref="I44:J44"/>
    <mergeCell ref="K44:L44"/>
    <mergeCell ref="M44:N44"/>
    <mergeCell ref="C43:D43"/>
    <mergeCell ref="E43:F43"/>
    <mergeCell ref="G43:H43"/>
    <mergeCell ref="I43:J43"/>
    <mergeCell ref="K43:L43"/>
    <mergeCell ref="M43:N43"/>
    <mergeCell ref="C42:D42"/>
    <mergeCell ref="E42:F42"/>
    <mergeCell ref="G42:H42"/>
    <mergeCell ref="I42:J42"/>
    <mergeCell ref="K42:L42"/>
    <mergeCell ref="M42:N42"/>
    <mergeCell ref="C41:D41"/>
    <mergeCell ref="E41:F41"/>
    <mergeCell ref="G41:H41"/>
    <mergeCell ref="I41:J41"/>
    <mergeCell ref="K41:L41"/>
    <mergeCell ref="M41:N41"/>
    <mergeCell ref="C40:D40"/>
    <mergeCell ref="E40:F40"/>
    <mergeCell ref="G40:H40"/>
    <mergeCell ref="I40:J40"/>
    <mergeCell ref="K40:L40"/>
    <mergeCell ref="M40:N40"/>
    <mergeCell ref="C39:D39"/>
    <mergeCell ref="E39:F39"/>
    <mergeCell ref="G39:H39"/>
    <mergeCell ref="I39:J39"/>
    <mergeCell ref="K39:L39"/>
    <mergeCell ref="M39:N39"/>
    <mergeCell ref="C38:D38"/>
    <mergeCell ref="E38:F38"/>
    <mergeCell ref="G38:H38"/>
    <mergeCell ref="I38:J38"/>
    <mergeCell ref="K38:L38"/>
    <mergeCell ref="M38:N38"/>
    <mergeCell ref="C37:D37"/>
    <mergeCell ref="E37:F37"/>
    <mergeCell ref="G37:H37"/>
    <mergeCell ref="I37:J37"/>
    <mergeCell ref="K37:L37"/>
    <mergeCell ref="M37:N37"/>
    <mergeCell ref="C36:D36"/>
    <mergeCell ref="E36:F36"/>
    <mergeCell ref="G36:H36"/>
    <mergeCell ref="I36:J36"/>
    <mergeCell ref="K36:L36"/>
    <mergeCell ref="M36:N36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M34:N34"/>
    <mergeCell ref="C33:D33"/>
    <mergeCell ref="E33:F33"/>
    <mergeCell ref="G33:H33"/>
    <mergeCell ref="I33:J33"/>
    <mergeCell ref="K33:L33"/>
    <mergeCell ref="M33:N33"/>
    <mergeCell ref="C32:D32"/>
    <mergeCell ref="E32:F32"/>
    <mergeCell ref="G32:H32"/>
    <mergeCell ref="I32:J32"/>
    <mergeCell ref="K32:L32"/>
    <mergeCell ref="M32:N32"/>
    <mergeCell ref="C31:D31"/>
    <mergeCell ref="E31:F31"/>
    <mergeCell ref="G31:H31"/>
    <mergeCell ref="I31:J31"/>
    <mergeCell ref="K31:L31"/>
    <mergeCell ref="M31:N31"/>
    <mergeCell ref="C30:D30"/>
    <mergeCell ref="E30:F30"/>
    <mergeCell ref="G30:H30"/>
    <mergeCell ref="I30:J30"/>
    <mergeCell ref="K30:L30"/>
    <mergeCell ref="M30:N30"/>
    <mergeCell ref="M29:N29"/>
    <mergeCell ref="B24:E24"/>
    <mergeCell ref="C27:H27"/>
    <mergeCell ref="I27:L27"/>
    <mergeCell ref="M27:N27"/>
    <mergeCell ref="C28:D28"/>
    <mergeCell ref="E28:F28"/>
    <mergeCell ref="G28:H28"/>
    <mergeCell ref="I28:J28"/>
    <mergeCell ref="K28:L28"/>
    <mergeCell ref="M28:N28"/>
    <mergeCell ref="I16:J16"/>
    <mergeCell ref="B17:D17"/>
    <mergeCell ref="E17:F17"/>
    <mergeCell ref="I17:J17"/>
    <mergeCell ref="C29:D29"/>
    <mergeCell ref="E29:F29"/>
    <mergeCell ref="G29:H29"/>
    <mergeCell ref="I29:J29"/>
    <mergeCell ref="K29:L29"/>
    <mergeCell ref="N5:N19"/>
    <mergeCell ref="B6:D6"/>
    <mergeCell ref="E6:F6"/>
    <mergeCell ref="I6:J6"/>
    <mergeCell ref="B7:D7"/>
    <mergeCell ref="E7:F7"/>
    <mergeCell ref="I7:J7"/>
    <mergeCell ref="B8:D8"/>
    <mergeCell ref="E8:F8"/>
    <mergeCell ref="E9:F9"/>
    <mergeCell ref="I9:J9"/>
    <mergeCell ref="B10:D10"/>
    <mergeCell ref="E10:F10"/>
    <mergeCell ref="I10:J10"/>
    <mergeCell ref="B11:D11"/>
    <mergeCell ref="E11:F11"/>
    <mergeCell ref="I11:J11"/>
    <mergeCell ref="K5:K19"/>
    <mergeCell ref="B14:D14"/>
    <mergeCell ref="E14:F14"/>
    <mergeCell ref="I14:J14"/>
    <mergeCell ref="B15:D15"/>
    <mergeCell ref="E15:F15"/>
    <mergeCell ref="I15:J15"/>
    <mergeCell ref="B2:E2"/>
    <mergeCell ref="B4:D4"/>
    <mergeCell ref="E4:F4"/>
    <mergeCell ref="I4:J4"/>
    <mergeCell ref="B5:D5"/>
    <mergeCell ref="E5:F5"/>
    <mergeCell ref="G5:G19"/>
    <mergeCell ref="I5:J5"/>
    <mergeCell ref="I8:J8"/>
    <mergeCell ref="B9:D9"/>
    <mergeCell ref="B12:D12"/>
    <mergeCell ref="E12:F12"/>
    <mergeCell ref="I12:J12"/>
    <mergeCell ref="B13:D13"/>
    <mergeCell ref="E13:F13"/>
    <mergeCell ref="I13:J13"/>
    <mergeCell ref="B18:D18"/>
    <mergeCell ref="E18:F18"/>
    <mergeCell ref="I18:J18"/>
    <mergeCell ref="B19:D19"/>
    <mergeCell ref="E19:F19"/>
    <mergeCell ref="I19:J19"/>
    <mergeCell ref="B16:D16"/>
    <mergeCell ref="E16:F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87ED-C3A7-494E-9B0A-1BF35B3B9953}">
  <dimension ref="B1:Q61"/>
  <sheetViews>
    <sheetView workbookViewId="0">
      <selection activeCell="K61" sqref="K61"/>
    </sheetView>
  </sheetViews>
  <sheetFormatPr baseColWidth="10" defaultRowHeight="14.4" x14ac:dyDescent="0.3"/>
  <sheetData>
    <row r="1" spans="2:16" ht="15" thickBot="1" x14ac:dyDescent="0.35"/>
    <row r="2" spans="2:16" ht="15" thickBot="1" x14ac:dyDescent="0.35">
      <c r="B2" s="112" t="s">
        <v>174</v>
      </c>
      <c r="C2" s="113"/>
      <c r="D2" s="113"/>
      <c r="E2" s="114"/>
    </row>
    <row r="3" spans="2:16" ht="15" thickBot="1" x14ac:dyDescent="0.35"/>
    <row r="4" spans="2:16" ht="31.8" thickBot="1" x14ac:dyDescent="0.35">
      <c r="B4" s="25" t="s">
        <v>175</v>
      </c>
      <c r="C4" s="26" t="s">
        <v>176</v>
      </c>
      <c r="D4" s="26" t="s">
        <v>177</v>
      </c>
      <c r="E4" s="26" t="s">
        <v>178</v>
      </c>
      <c r="F4" s="26" t="s">
        <v>179</v>
      </c>
      <c r="G4" s="26" t="s">
        <v>180</v>
      </c>
      <c r="H4" s="26" t="s">
        <v>181</v>
      </c>
    </row>
    <row r="5" spans="2:16" ht="15" thickBot="1" x14ac:dyDescent="0.35">
      <c r="B5" s="27">
        <v>21</v>
      </c>
      <c r="C5" s="28">
        <v>1</v>
      </c>
      <c r="D5" s="29" t="s">
        <v>182</v>
      </c>
      <c r="E5" s="30">
        <v>10000</v>
      </c>
      <c r="F5" s="174">
        <f>C5*E5</f>
        <v>10000</v>
      </c>
      <c r="G5" s="174">
        <f>F5*MID($G$4,6,2)/100</f>
        <v>2100</v>
      </c>
      <c r="H5" s="174">
        <f>SUM(F5:G5)</f>
        <v>12100</v>
      </c>
    </row>
    <row r="6" spans="2:16" ht="15" thickBot="1" x14ac:dyDescent="0.35">
      <c r="B6" s="27">
        <v>10</v>
      </c>
      <c r="C6" s="28">
        <v>5</v>
      </c>
      <c r="D6" s="29" t="s">
        <v>183</v>
      </c>
      <c r="E6" s="30">
        <v>5000</v>
      </c>
      <c r="F6" s="174">
        <f t="shared" ref="F6:F12" si="0">C6*E6</f>
        <v>25000</v>
      </c>
      <c r="G6" s="174">
        <f t="shared" ref="G6:G12" si="1">F6*MID($G$4,6,2)/100</f>
        <v>5250</v>
      </c>
      <c r="H6" s="174">
        <f t="shared" ref="H6:H12" si="2">SUM(F6:G6)</f>
        <v>30250</v>
      </c>
    </row>
    <row r="7" spans="2:16" ht="15" thickBot="1" x14ac:dyDescent="0.35">
      <c r="B7" s="27">
        <v>2</v>
      </c>
      <c r="C7" s="28">
        <v>3</v>
      </c>
      <c r="D7" s="29" t="s">
        <v>184</v>
      </c>
      <c r="E7" s="30">
        <v>25000</v>
      </c>
      <c r="F7" s="174">
        <f t="shared" si="0"/>
        <v>75000</v>
      </c>
      <c r="G7" s="174">
        <f t="shared" si="1"/>
        <v>15750</v>
      </c>
      <c r="H7" s="174">
        <f t="shared" si="2"/>
        <v>90750</v>
      </c>
      <c r="L7" s="111" t="s">
        <v>185</v>
      </c>
      <c r="M7" s="111"/>
      <c r="N7" s="111"/>
      <c r="O7" s="111"/>
      <c r="P7" s="111"/>
    </row>
    <row r="8" spans="2:16" ht="15" thickBot="1" x14ac:dyDescent="0.35">
      <c r="B8" s="27">
        <v>15</v>
      </c>
      <c r="C8" s="28">
        <v>4</v>
      </c>
      <c r="D8" s="29" t="s">
        <v>186</v>
      </c>
      <c r="E8" s="30">
        <v>40000</v>
      </c>
      <c r="F8" s="174">
        <f t="shared" si="0"/>
        <v>160000</v>
      </c>
      <c r="G8" s="174">
        <f t="shared" si="1"/>
        <v>33600</v>
      </c>
      <c r="H8" s="174">
        <f t="shared" si="2"/>
        <v>193600</v>
      </c>
    </row>
    <row r="9" spans="2:16" ht="15" thickBot="1" x14ac:dyDescent="0.35">
      <c r="B9" s="27">
        <v>28</v>
      </c>
      <c r="C9" s="28">
        <v>2</v>
      </c>
      <c r="D9" s="29" t="s">
        <v>187</v>
      </c>
      <c r="E9" s="30">
        <v>17000</v>
      </c>
      <c r="F9" s="174">
        <f t="shared" si="0"/>
        <v>34000</v>
      </c>
      <c r="G9" s="174">
        <f t="shared" si="1"/>
        <v>7140</v>
      </c>
      <c r="H9" s="174">
        <f t="shared" si="2"/>
        <v>41140</v>
      </c>
    </row>
    <row r="10" spans="2:16" ht="15" thickBot="1" x14ac:dyDescent="0.35">
      <c r="B10" s="27">
        <v>41</v>
      </c>
      <c r="C10" s="28">
        <v>1</v>
      </c>
      <c r="D10" s="29" t="s">
        <v>188</v>
      </c>
      <c r="E10" s="30">
        <v>65000</v>
      </c>
      <c r="F10" s="174">
        <f t="shared" si="0"/>
        <v>65000</v>
      </c>
      <c r="G10" s="174">
        <f t="shared" si="1"/>
        <v>13650</v>
      </c>
      <c r="H10" s="174">
        <f t="shared" si="2"/>
        <v>78650</v>
      </c>
    </row>
    <row r="11" spans="2:16" ht="15" thickBot="1" x14ac:dyDescent="0.35">
      <c r="B11" s="27">
        <v>54</v>
      </c>
      <c r="C11" s="28">
        <v>2</v>
      </c>
      <c r="D11" s="29" t="s">
        <v>189</v>
      </c>
      <c r="E11" s="30">
        <v>9000</v>
      </c>
      <c r="F11" s="174">
        <f t="shared" si="0"/>
        <v>18000</v>
      </c>
      <c r="G11" s="174">
        <f t="shared" si="1"/>
        <v>3780</v>
      </c>
      <c r="H11" s="174">
        <f t="shared" si="2"/>
        <v>21780</v>
      </c>
    </row>
    <row r="12" spans="2:16" ht="15" thickBot="1" x14ac:dyDescent="0.35">
      <c r="B12" s="31">
        <v>67</v>
      </c>
      <c r="C12" s="32">
        <v>3</v>
      </c>
      <c r="D12" s="33" t="s">
        <v>190</v>
      </c>
      <c r="E12" s="34">
        <v>12000</v>
      </c>
      <c r="F12" s="174">
        <f t="shared" si="0"/>
        <v>36000</v>
      </c>
      <c r="G12" s="174">
        <f t="shared" si="1"/>
        <v>7560</v>
      </c>
      <c r="H12" s="174">
        <f t="shared" si="2"/>
        <v>43560</v>
      </c>
    </row>
    <row r="13" spans="2:16" ht="15" thickBot="1" x14ac:dyDescent="0.35">
      <c r="B13" s="115" t="s">
        <v>191</v>
      </c>
      <c r="C13" s="116"/>
      <c r="D13" s="116"/>
      <c r="E13" s="116"/>
      <c r="F13" s="116"/>
      <c r="G13" s="117"/>
      <c r="H13" s="175">
        <f>SUM(H5:H12)</f>
        <v>511830</v>
      </c>
    </row>
    <row r="14" spans="2:16" ht="15.6" thickTop="1" thickBot="1" x14ac:dyDescent="0.35">
      <c r="B14" s="118" t="s">
        <v>192</v>
      </c>
      <c r="C14" s="119"/>
      <c r="D14" s="119"/>
      <c r="E14" s="119"/>
      <c r="F14" s="119"/>
      <c r="G14" s="120"/>
      <c r="H14" s="176">
        <f>H13*0.05</f>
        <v>25591.5</v>
      </c>
    </row>
    <row r="15" spans="2:16" ht="15.6" thickTop="1" thickBot="1" x14ac:dyDescent="0.35">
      <c r="B15" s="121" t="s">
        <v>193</v>
      </c>
      <c r="C15" s="122"/>
      <c r="D15" s="122"/>
      <c r="E15" s="122"/>
      <c r="F15" s="122"/>
      <c r="G15" s="123"/>
      <c r="H15" s="177">
        <f>H13-H14</f>
        <v>486238.5</v>
      </c>
    </row>
    <row r="22" spans="2:17" ht="15" thickBot="1" x14ac:dyDescent="0.35"/>
    <row r="23" spans="2:17" ht="15" thickBot="1" x14ac:dyDescent="0.35">
      <c r="B23" s="112" t="s">
        <v>194</v>
      </c>
      <c r="C23" s="113"/>
      <c r="D23" s="113"/>
      <c r="E23" s="114"/>
      <c r="M23" s="111" t="s">
        <v>195</v>
      </c>
      <c r="N23" s="111"/>
      <c r="O23" s="111"/>
      <c r="P23" s="111"/>
      <c r="Q23" s="111"/>
    </row>
    <row r="24" spans="2:17" x14ac:dyDescent="0.3">
      <c r="M24" s="81"/>
      <c r="N24" s="81"/>
      <c r="O24" s="81"/>
      <c r="P24" s="81"/>
      <c r="Q24" s="81"/>
    </row>
    <row r="25" spans="2:17" x14ac:dyDescent="0.3">
      <c r="M25" s="81"/>
      <c r="N25" s="81"/>
      <c r="O25" s="81"/>
      <c r="P25" s="81"/>
      <c r="Q25" s="81"/>
    </row>
    <row r="31" spans="2:17" x14ac:dyDescent="0.3">
      <c r="K31" s="183"/>
      <c r="L31" s="184"/>
      <c r="M31" s="188" t="s">
        <v>0</v>
      </c>
      <c r="N31" s="188"/>
      <c r="O31" s="188"/>
      <c r="P31" s="188"/>
      <c r="Q31" s="189"/>
    </row>
    <row r="32" spans="2:17" x14ac:dyDescent="0.3">
      <c r="K32" s="185"/>
      <c r="L32" s="186"/>
      <c r="M32" s="190" t="s">
        <v>499</v>
      </c>
      <c r="N32" s="190"/>
      <c r="O32" s="190"/>
      <c r="P32" s="190"/>
      <c r="Q32" s="191"/>
    </row>
    <row r="33" spans="11:17" x14ac:dyDescent="0.3">
      <c r="K33" s="185"/>
      <c r="L33" s="186"/>
      <c r="M33" s="190" t="s">
        <v>500</v>
      </c>
      <c r="N33" s="190"/>
      <c r="O33" s="190"/>
      <c r="P33" s="190"/>
      <c r="Q33" s="191"/>
    </row>
    <row r="34" spans="11:17" x14ac:dyDescent="0.3">
      <c r="K34" s="185"/>
      <c r="L34" s="186"/>
      <c r="M34" s="190" t="s">
        <v>501</v>
      </c>
      <c r="N34" s="190"/>
      <c r="O34" s="190"/>
      <c r="P34" s="190"/>
      <c r="Q34" s="191"/>
    </row>
    <row r="35" spans="11:17" x14ac:dyDescent="0.3">
      <c r="K35" s="185"/>
      <c r="L35" s="186"/>
      <c r="M35" s="192" t="s">
        <v>502</v>
      </c>
      <c r="N35" s="192"/>
      <c r="O35" s="192"/>
      <c r="P35" s="192"/>
      <c r="Q35" s="193"/>
    </row>
    <row r="36" spans="11:17" ht="15" thickBot="1" x14ac:dyDescent="0.35">
      <c r="K36" s="185"/>
      <c r="L36" s="186"/>
    </row>
    <row r="37" spans="11:17" ht="15.6" thickTop="1" thickBot="1" x14ac:dyDescent="0.35">
      <c r="K37" s="185"/>
      <c r="L37" s="194"/>
      <c r="M37" s="196" t="s">
        <v>496</v>
      </c>
      <c r="N37" s="196"/>
      <c r="O37" s="196"/>
      <c r="P37" s="196" t="s">
        <v>497</v>
      </c>
      <c r="Q37" s="196"/>
    </row>
    <row r="38" spans="11:17" ht="15.6" thickTop="1" thickBot="1" x14ac:dyDescent="0.35">
      <c r="K38" s="187"/>
      <c r="L38" s="195"/>
      <c r="M38" s="197">
        <v>46248</v>
      </c>
      <c r="N38" s="198"/>
      <c r="O38" s="198"/>
      <c r="P38" s="199" t="s">
        <v>498</v>
      </c>
      <c r="Q38" s="200"/>
    </row>
    <row r="39" spans="11:17" ht="15.6" thickTop="1" thickBot="1" x14ac:dyDescent="0.35"/>
    <row r="40" spans="11:17" ht="30" customHeight="1" thickBot="1" x14ac:dyDescent="0.35">
      <c r="K40" s="203" t="s">
        <v>175</v>
      </c>
      <c r="L40" s="204" t="s">
        <v>491</v>
      </c>
      <c r="M40" s="204" t="s">
        <v>492</v>
      </c>
      <c r="N40" s="204" t="s">
        <v>493</v>
      </c>
      <c r="O40" s="204" t="s">
        <v>494</v>
      </c>
      <c r="P40" s="204" t="s">
        <v>495</v>
      </c>
      <c r="Q40" s="205" t="s">
        <v>179</v>
      </c>
    </row>
    <row r="41" spans="11:17" ht="15" thickBot="1" x14ac:dyDescent="0.35">
      <c r="K41" s="202"/>
      <c r="L41" s="202"/>
      <c r="M41" s="202"/>
      <c r="N41" s="202"/>
      <c r="O41" s="202"/>
      <c r="P41" s="202"/>
      <c r="Q41" s="202"/>
    </row>
    <row r="42" spans="11:17" ht="15.6" thickTop="1" thickBot="1" x14ac:dyDescent="0.35">
      <c r="K42" s="201"/>
      <c r="L42" s="201"/>
      <c r="M42" s="201"/>
      <c r="N42" s="201"/>
      <c r="O42" s="201"/>
      <c r="P42" s="201"/>
      <c r="Q42" s="201"/>
    </row>
    <row r="43" spans="11:17" ht="15.6" thickTop="1" thickBot="1" x14ac:dyDescent="0.35">
      <c r="K43" s="201"/>
      <c r="L43" s="201"/>
      <c r="M43" s="201"/>
      <c r="N43" s="201"/>
      <c r="O43" s="201"/>
      <c r="P43" s="201"/>
      <c r="Q43" s="201"/>
    </row>
    <row r="44" spans="11:17" ht="15.6" thickTop="1" thickBot="1" x14ac:dyDescent="0.35">
      <c r="K44" s="201"/>
      <c r="L44" s="201"/>
      <c r="M44" s="201"/>
      <c r="N44" s="201"/>
      <c r="O44" s="201"/>
      <c r="P44" s="201"/>
      <c r="Q44" s="201"/>
    </row>
    <row r="45" spans="11:17" ht="15.6" thickTop="1" thickBot="1" x14ac:dyDescent="0.35">
      <c r="K45" s="201"/>
      <c r="L45" s="201"/>
      <c r="M45" s="201"/>
      <c r="N45" s="201"/>
      <c r="O45" s="201"/>
      <c r="P45" s="201"/>
      <c r="Q45" s="201"/>
    </row>
    <row r="46" spans="11:17" ht="15.6" thickTop="1" thickBot="1" x14ac:dyDescent="0.35">
      <c r="K46" s="201"/>
      <c r="L46" s="201"/>
      <c r="M46" s="201"/>
      <c r="N46" s="201"/>
      <c r="O46" s="201"/>
      <c r="P46" s="201"/>
      <c r="Q46" s="201"/>
    </row>
    <row r="47" spans="11:17" ht="15.6" thickTop="1" thickBot="1" x14ac:dyDescent="0.35">
      <c r="K47" s="201"/>
      <c r="L47" s="201"/>
      <c r="M47" s="201"/>
      <c r="N47" s="201"/>
      <c r="O47" s="201"/>
      <c r="P47" s="201"/>
      <c r="Q47" s="201"/>
    </row>
    <row r="48" spans="11:17" ht="15.6" thickTop="1" thickBot="1" x14ac:dyDescent="0.35">
      <c r="K48" s="201"/>
      <c r="L48" s="201"/>
      <c r="M48" s="201"/>
      <c r="N48" s="201"/>
      <c r="O48" s="201"/>
      <c r="P48" s="201"/>
      <c r="Q48" s="201"/>
    </row>
    <row r="49" spans="11:17" ht="15.6" thickTop="1" thickBot="1" x14ac:dyDescent="0.35">
      <c r="K49" s="201"/>
      <c r="L49" s="201"/>
      <c r="M49" s="201"/>
      <c r="N49" s="201"/>
      <c r="O49" s="201"/>
      <c r="P49" s="201"/>
      <c r="Q49" s="201"/>
    </row>
    <row r="50" spans="11:17" ht="15.6" thickTop="1" thickBot="1" x14ac:dyDescent="0.35">
      <c r="K50" s="201"/>
      <c r="L50" s="201"/>
      <c r="M50" s="201"/>
      <c r="N50" s="201"/>
      <c r="O50" s="201"/>
      <c r="P50" s="201"/>
      <c r="Q50" s="201"/>
    </row>
    <row r="51" spans="11:17" ht="15.6" thickTop="1" thickBot="1" x14ac:dyDescent="0.35">
      <c r="K51" s="201"/>
      <c r="L51" s="201"/>
      <c r="M51" s="201"/>
      <c r="N51" s="201"/>
      <c r="O51" s="201"/>
      <c r="P51" s="201"/>
      <c r="Q51" s="201"/>
    </row>
    <row r="52" spans="11:17" ht="15.6" thickTop="1" thickBot="1" x14ac:dyDescent="0.35">
      <c r="K52" s="201"/>
      <c r="L52" s="201"/>
      <c r="M52" s="201"/>
      <c r="N52" s="201"/>
      <c r="O52" s="201"/>
      <c r="P52" s="201"/>
      <c r="Q52" s="201"/>
    </row>
    <row r="53" spans="11:17" ht="15.6" thickTop="1" thickBot="1" x14ac:dyDescent="0.35">
      <c r="K53" s="201"/>
      <c r="L53" s="201"/>
      <c r="M53" s="201"/>
      <c r="N53" s="201"/>
      <c r="O53" s="201"/>
      <c r="P53" s="201"/>
      <c r="Q53" s="201"/>
    </row>
    <row r="54" spans="11:17" ht="15.6" thickTop="1" thickBot="1" x14ac:dyDescent="0.35">
      <c r="K54" s="201"/>
      <c r="L54" s="201"/>
      <c r="M54" s="201"/>
      <c r="N54" s="201"/>
      <c r="O54" s="201"/>
      <c r="P54" s="201"/>
      <c r="Q54" s="201"/>
    </row>
    <row r="55" spans="11:17" ht="15.6" thickTop="1" thickBot="1" x14ac:dyDescent="0.35">
      <c r="K55" s="201"/>
      <c r="L55" s="201"/>
      <c r="M55" s="201"/>
      <c r="N55" s="201"/>
      <c r="O55" s="201"/>
      <c r="P55" s="201"/>
      <c r="Q55" s="201"/>
    </row>
    <row r="56" spans="11:17" ht="15.6" thickTop="1" thickBot="1" x14ac:dyDescent="0.35">
      <c r="K56" s="201"/>
      <c r="L56" s="201"/>
      <c r="M56" s="201"/>
      <c r="N56" s="201"/>
      <c r="O56" s="201"/>
      <c r="P56" s="201"/>
      <c r="Q56" s="201"/>
    </row>
    <row r="57" spans="11:17" ht="15.6" thickTop="1" thickBot="1" x14ac:dyDescent="0.35">
      <c r="K57" s="201"/>
      <c r="L57" s="201"/>
      <c r="M57" s="201"/>
      <c r="N57" s="201"/>
      <c r="O57" s="201"/>
      <c r="P57" s="201"/>
      <c r="Q57" s="201"/>
    </row>
    <row r="58" spans="11:17" ht="15.6" thickTop="1" thickBot="1" x14ac:dyDescent="0.35">
      <c r="K58" s="201"/>
      <c r="L58" s="201"/>
      <c r="M58" s="201"/>
      <c r="N58" s="201"/>
      <c r="O58" s="201"/>
      <c r="P58" s="201"/>
      <c r="Q58" s="201"/>
    </row>
    <row r="59" spans="11:17" ht="15.6" thickTop="1" thickBot="1" x14ac:dyDescent="0.35">
      <c r="K59" s="201"/>
      <c r="L59" s="201"/>
      <c r="M59" s="201"/>
      <c r="N59" s="201"/>
      <c r="O59" s="201"/>
      <c r="P59" s="201"/>
      <c r="Q59" s="201"/>
    </row>
    <row r="60" spans="11:17" ht="15.6" thickTop="1" thickBot="1" x14ac:dyDescent="0.35">
      <c r="K60" s="201"/>
      <c r="L60" s="201"/>
      <c r="M60" s="201"/>
      <c r="N60" s="201"/>
      <c r="O60" s="201"/>
      <c r="P60" s="201"/>
      <c r="Q60" s="201"/>
    </row>
    <row r="61" spans="11:17" ht="15" thickTop="1" x14ac:dyDescent="0.3"/>
  </sheetData>
  <mergeCells count="11">
    <mergeCell ref="M37:O37"/>
    <mergeCell ref="P37:Q37"/>
    <mergeCell ref="M38:O38"/>
    <mergeCell ref="P38:Q38"/>
    <mergeCell ref="M23:Q23"/>
    <mergeCell ref="B2:E2"/>
    <mergeCell ref="L7:P7"/>
    <mergeCell ref="B13:G13"/>
    <mergeCell ref="B14:G14"/>
    <mergeCell ref="B15:G15"/>
    <mergeCell ref="B23:E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0E4D-5BA4-4299-A590-726513741705}">
  <dimension ref="B3:Q44"/>
  <sheetViews>
    <sheetView showGridLines="0" topLeftCell="A27" workbookViewId="0">
      <selection activeCell="I33" sqref="I33"/>
    </sheetView>
  </sheetViews>
  <sheetFormatPr baseColWidth="10" defaultRowHeight="14.4" x14ac:dyDescent="0.3"/>
  <cols>
    <col min="6" max="6" width="12.5546875" bestFit="1" customWidth="1"/>
  </cols>
  <sheetData>
    <row r="3" spans="2:13" x14ac:dyDescent="0.3">
      <c r="B3" s="127" t="s">
        <v>115</v>
      </c>
      <c r="C3" s="127"/>
      <c r="D3" s="127"/>
      <c r="E3" s="127"/>
    </row>
    <row r="6" spans="2:13" ht="15" thickBot="1" x14ac:dyDescent="0.35"/>
    <row r="7" spans="2:13" x14ac:dyDescent="0.3">
      <c r="B7" s="6"/>
      <c r="C7" s="7"/>
      <c r="D7" s="7"/>
      <c r="E7" s="7"/>
      <c r="F7" s="8"/>
      <c r="G7" s="8"/>
      <c r="H7" s="8"/>
      <c r="I7" s="8"/>
      <c r="J7" s="8"/>
      <c r="K7" s="128" t="s">
        <v>116</v>
      </c>
      <c r="L7" s="129"/>
      <c r="M7" s="132" t="s">
        <v>117</v>
      </c>
    </row>
    <row r="8" spans="2:13" ht="15" thickBot="1" x14ac:dyDescent="0.35">
      <c r="B8" s="6"/>
      <c r="C8" s="7"/>
      <c r="D8" s="7"/>
      <c r="E8" s="7"/>
      <c r="F8" s="8"/>
      <c r="G8" s="8"/>
      <c r="H8" s="8"/>
      <c r="I8" s="8"/>
      <c r="J8" s="8"/>
      <c r="K8" s="130"/>
      <c r="L8" s="131"/>
      <c r="M8" s="133"/>
    </row>
    <row r="9" spans="2:13" x14ac:dyDescent="0.3">
      <c r="B9" s="6"/>
      <c r="C9" s="6"/>
      <c r="D9" s="6"/>
      <c r="E9" s="6"/>
      <c r="F9" s="8"/>
      <c r="G9" s="8"/>
      <c r="H9" s="8"/>
      <c r="I9" s="8"/>
      <c r="J9" s="8"/>
      <c r="K9" s="8"/>
      <c r="L9" s="8"/>
      <c r="M9" s="8"/>
    </row>
    <row r="10" spans="2:13" x14ac:dyDescent="0.3">
      <c r="B10" s="6"/>
      <c r="C10" s="6"/>
      <c r="D10" s="6"/>
      <c r="E10" s="6"/>
      <c r="F10" s="8"/>
      <c r="G10" s="8"/>
      <c r="H10" s="8"/>
      <c r="I10" s="8"/>
      <c r="J10" s="8"/>
      <c r="K10" s="8"/>
      <c r="L10" s="8"/>
      <c r="M10" s="8"/>
    </row>
    <row r="11" spans="2:13" ht="15" thickBot="1" x14ac:dyDescent="0.3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2:13" ht="58.2" thickBot="1" x14ac:dyDescent="0.35">
      <c r="B12" s="8"/>
      <c r="C12" s="9" t="s">
        <v>118</v>
      </c>
      <c r="D12" s="10" t="s">
        <v>119</v>
      </c>
      <c r="E12" s="10" t="s">
        <v>120</v>
      </c>
      <c r="F12" s="11" t="s">
        <v>121</v>
      </c>
      <c r="G12" s="8"/>
      <c r="H12" s="8"/>
      <c r="I12" s="8"/>
      <c r="J12" s="8"/>
      <c r="K12" s="8"/>
      <c r="L12" s="8"/>
      <c r="M12" s="8"/>
    </row>
    <row r="13" spans="2:13" ht="15.6" thickTop="1" thickBot="1" x14ac:dyDescent="0.35">
      <c r="B13" s="8"/>
      <c r="C13" s="12" t="s">
        <v>122</v>
      </c>
      <c r="D13" s="178" t="s">
        <v>123</v>
      </c>
      <c r="E13" s="179">
        <f>D13*$M$7</f>
        <v>69.380875000000003</v>
      </c>
      <c r="F13" s="180">
        <f>D13-E13</f>
        <v>1391.269125</v>
      </c>
      <c r="G13" s="8"/>
      <c r="H13" s="8"/>
      <c r="I13" s="8"/>
      <c r="J13" s="8"/>
      <c r="K13" s="8"/>
      <c r="L13" s="8"/>
      <c r="M13" s="8"/>
    </row>
    <row r="14" spans="2:13" ht="15" thickBot="1" x14ac:dyDescent="0.35">
      <c r="B14" s="8"/>
      <c r="C14" s="12" t="s">
        <v>124</v>
      </c>
      <c r="D14" s="178" t="s">
        <v>125</v>
      </c>
      <c r="E14" s="179">
        <f t="shared" ref="E14:E18" si="0">D14*$M$7</f>
        <v>72.209500000000006</v>
      </c>
      <c r="F14" s="180">
        <f t="shared" ref="F14:F18" si="1">D14-E14</f>
        <v>1447.9905000000001</v>
      </c>
      <c r="G14" s="8"/>
      <c r="H14" s="8"/>
      <c r="I14" s="8"/>
      <c r="J14" s="8"/>
      <c r="K14" s="8"/>
      <c r="L14" s="8"/>
      <c r="M14" s="8"/>
    </row>
    <row r="15" spans="2:13" ht="16.5" customHeight="1" thickBot="1" x14ac:dyDescent="0.35">
      <c r="B15" s="8"/>
      <c r="C15" s="12" t="s">
        <v>126</v>
      </c>
      <c r="D15" s="178" t="s">
        <v>127</v>
      </c>
      <c r="E15" s="179">
        <f t="shared" si="0"/>
        <v>49.912999999999997</v>
      </c>
      <c r="F15" s="180">
        <f t="shared" si="1"/>
        <v>1000.8869999999999</v>
      </c>
      <c r="G15" s="8"/>
      <c r="H15" s="134" t="s">
        <v>128</v>
      </c>
      <c r="I15" s="135"/>
      <c r="J15" s="135"/>
      <c r="K15" s="135"/>
      <c r="L15" s="135"/>
      <c r="M15" s="136"/>
    </row>
    <row r="16" spans="2:13" ht="15" thickBot="1" x14ac:dyDescent="0.35">
      <c r="B16" s="8"/>
      <c r="C16" s="12" t="s">
        <v>129</v>
      </c>
      <c r="D16" s="178" t="s">
        <v>130</v>
      </c>
      <c r="E16" s="179">
        <f t="shared" si="0"/>
        <v>95.075999999999993</v>
      </c>
      <c r="F16" s="180">
        <f t="shared" si="1"/>
        <v>1906.5239999999999</v>
      </c>
      <c r="G16" s="8"/>
      <c r="H16" s="137"/>
      <c r="I16" s="138"/>
      <c r="J16" s="138"/>
      <c r="K16" s="138"/>
      <c r="L16" s="138"/>
      <c r="M16" s="139"/>
    </row>
    <row r="17" spans="2:17" ht="15" thickBot="1" x14ac:dyDescent="0.35">
      <c r="B17" s="8"/>
      <c r="C17" s="12" t="s">
        <v>131</v>
      </c>
      <c r="D17" s="178" t="s">
        <v>132</v>
      </c>
      <c r="E17" s="179">
        <f t="shared" si="0"/>
        <v>102.3416</v>
      </c>
      <c r="F17" s="180">
        <f t="shared" si="1"/>
        <v>2052.2183999999997</v>
      </c>
      <c r="G17" s="8"/>
      <c r="H17" s="8"/>
      <c r="I17" s="8"/>
      <c r="J17" s="8"/>
      <c r="K17" s="8"/>
      <c r="L17" s="8"/>
      <c r="M17" s="8"/>
    </row>
    <row r="18" spans="2:17" ht="15" thickBot="1" x14ac:dyDescent="0.35">
      <c r="B18" s="8"/>
      <c r="C18" s="13" t="s">
        <v>133</v>
      </c>
      <c r="D18" s="181" t="s">
        <v>134</v>
      </c>
      <c r="E18" s="179">
        <f t="shared" si="0"/>
        <v>75.170175</v>
      </c>
      <c r="F18" s="180">
        <f t="shared" si="1"/>
        <v>1507.359825</v>
      </c>
      <c r="G18" s="8"/>
      <c r="H18" s="8"/>
      <c r="I18" s="8"/>
      <c r="J18" s="8"/>
      <c r="K18" s="8"/>
      <c r="L18" s="8"/>
      <c r="M18" s="8"/>
    </row>
    <row r="19" spans="2:17" x14ac:dyDescent="0.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5" spans="2:17" x14ac:dyDescent="0.3">
      <c r="B25" s="127" t="s">
        <v>135</v>
      </c>
      <c r="C25" s="127"/>
      <c r="D25" s="127"/>
      <c r="E25" s="127"/>
    </row>
    <row r="28" spans="2:17" ht="15" thickBot="1" x14ac:dyDescent="0.35"/>
    <row r="29" spans="2:17" ht="16.2" thickBot="1" x14ac:dyDescent="0.35">
      <c r="B29" s="14" t="s">
        <v>0</v>
      </c>
      <c r="C29" s="15" t="s">
        <v>136</v>
      </c>
      <c r="D29" s="15" t="s">
        <v>137</v>
      </c>
      <c r="E29" s="16" t="s">
        <v>138</v>
      </c>
      <c r="F29" s="16" t="s">
        <v>139</v>
      </c>
      <c r="G29" s="16" t="s">
        <v>139</v>
      </c>
    </row>
    <row r="30" spans="2:17" ht="15.75" customHeight="1" thickBot="1" x14ac:dyDescent="0.35">
      <c r="B30" s="17" t="s">
        <v>140</v>
      </c>
      <c r="C30" s="18">
        <v>4.5</v>
      </c>
      <c r="D30" s="18">
        <v>3.2</v>
      </c>
      <c r="E30" s="19">
        <v>3.8</v>
      </c>
      <c r="F30" s="20">
        <f>SUM(C30:E30)/COUNT(C30:E30)</f>
        <v>3.8333333333333335</v>
      </c>
      <c r="G30" s="20">
        <f>AVERAGE(C30:E30)</f>
        <v>3.8333333333333335</v>
      </c>
      <c r="L30" s="134" t="s">
        <v>141</v>
      </c>
      <c r="M30" s="135"/>
      <c r="N30" s="135"/>
      <c r="O30" s="135"/>
      <c r="P30" s="135"/>
      <c r="Q30" s="136"/>
    </row>
    <row r="31" spans="2:17" ht="15" thickBot="1" x14ac:dyDescent="0.35">
      <c r="B31" s="17" t="s">
        <v>142</v>
      </c>
      <c r="C31" s="18">
        <v>4</v>
      </c>
      <c r="D31" s="18">
        <v>4.2</v>
      </c>
      <c r="E31" s="19">
        <v>5</v>
      </c>
      <c r="F31" s="20">
        <f t="shared" ref="F31:F44" si="2">SUM(C31:E31)/COUNT(C31:E31)</f>
        <v>4.3999999999999995</v>
      </c>
      <c r="G31" s="20">
        <f t="shared" ref="G31:G44" si="3">AVERAGE(C31:E31)</f>
        <v>4.3999999999999995</v>
      </c>
      <c r="L31" s="140"/>
      <c r="M31" s="141"/>
      <c r="N31" s="141"/>
      <c r="O31" s="141"/>
      <c r="P31" s="141"/>
      <c r="Q31" s="142"/>
    </row>
    <row r="32" spans="2:17" ht="29.4" thickBot="1" x14ac:dyDescent="0.35">
      <c r="B32" s="17" t="s">
        <v>143</v>
      </c>
      <c r="C32" s="18">
        <v>3.5</v>
      </c>
      <c r="D32" s="18">
        <v>4.4000000000000004</v>
      </c>
      <c r="E32" s="19">
        <v>3.2</v>
      </c>
      <c r="F32" s="20">
        <f t="shared" si="2"/>
        <v>3.7000000000000006</v>
      </c>
      <c r="G32" s="20">
        <f t="shared" si="3"/>
        <v>3.7000000000000006</v>
      </c>
      <c r="L32" s="137"/>
      <c r="M32" s="138"/>
      <c r="N32" s="138"/>
      <c r="O32" s="138"/>
      <c r="P32" s="138"/>
      <c r="Q32" s="139"/>
    </row>
    <row r="33" spans="2:16" ht="15" thickBot="1" x14ac:dyDescent="0.35">
      <c r="B33" s="17" t="s">
        <v>144</v>
      </c>
      <c r="C33" s="18">
        <v>4</v>
      </c>
      <c r="D33" s="18">
        <v>4.2</v>
      </c>
      <c r="E33" s="19">
        <v>5</v>
      </c>
      <c r="F33" s="20">
        <f t="shared" si="2"/>
        <v>4.3999999999999995</v>
      </c>
      <c r="G33" s="20">
        <f t="shared" si="3"/>
        <v>4.3999999999999995</v>
      </c>
    </row>
    <row r="34" spans="2:16" ht="15" thickBot="1" x14ac:dyDescent="0.35">
      <c r="B34" s="17" t="s">
        <v>145</v>
      </c>
      <c r="C34" s="18">
        <v>3.8</v>
      </c>
      <c r="D34" s="18">
        <v>4.0999999999999996</v>
      </c>
      <c r="E34" s="19">
        <v>4</v>
      </c>
      <c r="F34" s="20">
        <f t="shared" si="2"/>
        <v>3.9666666666666663</v>
      </c>
      <c r="G34" s="20">
        <f t="shared" si="3"/>
        <v>3.9666666666666663</v>
      </c>
      <c r="L34" s="124" t="s">
        <v>146</v>
      </c>
      <c r="M34" s="125"/>
      <c r="N34" s="126"/>
      <c r="P34" s="182">
        <f>MIN(G30:G44)</f>
        <v>1.9000000000000001</v>
      </c>
    </row>
    <row r="35" spans="2:16" ht="15" thickBot="1" x14ac:dyDescent="0.35">
      <c r="B35" s="17" t="s">
        <v>147</v>
      </c>
      <c r="C35" s="18">
        <v>1</v>
      </c>
      <c r="D35" s="18">
        <v>5</v>
      </c>
      <c r="E35" s="19">
        <v>3</v>
      </c>
      <c r="F35" s="20">
        <f t="shared" si="2"/>
        <v>3</v>
      </c>
      <c r="G35" s="20">
        <f t="shared" si="3"/>
        <v>3</v>
      </c>
    </row>
    <row r="36" spans="2:16" ht="15" thickBot="1" x14ac:dyDescent="0.35">
      <c r="B36" s="17" t="s">
        <v>148</v>
      </c>
      <c r="C36" s="18">
        <v>4</v>
      </c>
      <c r="D36" s="18">
        <v>3.2</v>
      </c>
      <c r="E36" s="19">
        <v>4.5</v>
      </c>
      <c r="F36" s="20">
        <f t="shared" si="2"/>
        <v>3.9</v>
      </c>
      <c r="G36" s="20">
        <f t="shared" si="3"/>
        <v>3.9</v>
      </c>
      <c r="L36" s="124" t="s">
        <v>149</v>
      </c>
      <c r="M36" s="125"/>
      <c r="N36" s="126"/>
      <c r="P36" s="182">
        <f>MAX(G30:G44)</f>
        <v>4.3999999999999995</v>
      </c>
    </row>
    <row r="37" spans="2:16" ht="15" thickBot="1" x14ac:dyDescent="0.35">
      <c r="B37" s="17" t="s">
        <v>150</v>
      </c>
      <c r="C37" s="18">
        <v>5</v>
      </c>
      <c r="D37" s="18">
        <v>3.5</v>
      </c>
      <c r="E37" s="19">
        <v>4</v>
      </c>
      <c r="F37" s="20">
        <f t="shared" si="2"/>
        <v>4.166666666666667</v>
      </c>
      <c r="G37" s="20">
        <f t="shared" si="3"/>
        <v>4.166666666666667</v>
      </c>
    </row>
    <row r="38" spans="2:16" ht="15" thickBot="1" x14ac:dyDescent="0.35">
      <c r="B38" s="17" t="s">
        <v>151</v>
      </c>
      <c r="C38" s="18">
        <v>5</v>
      </c>
      <c r="D38" s="18">
        <v>3.8</v>
      </c>
      <c r="E38" s="19">
        <v>4</v>
      </c>
      <c r="F38" s="20">
        <f t="shared" si="2"/>
        <v>4.2666666666666666</v>
      </c>
      <c r="G38" s="20">
        <f t="shared" si="3"/>
        <v>4.2666666666666666</v>
      </c>
    </row>
    <row r="39" spans="2:16" ht="15" thickBot="1" x14ac:dyDescent="0.35">
      <c r="B39" s="17" t="s">
        <v>152</v>
      </c>
      <c r="C39" s="18">
        <v>4.5</v>
      </c>
      <c r="D39" s="18">
        <v>3.3</v>
      </c>
      <c r="E39" s="19">
        <v>2</v>
      </c>
      <c r="F39" s="20">
        <f t="shared" si="2"/>
        <v>3.2666666666666671</v>
      </c>
      <c r="G39" s="20">
        <f t="shared" si="3"/>
        <v>3.2666666666666671</v>
      </c>
    </row>
    <row r="40" spans="2:16" ht="15" thickBot="1" x14ac:dyDescent="0.35">
      <c r="B40" s="17" t="s">
        <v>153</v>
      </c>
      <c r="C40" s="18">
        <v>4.7</v>
      </c>
      <c r="D40" s="18">
        <v>3.5</v>
      </c>
      <c r="E40" s="19">
        <v>4</v>
      </c>
      <c r="F40" s="20">
        <f t="shared" si="2"/>
        <v>4.0666666666666664</v>
      </c>
      <c r="G40" s="20">
        <f t="shared" si="3"/>
        <v>4.0666666666666664</v>
      </c>
    </row>
    <row r="41" spans="2:16" ht="15" thickBot="1" x14ac:dyDescent="0.35">
      <c r="B41" s="17" t="s">
        <v>154</v>
      </c>
      <c r="C41" s="18">
        <v>4</v>
      </c>
      <c r="D41" s="18">
        <v>3.2</v>
      </c>
      <c r="E41" s="19">
        <v>4</v>
      </c>
      <c r="F41" s="20">
        <f t="shared" si="2"/>
        <v>3.7333333333333329</v>
      </c>
      <c r="G41" s="20">
        <f t="shared" si="3"/>
        <v>3.7333333333333329</v>
      </c>
    </row>
    <row r="42" spans="2:16" ht="29.4" thickBot="1" x14ac:dyDescent="0.35">
      <c r="B42" s="17" t="s">
        <v>155</v>
      </c>
      <c r="C42" s="18">
        <v>4.9000000000000004</v>
      </c>
      <c r="D42" s="18">
        <v>4.2</v>
      </c>
      <c r="E42" s="19">
        <v>3.8</v>
      </c>
      <c r="F42" s="20">
        <f t="shared" si="2"/>
        <v>4.3000000000000007</v>
      </c>
      <c r="G42" s="20">
        <f t="shared" si="3"/>
        <v>4.3000000000000007</v>
      </c>
    </row>
    <row r="43" spans="2:16" ht="15" thickBot="1" x14ac:dyDescent="0.35">
      <c r="B43" s="17" t="s">
        <v>156</v>
      </c>
      <c r="C43" s="18">
        <v>0</v>
      </c>
      <c r="D43" s="18">
        <v>5</v>
      </c>
      <c r="E43" s="19">
        <v>4.2</v>
      </c>
      <c r="F43" s="20">
        <f t="shared" si="2"/>
        <v>3.0666666666666664</v>
      </c>
      <c r="G43" s="20">
        <f t="shared" si="3"/>
        <v>3.0666666666666664</v>
      </c>
    </row>
    <row r="44" spans="2:16" ht="15" thickBot="1" x14ac:dyDescent="0.35">
      <c r="B44" s="17" t="s">
        <v>157</v>
      </c>
      <c r="C44" s="18">
        <v>2.5</v>
      </c>
      <c r="D44" s="18">
        <v>2</v>
      </c>
      <c r="E44" s="19">
        <v>1.2</v>
      </c>
      <c r="F44" s="20">
        <f t="shared" si="2"/>
        <v>1.9000000000000001</v>
      </c>
      <c r="G44" s="20">
        <f t="shared" si="3"/>
        <v>1.9000000000000001</v>
      </c>
    </row>
  </sheetData>
  <mergeCells count="8">
    <mergeCell ref="L34:N34"/>
    <mergeCell ref="L36:N36"/>
    <mergeCell ref="B3:E3"/>
    <mergeCell ref="K7:L8"/>
    <mergeCell ref="M7:M8"/>
    <mergeCell ref="H15:M16"/>
    <mergeCell ref="B25:E25"/>
    <mergeCell ref="L30:Q3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D986-D7E7-4073-BFC3-003CE42CDA61}">
  <dimension ref="A1:K53"/>
  <sheetViews>
    <sheetView topLeftCell="A41" workbookViewId="0">
      <selection activeCell="E54" sqref="E54"/>
    </sheetView>
  </sheetViews>
  <sheetFormatPr baseColWidth="10" defaultColWidth="10.77734375" defaultRowHeight="14.4" x14ac:dyDescent="0.3"/>
  <cols>
    <col min="4" max="4" width="14" bestFit="1" customWidth="1"/>
    <col min="5" max="5" width="11.77734375" bestFit="1" customWidth="1"/>
  </cols>
  <sheetData>
    <row r="1" spans="3:6" x14ac:dyDescent="0.3">
      <c r="C1" s="144" t="s">
        <v>436</v>
      </c>
      <c r="D1" s="144"/>
      <c r="E1" s="144"/>
    </row>
    <row r="2" spans="3:6" x14ac:dyDescent="0.3">
      <c r="C2" s="144" t="s">
        <v>437</v>
      </c>
      <c r="D2" s="144"/>
      <c r="E2" s="144"/>
    </row>
    <row r="3" spans="3:6" x14ac:dyDescent="0.3">
      <c r="C3" s="144"/>
      <c r="D3" s="144"/>
      <c r="E3" s="144"/>
    </row>
    <row r="4" spans="3:6" ht="15" thickBot="1" x14ac:dyDescent="0.35"/>
    <row r="5" spans="3:6" ht="29.4" thickBot="1" x14ac:dyDescent="0.35">
      <c r="C5" s="60" t="s">
        <v>422</v>
      </c>
      <c r="D5" s="61" t="s">
        <v>421</v>
      </c>
      <c r="E5" s="61" t="s">
        <v>438</v>
      </c>
      <c r="F5" s="61" t="s">
        <v>424</v>
      </c>
    </row>
    <row r="6" spans="3:6" ht="15" thickBot="1" x14ac:dyDescent="0.35">
      <c r="C6" s="62">
        <v>2</v>
      </c>
      <c r="D6" s="63" t="s">
        <v>439</v>
      </c>
      <c r="E6" s="64">
        <v>2500</v>
      </c>
      <c r="F6" s="65">
        <f>PRODUCT(C6,E6)</f>
        <v>5000</v>
      </c>
    </row>
    <row r="7" spans="3:6" ht="15" thickBot="1" x14ac:dyDescent="0.35">
      <c r="C7" s="62">
        <v>5</v>
      </c>
      <c r="D7" s="63" t="s">
        <v>440</v>
      </c>
      <c r="E7" s="64">
        <v>1200</v>
      </c>
      <c r="F7" s="65">
        <f t="shared" ref="F7:F15" si="0">PRODUCT(C7,E7)</f>
        <v>6000</v>
      </c>
    </row>
    <row r="8" spans="3:6" ht="15" thickBot="1" x14ac:dyDescent="0.35">
      <c r="C8" s="62">
        <v>3</v>
      </c>
      <c r="D8" s="63" t="s">
        <v>441</v>
      </c>
      <c r="E8" s="64">
        <v>600</v>
      </c>
      <c r="F8" s="65">
        <f t="shared" si="0"/>
        <v>1800</v>
      </c>
    </row>
    <row r="9" spans="3:6" ht="15" thickBot="1" x14ac:dyDescent="0.35">
      <c r="C9" s="62">
        <v>4</v>
      </c>
      <c r="D9" s="63" t="s">
        <v>442</v>
      </c>
      <c r="E9" s="64">
        <v>200</v>
      </c>
      <c r="F9" s="65">
        <f t="shared" si="0"/>
        <v>800</v>
      </c>
    </row>
    <row r="10" spans="3:6" ht="15" thickBot="1" x14ac:dyDescent="0.35">
      <c r="C10" s="62">
        <v>1</v>
      </c>
      <c r="D10" s="63" t="s">
        <v>443</v>
      </c>
      <c r="E10" s="64">
        <v>2000</v>
      </c>
      <c r="F10" s="65">
        <f t="shared" si="0"/>
        <v>2000</v>
      </c>
    </row>
    <row r="11" spans="3:6" ht="15" thickBot="1" x14ac:dyDescent="0.35">
      <c r="C11" s="62">
        <v>6</v>
      </c>
      <c r="D11" s="63" t="s">
        <v>444</v>
      </c>
      <c r="E11" s="64">
        <v>5000</v>
      </c>
      <c r="F11" s="65">
        <f t="shared" si="0"/>
        <v>30000</v>
      </c>
    </row>
    <row r="12" spans="3:6" ht="15" thickBot="1" x14ac:dyDescent="0.35">
      <c r="C12" s="62">
        <v>4</v>
      </c>
      <c r="D12" s="63" t="s">
        <v>445</v>
      </c>
      <c r="E12" s="64">
        <v>15000</v>
      </c>
      <c r="F12" s="65">
        <f t="shared" si="0"/>
        <v>60000</v>
      </c>
    </row>
    <row r="13" spans="3:6" ht="15" thickBot="1" x14ac:dyDescent="0.35">
      <c r="C13" s="62">
        <v>3</v>
      </c>
      <c r="D13" s="63" t="s">
        <v>446</v>
      </c>
      <c r="E13" s="64">
        <v>6500</v>
      </c>
      <c r="F13" s="65">
        <f t="shared" si="0"/>
        <v>19500</v>
      </c>
    </row>
    <row r="14" spans="3:6" ht="15" thickBot="1" x14ac:dyDescent="0.35">
      <c r="C14" s="62">
        <v>10</v>
      </c>
      <c r="D14" s="63" t="s">
        <v>447</v>
      </c>
      <c r="E14" s="64">
        <v>300</v>
      </c>
      <c r="F14" s="65">
        <f t="shared" si="0"/>
        <v>3000</v>
      </c>
    </row>
    <row r="15" spans="3:6" ht="15" thickBot="1" x14ac:dyDescent="0.35">
      <c r="C15" s="62">
        <v>3</v>
      </c>
      <c r="D15" s="63" t="s">
        <v>448</v>
      </c>
      <c r="E15" s="64">
        <v>25000</v>
      </c>
      <c r="F15" s="65">
        <f t="shared" si="0"/>
        <v>75000</v>
      </c>
    </row>
    <row r="18" spans="1:8" x14ac:dyDescent="0.3">
      <c r="C18" s="144" t="s">
        <v>135</v>
      </c>
      <c r="D18" s="144"/>
      <c r="E18" s="144"/>
      <c r="F18" s="144"/>
    </row>
    <row r="19" spans="1:8" x14ac:dyDescent="0.3">
      <c r="C19" s="83" t="s">
        <v>449</v>
      </c>
      <c r="D19" s="83"/>
      <c r="E19" s="83"/>
      <c r="F19" s="83"/>
      <c r="G19" s="83"/>
      <c r="H19" s="83"/>
    </row>
    <row r="21" spans="1:8" x14ac:dyDescent="0.3">
      <c r="A21" s="145" t="s">
        <v>450</v>
      </c>
      <c r="B21" s="145"/>
      <c r="C21" s="145"/>
      <c r="D21" s="54" t="s">
        <v>451</v>
      </c>
      <c r="E21" s="66">
        <v>0.19</v>
      </c>
    </row>
    <row r="22" spans="1:8" x14ac:dyDescent="0.3">
      <c r="A22" s="145"/>
      <c r="B22" s="145"/>
      <c r="C22" s="145"/>
    </row>
    <row r="23" spans="1:8" x14ac:dyDescent="0.3">
      <c r="A23" s="67" t="s">
        <v>452</v>
      </c>
      <c r="B23" s="67" t="s">
        <v>453</v>
      </c>
      <c r="C23" s="67" t="s">
        <v>454</v>
      </c>
      <c r="D23" s="67" t="s">
        <v>455</v>
      </c>
      <c r="E23" s="67" t="s">
        <v>456</v>
      </c>
      <c r="F23" s="67" t="s">
        <v>457</v>
      </c>
      <c r="G23" s="67" t="s">
        <v>424</v>
      </c>
    </row>
    <row r="24" spans="1:8" x14ac:dyDescent="0.3">
      <c r="A24" s="56" t="s">
        <v>458</v>
      </c>
      <c r="B24" s="56" t="s">
        <v>459</v>
      </c>
      <c r="C24" s="56">
        <v>50</v>
      </c>
      <c r="D24" s="59">
        <v>0.13</v>
      </c>
      <c r="E24" s="59">
        <f>PRODUCT(C24,D24)</f>
        <v>6.5</v>
      </c>
      <c r="F24" s="59">
        <f>E24*$E$21</f>
        <v>1.2350000000000001</v>
      </c>
      <c r="G24" s="59">
        <f>SUM(E24:F24)</f>
        <v>7.7350000000000003</v>
      </c>
    </row>
    <row r="25" spans="1:8" x14ac:dyDescent="0.3">
      <c r="A25" s="56" t="s">
        <v>458</v>
      </c>
      <c r="B25" s="56" t="s">
        <v>460</v>
      </c>
      <c r="C25" s="56">
        <v>130</v>
      </c>
      <c r="D25" s="59">
        <v>0.09</v>
      </c>
      <c r="E25" s="59">
        <f t="shared" ref="E25:E28" si="1">PRODUCT(C25,D25)</f>
        <v>11.7</v>
      </c>
      <c r="F25" s="59">
        <f t="shared" ref="F25:F28" si="2">E25*$E$21</f>
        <v>2.2229999999999999</v>
      </c>
      <c r="G25" s="59">
        <f t="shared" ref="G25:G28" si="3">SUM(E25:F25)</f>
        <v>13.922999999999998</v>
      </c>
    </row>
    <row r="26" spans="1:8" x14ac:dyDescent="0.3">
      <c r="A26" s="56" t="s">
        <v>458</v>
      </c>
      <c r="B26" s="56" t="s">
        <v>461</v>
      </c>
      <c r="C26" s="56">
        <v>2</v>
      </c>
      <c r="D26" s="59">
        <v>14</v>
      </c>
      <c r="E26" s="59">
        <f t="shared" si="1"/>
        <v>28</v>
      </c>
      <c r="F26" s="59">
        <f t="shared" si="2"/>
        <v>5.32</v>
      </c>
      <c r="G26" s="59">
        <f t="shared" si="3"/>
        <v>33.32</v>
      </c>
    </row>
    <row r="27" spans="1:8" x14ac:dyDescent="0.3">
      <c r="A27" s="56" t="s">
        <v>458</v>
      </c>
      <c r="B27" s="56" t="s">
        <v>462</v>
      </c>
      <c r="C27" s="56">
        <v>4</v>
      </c>
      <c r="D27" s="59">
        <v>3.2</v>
      </c>
      <c r="E27" s="59">
        <f t="shared" si="1"/>
        <v>12.8</v>
      </c>
      <c r="F27" s="59">
        <f t="shared" si="2"/>
        <v>2.4320000000000004</v>
      </c>
      <c r="G27" s="59">
        <f t="shared" si="3"/>
        <v>15.232000000000001</v>
      </c>
    </row>
    <row r="28" spans="1:8" x14ac:dyDescent="0.3">
      <c r="A28" s="56" t="s">
        <v>458</v>
      </c>
      <c r="B28" s="56" t="s">
        <v>463</v>
      </c>
      <c r="C28" s="56">
        <v>3</v>
      </c>
      <c r="D28" s="59">
        <v>10.5</v>
      </c>
      <c r="E28" s="59">
        <f t="shared" si="1"/>
        <v>31.5</v>
      </c>
      <c r="F28" s="59">
        <f t="shared" si="2"/>
        <v>5.9850000000000003</v>
      </c>
      <c r="G28" s="59">
        <f t="shared" si="3"/>
        <v>37.484999999999999</v>
      </c>
    </row>
    <row r="29" spans="1:8" x14ac:dyDescent="0.3">
      <c r="E29" s="143" t="s">
        <v>424</v>
      </c>
      <c r="F29" s="143"/>
      <c r="G29" s="59">
        <f>SUM(G24:G28)</f>
        <v>107.69499999999999</v>
      </c>
    </row>
    <row r="31" spans="1:8" x14ac:dyDescent="0.3">
      <c r="C31" s="144" t="s">
        <v>464</v>
      </c>
      <c r="D31" s="144"/>
      <c r="E31" s="144"/>
      <c r="F31" s="144"/>
    </row>
    <row r="32" spans="1:8" x14ac:dyDescent="0.3">
      <c r="C32" s="83" t="s">
        <v>465</v>
      </c>
      <c r="D32" s="83"/>
      <c r="E32" s="83"/>
      <c r="F32" s="83"/>
      <c r="G32" s="83"/>
      <c r="H32" s="83"/>
    </row>
    <row r="35" spans="3:11" x14ac:dyDescent="0.3">
      <c r="C35" s="68" t="s">
        <v>466</v>
      </c>
      <c r="D35" s="69">
        <v>46248</v>
      </c>
    </row>
    <row r="38" spans="3:11" x14ac:dyDescent="0.3">
      <c r="C38" s="70" t="s">
        <v>467</v>
      </c>
      <c r="D38" s="70" t="s">
        <v>468</v>
      </c>
      <c r="E38" s="70" t="s">
        <v>469</v>
      </c>
      <c r="F38" s="70" t="s">
        <v>470</v>
      </c>
      <c r="G38" s="70" t="s">
        <v>471</v>
      </c>
      <c r="H38" s="70" t="s">
        <v>421</v>
      </c>
      <c r="I38" s="70" t="s">
        <v>472</v>
      </c>
      <c r="J38" s="70" t="s">
        <v>473</v>
      </c>
      <c r="K38" s="70" t="s">
        <v>474</v>
      </c>
    </row>
    <row r="39" spans="3:11" x14ac:dyDescent="0.3">
      <c r="C39" s="52">
        <v>48.34</v>
      </c>
      <c r="D39" s="52">
        <v>13</v>
      </c>
      <c r="E39" s="52">
        <v>123</v>
      </c>
      <c r="F39" s="52">
        <v>32</v>
      </c>
      <c r="G39" s="71">
        <f>SUM(C39:F39)</f>
        <v>216.34</v>
      </c>
      <c r="H39" s="72">
        <f>PRODUCT(C39:F39)</f>
        <v>2473461.12</v>
      </c>
      <c r="I39" s="73">
        <f>AVERAGE(C39:F39)</f>
        <v>54.085000000000001</v>
      </c>
      <c r="J39" s="74">
        <f>MAX(C39:F39)</f>
        <v>123</v>
      </c>
      <c r="K39" s="75">
        <f>MIN(C39:F39)</f>
        <v>13</v>
      </c>
    </row>
    <row r="40" spans="3:11" x14ac:dyDescent="0.3">
      <c r="C40" s="52">
        <v>23</v>
      </c>
      <c r="D40" s="52">
        <v>25.3</v>
      </c>
      <c r="E40" s="52">
        <v>98.3</v>
      </c>
      <c r="F40" s="52">
        <v>45.3</v>
      </c>
      <c r="G40" s="71">
        <f t="shared" ref="G40:G41" si="4">SUM(C40:F40)</f>
        <v>191.89999999999998</v>
      </c>
      <c r="H40" s="72">
        <f t="shared" ref="H40:H41" si="5">PRODUCT(C40:F40)</f>
        <v>2591194.8809999996</v>
      </c>
      <c r="I40" s="73">
        <f t="shared" ref="I40:I41" si="6">AVERAGE(C40:F40)</f>
        <v>47.974999999999994</v>
      </c>
      <c r="J40" s="74">
        <f t="shared" ref="J40:J41" si="7">MAX(C40:F40)</f>
        <v>98.3</v>
      </c>
      <c r="K40" s="75">
        <f t="shared" ref="K40:K41" si="8">MIN(C40:F40)</f>
        <v>23</v>
      </c>
    </row>
    <row r="41" spans="3:11" x14ac:dyDescent="0.3">
      <c r="C41" s="52">
        <v>312</v>
      </c>
      <c r="D41" s="52">
        <v>567</v>
      </c>
      <c r="E41" s="52">
        <v>33</v>
      </c>
      <c r="F41" s="52">
        <v>62.4</v>
      </c>
      <c r="G41" s="71">
        <f t="shared" si="4"/>
        <v>974.4</v>
      </c>
      <c r="H41" s="72">
        <f t="shared" si="5"/>
        <v>364280716.80000001</v>
      </c>
      <c r="I41" s="73">
        <f t="shared" si="6"/>
        <v>243.6</v>
      </c>
      <c r="J41" s="74">
        <f t="shared" si="7"/>
        <v>567</v>
      </c>
      <c r="K41" s="75">
        <f t="shared" si="8"/>
        <v>33</v>
      </c>
    </row>
    <row r="42" spans="3:11" x14ac:dyDescent="0.3">
      <c r="C42" s="76"/>
      <c r="D42" s="76"/>
      <c r="E42" s="76"/>
      <c r="F42" s="76"/>
      <c r="G42" s="76"/>
      <c r="H42" s="76"/>
      <c r="I42" s="76"/>
      <c r="J42" s="76"/>
      <c r="K42" s="76"/>
    </row>
    <row r="45" spans="3:11" ht="18" x14ac:dyDescent="0.35">
      <c r="C45" s="151" t="s">
        <v>475</v>
      </c>
      <c r="D45" s="151"/>
      <c r="E45" s="151"/>
      <c r="F45" s="151"/>
      <c r="G45" s="151"/>
    </row>
    <row r="46" spans="3:11" ht="18" x14ac:dyDescent="0.35">
      <c r="C46" s="146" t="s">
        <v>0</v>
      </c>
      <c r="D46" s="146"/>
      <c r="E46" s="77" t="s">
        <v>476</v>
      </c>
      <c r="F46" s="77" t="s">
        <v>477</v>
      </c>
      <c r="G46" s="77" t="s">
        <v>478</v>
      </c>
    </row>
    <row r="47" spans="3:11" x14ac:dyDescent="0.3">
      <c r="C47" s="146" t="s">
        <v>479</v>
      </c>
      <c r="D47" s="146"/>
      <c r="E47">
        <v>7</v>
      </c>
      <c r="F47">
        <v>8</v>
      </c>
      <c r="G47" s="78">
        <f>AVERAGE(E47:F47)</f>
        <v>7.5</v>
      </c>
    </row>
    <row r="48" spans="3:11" x14ac:dyDescent="0.3">
      <c r="C48" s="146" t="s">
        <v>480</v>
      </c>
      <c r="D48" s="146"/>
      <c r="E48">
        <v>5</v>
      </c>
      <c r="F48">
        <v>6</v>
      </c>
      <c r="G48" s="78">
        <f t="shared" ref="G48:G50" si="9">AVERAGE(E48:F48)</f>
        <v>5.5</v>
      </c>
    </row>
    <row r="49" spans="3:7" x14ac:dyDescent="0.3">
      <c r="C49" s="146" t="s">
        <v>481</v>
      </c>
      <c r="D49" s="146"/>
      <c r="E49">
        <v>4</v>
      </c>
      <c r="F49">
        <v>4</v>
      </c>
      <c r="G49" s="78">
        <f t="shared" si="9"/>
        <v>4</v>
      </c>
    </row>
    <row r="50" spans="3:7" x14ac:dyDescent="0.3">
      <c r="C50" s="146" t="s">
        <v>482</v>
      </c>
      <c r="D50" s="146"/>
      <c r="E50">
        <v>8</v>
      </c>
      <c r="F50">
        <v>3</v>
      </c>
      <c r="G50" s="78">
        <f t="shared" si="9"/>
        <v>5.5</v>
      </c>
    </row>
    <row r="51" spans="3:7" ht="15" thickBot="1" x14ac:dyDescent="0.35"/>
    <row r="52" spans="3:7" x14ac:dyDescent="0.3">
      <c r="C52" s="147" t="s">
        <v>483</v>
      </c>
      <c r="D52" s="148"/>
      <c r="E52" s="79">
        <f>MAX(G47:G50)</f>
        <v>7.5</v>
      </c>
    </row>
    <row r="53" spans="3:7" ht="15" thickBot="1" x14ac:dyDescent="0.35">
      <c r="C53" s="149" t="s">
        <v>484</v>
      </c>
      <c r="D53" s="150"/>
      <c r="E53" s="80">
        <f>MIN(G47:G50)</f>
        <v>4</v>
      </c>
    </row>
  </sheetData>
  <mergeCells count="16">
    <mergeCell ref="C49:D49"/>
    <mergeCell ref="C50:D50"/>
    <mergeCell ref="C52:D52"/>
    <mergeCell ref="C53:D53"/>
    <mergeCell ref="C31:F31"/>
    <mergeCell ref="C32:H32"/>
    <mergeCell ref="C45:G45"/>
    <mergeCell ref="C46:D46"/>
    <mergeCell ref="C47:D47"/>
    <mergeCell ref="C48:D48"/>
    <mergeCell ref="E29:F29"/>
    <mergeCell ref="C1:E1"/>
    <mergeCell ref="C2:E3"/>
    <mergeCell ref="C18:F18"/>
    <mergeCell ref="C19:H19"/>
    <mergeCell ref="A21:C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611D-EEE2-454F-89FE-0C7E245E4888}">
  <dimension ref="C1:V103"/>
  <sheetViews>
    <sheetView zoomScale="60" workbookViewId="0">
      <selection activeCell="V8" sqref="V8:V9"/>
    </sheetView>
  </sheetViews>
  <sheetFormatPr baseColWidth="10" defaultRowHeight="14.4" x14ac:dyDescent="0.3"/>
  <cols>
    <col min="6" max="6" width="27.21875" customWidth="1"/>
    <col min="8" max="8" width="15.5546875" customWidth="1"/>
    <col min="13" max="13" width="23.77734375" customWidth="1"/>
    <col min="14" max="14" width="0" hidden="1" customWidth="1"/>
  </cols>
  <sheetData>
    <row r="1" spans="3:22" x14ac:dyDescent="0.3">
      <c r="C1" s="91" t="s">
        <v>196</v>
      </c>
      <c r="D1" s="91"/>
      <c r="E1" s="91"/>
      <c r="F1" s="91"/>
    </row>
    <row r="2" spans="3:22" ht="15" thickBot="1" x14ac:dyDescent="0.35"/>
    <row r="3" spans="3:22" ht="36" x14ac:dyDescent="0.3">
      <c r="C3" s="35" t="s">
        <v>197</v>
      </c>
      <c r="D3" s="36" t="s">
        <v>198</v>
      </c>
      <c r="E3" s="36" t="s">
        <v>199</v>
      </c>
      <c r="F3" s="36" t="s">
        <v>200</v>
      </c>
      <c r="G3" s="36" t="s">
        <v>201</v>
      </c>
      <c r="H3" s="36" t="s">
        <v>202</v>
      </c>
      <c r="I3" s="36" t="s">
        <v>203</v>
      </c>
      <c r="J3" s="36" t="s">
        <v>204</v>
      </c>
      <c r="K3" s="36" t="s">
        <v>205</v>
      </c>
      <c r="L3" s="36" t="s">
        <v>206</v>
      </c>
      <c r="M3" s="36" t="s">
        <v>207</v>
      </c>
      <c r="N3" s="36" t="s">
        <v>208</v>
      </c>
      <c r="O3" s="36" t="s">
        <v>209</v>
      </c>
      <c r="P3" s="37" t="s">
        <v>210</v>
      </c>
      <c r="T3" s="156" t="s">
        <v>211</v>
      </c>
      <c r="U3" s="156"/>
      <c r="V3" s="156"/>
    </row>
    <row r="4" spans="3:22" ht="34.799999999999997" thickBot="1" x14ac:dyDescent="0.35">
      <c r="C4" s="38" t="s">
        <v>212</v>
      </c>
      <c r="D4" s="39" t="s">
        <v>213</v>
      </c>
      <c r="E4" s="39" t="s">
        <v>214</v>
      </c>
      <c r="F4" s="39" t="s">
        <v>215</v>
      </c>
      <c r="G4" s="39" t="s">
        <v>216</v>
      </c>
      <c r="H4" s="39" t="s">
        <v>217</v>
      </c>
      <c r="I4" s="39" t="s">
        <v>218</v>
      </c>
      <c r="J4" s="39" t="s">
        <v>219</v>
      </c>
      <c r="K4" s="39" t="s">
        <v>220</v>
      </c>
      <c r="L4" s="39" t="s">
        <v>221</v>
      </c>
      <c r="M4" s="39" t="s">
        <v>222</v>
      </c>
      <c r="N4" s="40"/>
      <c r="O4" s="39" t="s">
        <v>223</v>
      </c>
      <c r="P4" s="41">
        <v>6</v>
      </c>
    </row>
    <row r="5" spans="3:22" ht="34.200000000000003" x14ac:dyDescent="0.3">
      <c r="C5" s="38" t="s">
        <v>212</v>
      </c>
      <c r="D5" s="39" t="s">
        <v>224</v>
      </c>
      <c r="E5" s="39" t="s">
        <v>225</v>
      </c>
      <c r="F5" s="39" t="s">
        <v>226</v>
      </c>
      <c r="G5" s="39" t="s">
        <v>216</v>
      </c>
      <c r="H5" s="39" t="s">
        <v>227</v>
      </c>
      <c r="I5" s="39" t="s">
        <v>218</v>
      </c>
      <c r="J5" s="39" t="s">
        <v>219</v>
      </c>
      <c r="K5" s="39" t="s">
        <v>220</v>
      </c>
      <c r="L5" s="39" t="s">
        <v>228</v>
      </c>
      <c r="M5" s="39" t="s">
        <v>229</v>
      </c>
      <c r="N5" s="40"/>
      <c r="O5" s="39" t="s">
        <v>223</v>
      </c>
      <c r="P5" s="41">
        <v>1</v>
      </c>
      <c r="S5" s="157" t="s">
        <v>230</v>
      </c>
      <c r="T5" s="158"/>
      <c r="U5" s="158"/>
      <c r="V5" s="206">
        <f>SUMIF(L4:L103,"BOYACA",P4:P103)</f>
        <v>375</v>
      </c>
    </row>
    <row r="6" spans="3:22" ht="15" customHeight="1" x14ac:dyDescent="0.3">
      <c r="C6" s="38" t="s">
        <v>212</v>
      </c>
      <c r="D6" s="39" t="s">
        <v>231</v>
      </c>
      <c r="E6" s="39" t="s">
        <v>232</v>
      </c>
      <c r="F6" s="39" t="s">
        <v>233</v>
      </c>
      <c r="G6" s="39" t="s">
        <v>216</v>
      </c>
      <c r="H6" s="39" t="s">
        <v>227</v>
      </c>
      <c r="I6" s="39" t="s">
        <v>218</v>
      </c>
      <c r="J6" s="39" t="s">
        <v>219</v>
      </c>
      <c r="K6" s="39" t="s">
        <v>220</v>
      </c>
      <c r="L6" s="39" t="s">
        <v>234</v>
      </c>
      <c r="M6" s="39" t="s">
        <v>235</v>
      </c>
      <c r="N6" s="40"/>
      <c r="O6" s="39" t="s">
        <v>223</v>
      </c>
      <c r="P6" s="41">
        <v>3</v>
      </c>
      <c r="S6" s="159" t="s">
        <v>236</v>
      </c>
      <c r="T6" s="160"/>
      <c r="U6" s="160"/>
      <c r="V6" s="207">
        <f>SUMIF($L$4:$L$103,L15,$P$4:$P$103)</f>
        <v>10</v>
      </c>
    </row>
    <row r="7" spans="3:22" ht="22.8" x14ac:dyDescent="0.3">
      <c r="C7" s="38" t="s">
        <v>212</v>
      </c>
      <c r="D7" s="39" t="s">
        <v>237</v>
      </c>
      <c r="E7" s="39" t="s">
        <v>238</v>
      </c>
      <c r="F7" s="39" t="s">
        <v>239</v>
      </c>
      <c r="G7" s="39" t="s">
        <v>216</v>
      </c>
      <c r="H7" s="39" t="s">
        <v>227</v>
      </c>
      <c r="I7" s="39" t="s">
        <v>240</v>
      </c>
      <c r="J7" s="39" t="s">
        <v>219</v>
      </c>
      <c r="K7" s="39" t="s">
        <v>220</v>
      </c>
      <c r="L7" s="39" t="s">
        <v>241</v>
      </c>
      <c r="M7" s="39" t="s">
        <v>242</v>
      </c>
      <c r="N7" s="40"/>
      <c r="O7" s="39" t="s">
        <v>223</v>
      </c>
      <c r="P7" s="41">
        <v>1</v>
      </c>
      <c r="S7" s="159"/>
      <c r="T7" s="160"/>
      <c r="U7" s="160"/>
      <c r="V7" s="207"/>
    </row>
    <row r="8" spans="3:22" ht="22.8" x14ac:dyDescent="0.3">
      <c r="C8" s="38" t="s">
        <v>212</v>
      </c>
      <c r="D8" s="39" t="s">
        <v>237</v>
      </c>
      <c r="E8" s="39" t="s">
        <v>243</v>
      </c>
      <c r="F8" s="39" t="s">
        <v>244</v>
      </c>
      <c r="G8" s="39" t="s">
        <v>216</v>
      </c>
      <c r="H8" s="39" t="s">
        <v>227</v>
      </c>
      <c r="I8" s="39" t="s">
        <v>245</v>
      </c>
      <c r="J8" s="39" t="s">
        <v>219</v>
      </c>
      <c r="K8" s="39" t="s">
        <v>220</v>
      </c>
      <c r="L8" s="39" t="s">
        <v>246</v>
      </c>
      <c r="M8" s="39" t="s">
        <v>247</v>
      </c>
      <c r="N8" s="40"/>
      <c r="O8" s="39" t="s">
        <v>223</v>
      </c>
      <c r="P8" s="41">
        <v>1</v>
      </c>
      <c r="S8" s="159" t="s">
        <v>248</v>
      </c>
      <c r="T8" s="160"/>
      <c r="U8" s="160"/>
      <c r="V8" s="207">
        <f>SUMIF($H$4:$H$103,H4,$P$4:$P$103)</f>
        <v>6483</v>
      </c>
    </row>
    <row r="9" spans="3:22" ht="22.8" x14ac:dyDescent="0.3">
      <c r="C9" s="38" t="s">
        <v>212</v>
      </c>
      <c r="D9" s="39" t="s">
        <v>224</v>
      </c>
      <c r="E9" s="39" t="s">
        <v>249</v>
      </c>
      <c r="F9" s="39" t="s">
        <v>250</v>
      </c>
      <c r="G9" s="39" t="s">
        <v>216</v>
      </c>
      <c r="H9" s="39" t="s">
        <v>217</v>
      </c>
      <c r="I9" s="39" t="s">
        <v>245</v>
      </c>
      <c r="J9" s="39" t="s">
        <v>219</v>
      </c>
      <c r="K9" s="39" t="s">
        <v>220</v>
      </c>
      <c r="L9" s="39" t="s">
        <v>228</v>
      </c>
      <c r="M9" s="39" t="s">
        <v>251</v>
      </c>
      <c r="N9" s="40"/>
      <c r="O9" s="39" t="s">
        <v>223</v>
      </c>
      <c r="P9" s="41">
        <v>2</v>
      </c>
      <c r="S9" s="159"/>
      <c r="T9" s="160"/>
      <c r="U9" s="160"/>
      <c r="V9" s="207"/>
    </row>
    <row r="10" spans="3:22" ht="22.8" x14ac:dyDescent="0.3">
      <c r="C10" s="38" t="s">
        <v>212</v>
      </c>
      <c r="D10" s="39" t="s">
        <v>252</v>
      </c>
      <c r="E10" s="39" t="s">
        <v>238</v>
      </c>
      <c r="F10" s="39" t="s">
        <v>239</v>
      </c>
      <c r="G10" s="39" t="s">
        <v>216</v>
      </c>
      <c r="H10" s="39" t="s">
        <v>217</v>
      </c>
      <c r="I10" s="39" t="s">
        <v>218</v>
      </c>
      <c r="J10" s="39" t="s">
        <v>219</v>
      </c>
      <c r="K10" s="39" t="s">
        <v>253</v>
      </c>
      <c r="L10" s="39" t="s">
        <v>241</v>
      </c>
      <c r="M10" s="39" t="s">
        <v>254</v>
      </c>
      <c r="N10" s="40"/>
      <c r="O10" s="39" t="s">
        <v>223</v>
      </c>
      <c r="P10" s="41">
        <v>4</v>
      </c>
      <c r="S10" s="152" t="s">
        <v>255</v>
      </c>
      <c r="T10" s="153"/>
      <c r="U10" s="153"/>
      <c r="V10" s="207">
        <f>SUMIF($C$4:$C$103,C11,$P$4:$P$103)</f>
        <v>756</v>
      </c>
    </row>
    <row r="11" spans="3:22" ht="45.6" x14ac:dyDescent="0.3">
      <c r="C11" s="38" t="s">
        <v>256</v>
      </c>
      <c r="D11" s="39" t="s">
        <v>252</v>
      </c>
      <c r="E11" s="39" t="s">
        <v>257</v>
      </c>
      <c r="F11" s="39" t="s">
        <v>258</v>
      </c>
      <c r="G11" s="39" t="s">
        <v>216</v>
      </c>
      <c r="H11" s="39" t="s">
        <v>227</v>
      </c>
      <c r="I11" s="39" t="s">
        <v>245</v>
      </c>
      <c r="J11" s="39" t="s">
        <v>219</v>
      </c>
      <c r="K11" s="39" t="s">
        <v>220</v>
      </c>
      <c r="L11" s="39" t="s">
        <v>259</v>
      </c>
      <c r="M11" s="39" t="s">
        <v>260</v>
      </c>
      <c r="N11" s="40"/>
      <c r="O11" s="39" t="s">
        <v>223</v>
      </c>
      <c r="P11" s="41">
        <v>1</v>
      </c>
      <c r="S11" s="152"/>
      <c r="T11" s="153"/>
      <c r="U11" s="153"/>
      <c r="V11" s="207"/>
    </row>
    <row r="12" spans="3:22" ht="23.4" thickBot="1" x14ac:dyDescent="0.35">
      <c r="C12" s="38" t="s">
        <v>212</v>
      </c>
      <c r="D12" s="39" t="s">
        <v>252</v>
      </c>
      <c r="E12" s="39" t="s">
        <v>238</v>
      </c>
      <c r="F12" s="39" t="s">
        <v>239</v>
      </c>
      <c r="G12" s="39" t="s">
        <v>216</v>
      </c>
      <c r="H12" s="39" t="s">
        <v>227</v>
      </c>
      <c r="I12" s="39" t="s">
        <v>218</v>
      </c>
      <c r="J12" s="39" t="s">
        <v>219</v>
      </c>
      <c r="K12" s="39" t="s">
        <v>253</v>
      </c>
      <c r="L12" s="39" t="s">
        <v>261</v>
      </c>
      <c r="M12" s="39" t="s">
        <v>262</v>
      </c>
      <c r="N12" s="40"/>
      <c r="O12" s="39" t="s">
        <v>223</v>
      </c>
      <c r="P12" s="41">
        <v>1</v>
      </c>
      <c r="S12" s="154" t="s">
        <v>263</v>
      </c>
      <c r="T12" s="155"/>
      <c r="U12" s="155"/>
      <c r="V12" s="208">
        <f>SUMIF($I$4:$I$103,I4,$P$4:$P$103)</f>
        <v>6665</v>
      </c>
    </row>
    <row r="13" spans="3:22" ht="22.8" x14ac:dyDescent="0.3">
      <c r="C13" s="38" t="s">
        <v>212</v>
      </c>
      <c r="D13" s="39" t="s">
        <v>264</v>
      </c>
      <c r="E13" s="39" t="s">
        <v>238</v>
      </c>
      <c r="F13" s="39" t="s">
        <v>239</v>
      </c>
      <c r="G13" s="39" t="s">
        <v>216</v>
      </c>
      <c r="H13" s="39" t="s">
        <v>227</v>
      </c>
      <c r="I13" s="39" t="s">
        <v>245</v>
      </c>
      <c r="J13" s="39" t="s">
        <v>219</v>
      </c>
      <c r="K13" s="39" t="s">
        <v>220</v>
      </c>
      <c r="L13" s="39" t="s">
        <v>265</v>
      </c>
      <c r="M13" s="39" t="s">
        <v>266</v>
      </c>
      <c r="N13" s="40"/>
      <c r="O13" s="39" t="s">
        <v>223</v>
      </c>
      <c r="P13" s="41">
        <v>1</v>
      </c>
    </row>
    <row r="14" spans="3:22" x14ac:dyDescent="0.3">
      <c r="C14" s="38" t="s">
        <v>256</v>
      </c>
      <c r="D14" s="39" t="s">
        <v>267</v>
      </c>
      <c r="E14" s="39" t="s">
        <v>268</v>
      </c>
      <c r="F14" s="39" t="s">
        <v>269</v>
      </c>
      <c r="G14" s="39" t="s">
        <v>216</v>
      </c>
      <c r="H14" s="39" t="s">
        <v>227</v>
      </c>
      <c r="I14" s="39" t="s">
        <v>218</v>
      </c>
      <c r="J14" s="39" t="s">
        <v>219</v>
      </c>
      <c r="K14" s="39" t="s">
        <v>220</v>
      </c>
      <c r="L14" s="39" t="s">
        <v>270</v>
      </c>
      <c r="M14" s="39" t="s">
        <v>271</v>
      </c>
      <c r="N14" s="40"/>
      <c r="O14" s="39" t="s">
        <v>223</v>
      </c>
      <c r="P14" s="41">
        <v>1</v>
      </c>
    </row>
    <row r="15" spans="3:22" ht="22.8" x14ac:dyDescent="0.3">
      <c r="C15" s="38" t="s">
        <v>212</v>
      </c>
      <c r="D15" s="39" t="s">
        <v>272</v>
      </c>
      <c r="E15" s="39" t="s">
        <v>238</v>
      </c>
      <c r="F15" s="39" t="s">
        <v>239</v>
      </c>
      <c r="G15" s="39" t="s">
        <v>216</v>
      </c>
      <c r="H15" s="39" t="s">
        <v>227</v>
      </c>
      <c r="I15" s="39" t="s">
        <v>240</v>
      </c>
      <c r="J15" s="39" t="s">
        <v>219</v>
      </c>
      <c r="K15" s="39" t="s">
        <v>253</v>
      </c>
      <c r="L15" s="39" t="s">
        <v>234</v>
      </c>
      <c r="M15" s="39" t="s">
        <v>273</v>
      </c>
      <c r="N15" s="40"/>
      <c r="O15" s="39" t="s">
        <v>223</v>
      </c>
      <c r="P15" s="41">
        <v>1</v>
      </c>
    </row>
    <row r="16" spans="3:22" ht="34.200000000000003" x14ac:dyDescent="0.3">
      <c r="C16" s="38" t="s">
        <v>256</v>
      </c>
      <c r="D16" s="39" t="s">
        <v>274</v>
      </c>
      <c r="E16" s="39" t="s">
        <v>275</v>
      </c>
      <c r="F16" s="39" t="s">
        <v>276</v>
      </c>
      <c r="G16" s="39" t="s">
        <v>216</v>
      </c>
      <c r="H16" s="39" t="s">
        <v>217</v>
      </c>
      <c r="I16" s="39" t="s">
        <v>240</v>
      </c>
      <c r="J16" s="39" t="s">
        <v>219</v>
      </c>
      <c r="K16" s="39" t="s">
        <v>220</v>
      </c>
      <c r="L16" s="39" t="s">
        <v>277</v>
      </c>
      <c r="M16" s="39" t="s">
        <v>278</v>
      </c>
      <c r="N16" s="40"/>
      <c r="O16" s="39" t="s">
        <v>223</v>
      </c>
      <c r="P16" s="41">
        <v>1</v>
      </c>
    </row>
    <row r="17" spans="3:16" x14ac:dyDescent="0.3">
      <c r="C17" s="38" t="s">
        <v>256</v>
      </c>
      <c r="D17" s="39" t="s">
        <v>272</v>
      </c>
      <c r="E17" s="39" t="s">
        <v>279</v>
      </c>
      <c r="F17" s="39" t="s">
        <v>280</v>
      </c>
      <c r="G17" s="39" t="s">
        <v>216</v>
      </c>
      <c r="H17" s="39" t="s">
        <v>217</v>
      </c>
      <c r="I17" s="39" t="s">
        <v>218</v>
      </c>
      <c r="J17" s="39" t="s">
        <v>219</v>
      </c>
      <c r="K17" s="39" t="s">
        <v>220</v>
      </c>
      <c r="L17" s="39" t="s">
        <v>281</v>
      </c>
      <c r="M17" s="39" t="s">
        <v>282</v>
      </c>
      <c r="N17" s="40"/>
      <c r="O17" s="39" t="s">
        <v>223</v>
      </c>
      <c r="P17" s="41">
        <v>338</v>
      </c>
    </row>
    <row r="18" spans="3:16" ht="22.8" x14ac:dyDescent="0.3">
      <c r="C18" s="38" t="s">
        <v>212</v>
      </c>
      <c r="D18" s="39" t="s">
        <v>272</v>
      </c>
      <c r="E18" s="39" t="s">
        <v>279</v>
      </c>
      <c r="F18" s="39" t="s">
        <v>280</v>
      </c>
      <c r="G18" s="39" t="s">
        <v>216</v>
      </c>
      <c r="H18" s="39" t="s">
        <v>217</v>
      </c>
      <c r="I18" s="39" t="s">
        <v>218</v>
      </c>
      <c r="J18" s="39" t="s">
        <v>219</v>
      </c>
      <c r="K18" s="39" t="s">
        <v>220</v>
      </c>
      <c r="L18" s="39" t="s">
        <v>228</v>
      </c>
      <c r="M18" s="39" t="s">
        <v>283</v>
      </c>
      <c r="N18" s="40"/>
      <c r="O18" s="39" t="s">
        <v>223</v>
      </c>
      <c r="P18" s="41">
        <v>5</v>
      </c>
    </row>
    <row r="19" spans="3:16" x14ac:dyDescent="0.3">
      <c r="C19" s="38" t="s">
        <v>212</v>
      </c>
      <c r="D19" s="39" t="s">
        <v>274</v>
      </c>
      <c r="E19" s="39" t="s">
        <v>279</v>
      </c>
      <c r="F19" s="39" t="s">
        <v>280</v>
      </c>
      <c r="G19" s="39" t="s">
        <v>216</v>
      </c>
      <c r="H19" s="39" t="s">
        <v>217</v>
      </c>
      <c r="I19" s="39" t="s">
        <v>218</v>
      </c>
      <c r="J19" s="39" t="s">
        <v>219</v>
      </c>
      <c r="K19" s="39" t="s">
        <v>220</v>
      </c>
      <c r="L19" s="39" t="s">
        <v>281</v>
      </c>
      <c r="M19" s="39" t="s">
        <v>284</v>
      </c>
      <c r="N19" s="40"/>
      <c r="O19" s="39" t="s">
        <v>223</v>
      </c>
      <c r="P19" s="41">
        <v>16</v>
      </c>
    </row>
    <row r="20" spans="3:16" ht="45.6" x14ac:dyDescent="0.3">
      <c r="C20" s="38" t="s">
        <v>212</v>
      </c>
      <c r="D20" s="39" t="s">
        <v>252</v>
      </c>
      <c r="E20" s="39" t="s">
        <v>257</v>
      </c>
      <c r="F20" s="39" t="s">
        <v>258</v>
      </c>
      <c r="G20" s="39" t="s">
        <v>216</v>
      </c>
      <c r="H20" s="39" t="s">
        <v>227</v>
      </c>
      <c r="I20" s="39" t="s">
        <v>218</v>
      </c>
      <c r="J20" s="39" t="s">
        <v>285</v>
      </c>
      <c r="K20" s="39" t="s">
        <v>220</v>
      </c>
      <c r="L20" s="39" t="s">
        <v>286</v>
      </c>
      <c r="M20" s="39" t="s">
        <v>287</v>
      </c>
      <c r="N20" s="40"/>
      <c r="O20" s="39" t="s">
        <v>223</v>
      </c>
      <c r="P20" s="41">
        <v>18</v>
      </c>
    </row>
    <row r="21" spans="3:16" ht="22.8" x14ac:dyDescent="0.3">
      <c r="C21" s="38" t="s">
        <v>212</v>
      </c>
      <c r="D21" s="39" t="s">
        <v>267</v>
      </c>
      <c r="E21" s="39" t="s">
        <v>232</v>
      </c>
      <c r="F21" s="39" t="s">
        <v>233</v>
      </c>
      <c r="G21" s="39" t="s">
        <v>216</v>
      </c>
      <c r="H21" s="39" t="s">
        <v>217</v>
      </c>
      <c r="I21" s="39" t="s">
        <v>218</v>
      </c>
      <c r="J21" s="39" t="s">
        <v>219</v>
      </c>
      <c r="K21" s="39" t="s">
        <v>220</v>
      </c>
      <c r="L21" s="39" t="s">
        <v>228</v>
      </c>
      <c r="M21" s="39" t="s">
        <v>288</v>
      </c>
      <c r="N21" s="40"/>
      <c r="O21" s="39" t="s">
        <v>223</v>
      </c>
      <c r="P21" s="41">
        <v>4</v>
      </c>
    </row>
    <row r="22" spans="3:16" ht="22.8" x14ac:dyDescent="0.3">
      <c r="C22" s="38" t="s">
        <v>212</v>
      </c>
      <c r="D22" s="39" t="s">
        <v>274</v>
      </c>
      <c r="E22" s="39" t="s">
        <v>238</v>
      </c>
      <c r="F22" s="39" t="s">
        <v>239</v>
      </c>
      <c r="G22" s="39" t="s">
        <v>216</v>
      </c>
      <c r="H22" s="39" t="s">
        <v>217</v>
      </c>
      <c r="I22" s="39" t="s">
        <v>240</v>
      </c>
      <c r="J22" s="39" t="s">
        <v>219</v>
      </c>
      <c r="K22" s="39" t="s">
        <v>253</v>
      </c>
      <c r="L22" s="39" t="s">
        <v>261</v>
      </c>
      <c r="M22" s="39" t="s">
        <v>289</v>
      </c>
      <c r="N22" s="40"/>
      <c r="O22" s="39" t="s">
        <v>223</v>
      </c>
      <c r="P22" s="41">
        <v>6</v>
      </c>
    </row>
    <row r="23" spans="3:16" ht="22.8" x14ac:dyDescent="0.3">
      <c r="C23" s="38" t="s">
        <v>212</v>
      </c>
      <c r="D23" s="39" t="s">
        <v>213</v>
      </c>
      <c r="E23" s="39" t="s">
        <v>290</v>
      </c>
      <c r="F23" s="39" t="s">
        <v>291</v>
      </c>
      <c r="G23" s="39" t="s">
        <v>216</v>
      </c>
      <c r="H23" s="39" t="s">
        <v>217</v>
      </c>
      <c r="I23" s="39" t="s">
        <v>218</v>
      </c>
      <c r="J23" s="39" t="s">
        <v>219</v>
      </c>
      <c r="K23" s="39" t="s">
        <v>220</v>
      </c>
      <c r="L23" s="39" t="s">
        <v>228</v>
      </c>
      <c r="M23" s="39" t="s">
        <v>292</v>
      </c>
      <c r="N23" s="40"/>
      <c r="O23" s="39" t="s">
        <v>223</v>
      </c>
      <c r="P23" s="41">
        <v>22</v>
      </c>
    </row>
    <row r="24" spans="3:16" ht="22.8" x14ac:dyDescent="0.3">
      <c r="C24" s="38" t="s">
        <v>256</v>
      </c>
      <c r="D24" s="39" t="s">
        <v>272</v>
      </c>
      <c r="E24" s="39" t="s">
        <v>293</v>
      </c>
      <c r="F24" s="39" t="s">
        <v>294</v>
      </c>
      <c r="G24" s="39" t="s">
        <v>216</v>
      </c>
      <c r="H24" s="39" t="s">
        <v>217</v>
      </c>
      <c r="I24" s="39" t="s">
        <v>240</v>
      </c>
      <c r="J24" s="39" t="s">
        <v>219</v>
      </c>
      <c r="K24" s="39" t="s">
        <v>220</v>
      </c>
      <c r="L24" s="39" t="s">
        <v>295</v>
      </c>
      <c r="M24" s="39" t="s">
        <v>296</v>
      </c>
      <c r="N24" s="40"/>
      <c r="O24" s="39" t="s">
        <v>223</v>
      </c>
      <c r="P24" s="41">
        <v>2</v>
      </c>
    </row>
    <row r="25" spans="3:16" ht="22.8" x14ac:dyDescent="0.3">
      <c r="C25" s="38" t="s">
        <v>256</v>
      </c>
      <c r="D25" s="39" t="s">
        <v>297</v>
      </c>
      <c r="E25" s="39" t="s">
        <v>298</v>
      </c>
      <c r="F25" s="39" t="s">
        <v>299</v>
      </c>
      <c r="G25" s="39" t="s">
        <v>216</v>
      </c>
      <c r="H25" s="39" t="s">
        <v>217</v>
      </c>
      <c r="I25" s="39" t="s">
        <v>240</v>
      </c>
      <c r="J25" s="39" t="s">
        <v>219</v>
      </c>
      <c r="K25" s="39" t="s">
        <v>220</v>
      </c>
      <c r="L25" s="39" t="s">
        <v>300</v>
      </c>
      <c r="M25" s="39" t="s">
        <v>301</v>
      </c>
      <c r="N25" s="40"/>
      <c r="O25" s="39" t="s">
        <v>223</v>
      </c>
      <c r="P25" s="41">
        <v>1</v>
      </c>
    </row>
    <row r="26" spans="3:16" x14ac:dyDescent="0.3">
      <c r="C26" s="38" t="s">
        <v>212</v>
      </c>
      <c r="D26" s="39" t="s">
        <v>302</v>
      </c>
      <c r="E26" s="39" t="s">
        <v>303</v>
      </c>
      <c r="F26" s="39" t="s">
        <v>304</v>
      </c>
      <c r="G26" s="39" t="s">
        <v>216</v>
      </c>
      <c r="H26" s="39" t="s">
        <v>227</v>
      </c>
      <c r="I26" s="39" t="s">
        <v>218</v>
      </c>
      <c r="J26" s="39" t="s">
        <v>219</v>
      </c>
      <c r="K26" s="39" t="s">
        <v>220</v>
      </c>
      <c r="L26" s="39" t="s">
        <v>286</v>
      </c>
      <c r="M26" s="39" t="s">
        <v>305</v>
      </c>
      <c r="N26" s="40"/>
      <c r="O26" s="39" t="s">
        <v>223</v>
      </c>
      <c r="P26" s="41">
        <v>1</v>
      </c>
    </row>
    <row r="27" spans="3:16" x14ac:dyDescent="0.3">
      <c r="C27" s="38" t="s">
        <v>212</v>
      </c>
      <c r="D27" s="39" t="s">
        <v>267</v>
      </c>
      <c r="E27" s="39" t="s">
        <v>232</v>
      </c>
      <c r="F27" s="39" t="s">
        <v>233</v>
      </c>
      <c r="G27" s="39" t="s">
        <v>216</v>
      </c>
      <c r="H27" s="39" t="s">
        <v>217</v>
      </c>
      <c r="I27" s="39" t="s">
        <v>218</v>
      </c>
      <c r="J27" s="39" t="s">
        <v>219</v>
      </c>
      <c r="K27" s="39" t="s">
        <v>220</v>
      </c>
      <c r="L27" s="39" t="s">
        <v>281</v>
      </c>
      <c r="M27" s="39" t="s">
        <v>306</v>
      </c>
      <c r="N27" s="40"/>
      <c r="O27" s="39" t="s">
        <v>223</v>
      </c>
      <c r="P27" s="41">
        <v>1</v>
      </c>
    </row>
    <row r="28" spans="3:16" x14ac:dyDescent="0.3">
      <c r="C28" s="38" t="s">
        <v>256</v>
      </c>
      <c r="D28" s="39" t="s">
        <v>267</v>
      </c>
      <c r="E28" s="39" t="s">
        <v>279</v>
      </c>
      <c r="F28" s="39" t="s">
        <v>280</v>
      </c>
      <c r="G28" s="39" t="s">
        <v>216</v>
      </c>
      <c r="H28" s="39" t="s">
        <v>307</v>
      </c>
      <c r="I28" s="39" t="s">
        <v>218</v>
      </c>
      <c r="J28" s="39" t="s">
        <v>219</v>
      </c>
      <c r="K28" s="39" t="s">
        <v>253</v>
      </c>
      <c r="L28" s="39" t="s">
        <v>308</v>
      </c>
      <c r="M28" s="39" t="s">
        <v>309</v>
      </c>
      <c r="N28" s="40"/>
      <c r="O28" s="39" t="s">
        <v>223</v>
      </c>
      <c r="P28" s="41">
        <v>1</v>
      </c>
    </row>
    <row r="29" spans="3:16" x14ac:dyDescent="0.3">
      <c r="C29" s="38" t="s">
        <v>212</v>
      </c>
      <c r="D29" s="39" t="s">
        <v>310</v>
      </c>
      <c r="E29" s="39" t="s">
        <v>268</v>
      </c>
      <c r="F29" s="39" t="s">
        <v>269</v>
      </c>
      <c r="G29" s="39" t="s">
        <v>216</v>
      </c>
      <c r="H29" s="39" t="s">
        <v>227</v>
      </c>
      <c r="I29" s="39" t="s">
        <v>218</v>
      </c>
      <c r="J29" s="39" t="s">
        <v>285</v>
      </c>
      <c r="K29" s="39" t="s">
        <v>253</v>
      </c>
      <c r="L29" s="39" t="s">
        <v>259</v>
      </c>
      <c r="M29" s="39" t="s">
        <v>311</v>
      </c>
      <c r="N29" s="40"/>
      <c r="O29" s="39" t="s">
        <v>223</v>
      </c>
      <c r="P29" s="41">
        <v>1</v>
      </c>
    </row>
    <row r="30" spans="3:16" x14ac:dyDescent="0.3">
      <c r="C30" s="38" t="s">
        <v>256</v>
      </c>
      <c r="D30" s="39" t="s">
        <v>272</v>
      </c>
      <c r="E30" s="39" t="s">
        <v>243</v>
      </c>
      <c r="F30" s="39" t="s">
        <v>244</v>
      </c>
      <c r="G30" s="39" t="s">
        <v>216</v>
      </c>
      <c r="H30" s="39" t="s">
        <v>227</v>
      </c>
      <c r="I30" s="39" t="s">
        <v>218</v>
      </c>
      <c r="J30" s="39" t="s">
        <v>219</v>
      </c>
      <c r="K30" s="39" t="s">
        <v>220</v>
      </c>
      <c r="L30" s="39" t="s">
        <v>312</v>
      </c>
      <c r="M30" s="39" t="s">
        <v>313</v>
      </c>
      <c r="N30" s="40"/>
      <c r="O30" s="39" t="s">
        <v>223</v>
      </c>
      <c r="P30" s="41">
        <v>1</v>
      </c>
    </row>
    <row r="31" spans="3:16" ht="22.8" x14ac:dyDescent="0.3">
      <c r="C31" s="38" t="s">
        <v>256</v>
      </c>
      <c r="D31" s="39" t="s">
        <v>252</v>
      </c>
      <c r="E31" s="39" t="s">
        <v>293</v>
      </c>
      <c r="F31" s="39" t="s">
        <v>294</v>
      </c>
      <c r="G31" s="39" t="s">
        <v>216</v>
      </c>
      <c r="H31" s="39" t="s">
        <v>227</v>
      </c>
      <c r="I31" s="39" t="s">
        <v>218</v>
      </c>
      <c r="J31" s="39" t="s">
        <v>285</v>
      </c>
      <c r="K31" s="39" t="s">
        <v>220</v>
      </c>
      <c r="L31" s="39" t="s">
        <v>228</v>
      </c>
      <c r="M31" s="39" t="s">
        <v>314</v>
      </c>
      <c r="N31" s="40"/>
      <c r="O31" s="39" t="s">
        <v>223</v>
      </c>
      <c r="P31" s="41">
        <v>4</v>
      </c>
    </row>
    <row r="32" spans="3:16" x14ac:dyDescent="0.3">
      <c r="C32" s="38" t="s">
        <v>212</v>
      </c>
      <c r="D32" s="39" t="s">
        <v>274</v>
      </c>
      <c r="E32" s="39" t="s">
        <v>293</v>
      </c>
      <c r="F32" s="39" t="s">
        <v>294</v>
      </c>
      <c r="G32" s="39" t="s">
        <v>216</v>
      </c>
      <c r="H32" s="39" t="s">
        <v>227</v>
      </c>
      <c r="I32" s="39" t="s">
        <v>218</v>
      </c>
      <c r="J32" s="39" t="s">
        <v>219</v>
      </c>
      <c r="K32" s="39" t="s">
        <v>253</v>
      </c>
      <c r="L32" s="39" t="s">
        <v>315</v>
      </c>
      <c r="M32" s="39" t="s">
        <v>316</v>
      </c>
      <c r="N32" s="40"/>
      <c r="O32" s="39" t="s">
        <v>223</v>
      </c>
      <c r="P32" s="41">
        <v>2</v>
      </c>
    </row>
    <row r="33" spans="3:16" ht="22.8" x14ac:dyDescent="0.3">
      <c r="C33" s="38" t="s">
        <v>212</v>
      </c>
      <c r="D33" s="39" t="s">
        <v>267</v>
      </c>
      <c r="E33" s="39" t="s">
        <v>238</v>
      </c>
      <c r="F33" s="39" t="s">
        <v>239</v>
      </c>
      <c r="G33" s="39" t="s">
        <v>216</v>
      </c>
      <c r="H33" s="39" t="s">
        <v>227</v>
      </c>
      <c r="I33" s="39" t="s">
        <v>240</v>
      </c>
      <c r="J33" s="39" t="s">
        <v>219</v>
      </c>
      <c r="K33" s="39" t="s">
        <v>220</v>
      </c>
      <c r="L33" s="39" t="s">
        <v>234</v>
      </c>
      <c r="M33" s="39" t="s">
        <v>317</v>
      </c>
      <c r="N33" s="40"/>
      <c r="O33" s="39" t="s">
        <v>223</v>
      </c>
      <c r="P33" s="41">
        <v>1</v>
      </c>
    </row>
    <row r="34" spans="3:16" ht="45.6" x14ac:dyDescent="0.3">
      <c r="C34" s="38" t="s">
        <v>212</v>
      </c>
      <c r="D34" s="39" t="s">
        <v>224</v>
      </c>
      <c r="E34" s="39" t="s">
        <v>318</v>
      </c>
      <c r="F34" s="39" t="s">
        <v>319</v>
      </c>
      <c r="G34" s="39" t="s">
        <v>216</v>
      </c>
      <c r="H34" s="39" t="s">
        <v>217</v>
      </c>
      <c r="I34" s="39" t="s">
        <v>240</v>
      </c>
      <c r="J34" s="39" t="s">
        <v>219</v>
      </c>
      <c r="K34" s="39" t="s">
        <v>253</v>
      </c>
      <c r="L34" s="39" t="s">
        <v>320</v>
      </c>
      <c r="M34" s="39" t="s">
        <v>321</v>
      </c>
      <c r="N34" s="40"/>
      <c r="O34" s="39" t="s">
        <v>223</v>
      </c>
      <c r="P34" s="41">
        <v>1</v>
      </c>
    </row>
    <row r="35" spans="3:16" x14ac:dyDescent="0.3">
      <c r="C35" s="38" t="s">
        <v>256</v>
      </c>
      <c r="D35" s="39" t="s">
        <v>224</v>
      </c>
      <c r="E35" s="39" t="s">
        <v>322</v>
      </c>
      <c r="F35" s="39" t="s">
        <v>323</v>
      </c>
      <c r="G35" s="39" t="s">
        <v>216</v>
      </c>
      <c r="H35" s="39" t="s">
        <v>217</v>
      </c>
      <c r="I35" s="39" t="s">
        <v>218</v>
      </c>
      <c r="J35" s="39" t="s">
        <v>219</v>
      </c>
      <c r="K35" s="39" t="s">
        <v>220</v>
      </c>
      <c r="L35" s="39" t="s">
        <v>308</v>
      </c>
      <c r="M35" s="39" t="s">
        <v>324</v>
      </c>
      <c r="N35" s="40"/>
      <c r="O35" s="39" t="s">
        <v>223</v>
      </c>
      <c r="P35" s="41">
        <v>14</v>
      </c>
    </row>
    <row r="36" spans="3:16" ht="34.200000000000003" x14ac:dyDescent="0.3">
      <c r="C36" s="38" t="s">
        <v>256</v>
      </c>
      <c r="D36" s="39" t="s">
        <v>274</v>
      </c>
      <c r="E36" s="39" t="s">
        <v>275</v>
      </c>
      <c r="F36" s="39" t="s">
        <v>276</v>
      </c>
      <c r="G36" s="39" t="s">
        <v>216</v>
      </c>
      <c r="H36" s="39" t="s">
        <v>227</v>
      </c>
      <c r="I36" s="39" t="s">
        <v>218</v>
      </c>
      <c r="J36" s="39" t="s">
        <v>325</v>
      </c>
      <c r="K36" s="39" t="s">
        <v>220</v>
      </c>
      <c r="L36" s="39" t="s">
        <v>259</v>
      </c>
      <c r="M36" s="39" t="s">
        <v>326</v>
      </c>
      <c r="N36" s="40"/>
      <c r="O36" s="39" t="s">
        <v>223</v>
      </c>
      <c r="P36" s="41">
        <v>1</v>
      </c>
    </row>
    <row r="37" spans="3:16" ht="22.8" x14ac:dyDescent="0.3">
      <c r="C37" s="38" t="s">
        <v>212</v>
      </c>
      <c r="D37" s="39" t="s">
        <v>272</v>
      </c>
      <c r="E37" s="39" t="s">
        <v>243</v>
      </c>
      <c r="F37" s="39" t="s">
        <v>244</v>
      </c>
      <c r="G37" s="39" t="s">
        <v>216</v>
      </c>
      <c r="H37" s="39" t="s">
        <v>217</v>
      </c>
      <c r="I37" s="39" t="s">
        <v>240</v>
      </c>
      <c r="J37" s="39" t="s">
        <v>219</v>
      </c>
      <c r="K37" s="39" t="s">
        <v>220</v>
      </c>
      <c r="L37" s="39" t="s">
        <v>327</v>
      </c>
      <c r="M37" s="42" t="s">
        <v>328</v>
      </c>
      <c r="N37" s="40"/>
      <c r="O37" s="39" t="s">
        <v>223</v>
      </c>
      <c r="P37" s="41">
        <v>2</v>
      </c>
    </row>
    <row r="38" spans="3:16" ht="22.8" x14ac:dyDescent="0.3">
      <c r="C38" s="38" t="s">
        <v>256</v>
      </c>
      <c r="D38" s="39" t="s">
        <v>252</v>
      </c>
      <c r="E38" s="39" t="s">
        <v>293</v>
      </c>
      <c r="F38" s="39" t="s">
        <v>294</v>
      </c>
      <c r="G38" s="39" t="s">
        <v>216</v>
      </c>
      <c r="H38" s="39" t="s">
        <v>227</v>
      </c>
      <c r="I38" s="39" t="s">
        <v>245</v>
      </c>
      <c r="J38" s="39" t="s">
        <v>219</v>
      </c>
      <c r="K38" s="39" t="s">
        <v>220</v>
      </c>
      <c r="L38" s="39" t="s">
        <v>286</v>
      </c>
      <c r="M38" s="39" t="s">
        <v>329</v>
      </c>
      <c r="N38" s="40"/>
      <c r="O38" s="39" t="s">
        <v>223</v>
      </c>
      <c r="P38" s="41">
        <v>1</v>
      </c>
    </row>
    <row r="39" spans="3:16" ht="22.8" x14ac:dyDescent="0.3">
      <c r="C39" s="38" t="s">
        <v>256</v>
      </c>
      <c r="D39" s="39" t="s">
        <v>252</v>
      </c>
      <c r="E39" s="39" t="s">
        <v>293</v>
      </c>
      <c r="F39" s="39" t="s">
        <v>294</v>
      </c>
      <c r="G39" s="39" t="s">
        <v>216</v>
      </c>
      <c r="H39" s="39" t="s">
        <v>227</v>
      </c>
      <c r="I39" s="39" t="s">
        <v>218</v>
      </c>
      <c r="J39" s="39" t="s">
        <v>219</v>
      </c>
      <c r="K39" s="39" t="s">
        <v>220</v>
      </c>
      <c r="L39" s="39" t="s">
        <v>261</v>
      </c>
      <c r="M39" s="39" t="s">
        <v>330</v>
      </c>
      <c r="N39" s="40"/>
      <c r="O39" s="39" t="s">
        <v>223</v>
      </c>
      <c r="P39" s="41">
        <v>8</v>
      </c>
    </row>
    <row r="40" spans="3:16" ht="45.6" x14ac:dyDescent="0.3">
      <c r="C40" s="38" t="s">
        <v>212</v>
      </c>
      <c r="D40" s="39" t="s">
        <v>264</v>
      </c>
      <c r="E40" s="39" t="s">
        <v>331</v>
      </c>
      <c r="F40" s="39" t="s">
        <v>332</v>
      </c>
      <c r="G40" s="39" t="s">
        <v>216</v>
      </c>
      <c r="H40" s="39" t="s">
        <v>227</v>
      </c>
      <c r="I40" s="39" t="s">
        <v>218</v>
      </c>
      <c r="J40" s="39" t="s">
        <v>219</v>
      </c>
      <c r="K40" s="39" t="s">
        <v>220</v>
      </c>
      <c r="L40" s="39" t="s">
        <v>221</v>
      </c>
      <c r="M40" s="39" t="s">
        <v>333</v>
      </c>
      <c r="N40" s="40"/>
      <c r="O40" s="39" t="s">
        <v>223</v>
      </c>
      <c r="P40" s="41">
        <v>3</v>
      </c>
    </row>
    <row r="41" spans="3:16" ht="34.200000000000003" x14ac:dyDescent="0.3">
      <c r="C41" s="38" t="s">
        <v>256</v>
      </c>
      <c r="D41" s="39" t="s">
        <v>237</v>
      </c>
      <c r="E41" s="39" t="s">
        <v>225</v>
      </c>
      <c r="F41" s="39" t="s">
        <v>226</v>
      </c>
      <c r="G41" s="39" t="s">
        <v>216</v>
      </c>
      <c r="H41" s="39" t="s">
        <v>217</v>
      </c>
      <c r="I41" s="39" t="s">
        <v>218</v>
      </c>
      <c r="J41" s="39" t="s">
        <v>219</v>
      </c>
      <c r="K41" s="39" t="s">
        <v>220</v>
      </c>
      <c r="L41" s="39" t="s">
        <v>228</v>
      </c>
      <c r="M41" s="39" t="s">
        <v>334</v>
      </c>
      <c r="N41" s="40"/>
      <c r="O41" s="39" t="s">
        <v>223</v>
      </c>
      <c r="P41" s="41">
        <v>1</v>
      </c>
    </row>
    <row r="42" spans="3:16" ht="22.8" x14ac:dyDescent="0.3">
      <c r="C42" s="38" t="s">
        <v>212</v>
      </c>
      <c r="D42" s="39" t="s">
        <v>302</v>
      </c>
      <c r="E42" s="39" t="s">
        <v>293</v>
      </c>
      <c r="F42" s="39" t="s">
        <v>294</v>
      </c>
      <c r="G42" s="39" t="s">
        <v>216</v>
      </c>
      <c r="H42" s="39" t="s">
        <v>227</v>
      </c>
      <c r="I42" s="39" t="s">
        <v>240</v>
      </c>
      <c r="J42" s="39" t="s">
        <v>219</v>
      </c>
      <c r="K42" s="39" t="s">
        <v>220</v>
      </c>
      <c r="L42" s="39" t="s">
        <v>234</v>
      </c>
      <c r="M42" s="39" t="s">
        <v>335</v>
      </c>
      <c r="N42" s="40"/>
      <c r="O42" s="39" t="s">
        <v>223</v>
      </c>
      <c r="P42" s="41">
        <v>1</v>
      </c>
    </row>
    <row r="43" spans="3:16" ht="34.200000000000003" x14ac:dyDescent="0.3">
      <c r="C43" s="38" t="s">
        <v>212</v>
      </c>
      <c r="D43" s="39" t="s">
        <v>264</v>
      </c>
      <c r="E43" s="39" t="s">
        <v>275</v>
      </c>
      <c r="F43" s="39" t="s">
        <v>276</v>
      </c>
      <c r="G43" s="39" t="s">
        <v>216</v>
      </c>
      <c r="H43" s="39" t="s">
        <v>217</v>
      </c>
      <c r="I43" s="39" t="s">
        <v>218</v>
      </c>
      <c r="J43" s="39" t="s">
        <v>219</v>
      </c>
      <c r="K43" s="39" t="s">
        <v>220</v>
      </c>
      <c r="L43" s="39" t="s">
        <v>277</v>
      </c>
      <c r="M43" s="39" t="s">
        <v>336</v>
      </c>
      <c r="N43" s="40"/>
      <c r="O43" s="39" t="s">
        <v>223</v>
      </c>
      <c r="P43" s="41">
        <v>1</v>
      </c>
    </row>
    <row r="44" spans="3:16" x14ac:dyDescent="0.3">
      <c r="C44" s="38" t="s">
        <v>256</v>
      </c>
      <c r="D44" s="39" t="s">
        <v>264</v>
      </c>
      <c r="E44" s="39" t="s">
        <v>293</v>
      </c>
      <c r="F44" s="39" t="s">
        <v>294</v>
      </c>
      <c r="G44" s="39" t="s">
        <v>216</v>
      </c>
      <c r="H44" s="39" t="s">
        <v>217</v>
      </c>
      <c r="I44" s="39" t="s">
        <v>218</v>
      </c>
      <c r="J44" s="39" t="s">
        <v>219</v>
      </c>
      <c r="K44" s="39" t="s">
        <v>220</v>
      </c>
      <c r="L44" s="39" t="s">
        <v>337</v>
      </c>
      <c r="M44" s="39" t="s">
        <v>338</v>
      </c>
      <c r="N44" s="40"/>
      <c r="O44" s="39" t="s">
        <v>223</v>
      </c>
      <c r="P44" s="41">
        <v>43</v>
      </c>
    </row>
    <row r="45" spans="3:16" ht="34.200000000000003" x14ac:dyDescent="0.3">
      <c r="C45" s="38" t="s">
        <v>212</v>
      </c>
      <c r="D45" s="39" t="s">
        <v>274</v>
      </c>
      <c r="E45" s="39" t="s">
        <v>214</v>
      </c>
      <c r="F45" s="39" t="s">
        <v>215</v>
      </c>
      <c r="G45" s="39" t="s">
        <v>216</v>
      </c>
      <c r="H45" s="39" t="s">
        <v>227</v>
      </c>
      <c r="I45" s="39" t="s">
        <v>218</v>
      </c>
      <c r="J45" s="39" t="s">
        <v>219</v>
      </c>
      <c r="K45" s="39" t="s">
        <v>220</v>
      </c>
      <c r="L45" s="39" t="s">
        <v>308</v>
      </c>
      <c r="M45" s="39" t="s">
        <v>339</v>
      </c>
      <c r="N45" s="40"/>
      <c r="O45" s="39" t="s">
        <v>223</v>
      </c>
      <c r="P45" s="41">
        <v>78</v>
      </c>
    </row>
    <row r="46" spans="3:16" ht="22.8" x14ac:dyDescent="0.3">
      <c r="C46" s="38" t="s">
        <v>212</v>
      </c>
      <c r="D46" s="39" t="s">
        <v>252</v>
      </c>
      <c r="E46" s="39" t="s">
        <v>279</v>
      </c>
      <c r="F46" s="39" t="s">
        <v>280</v>
      </c>
      <c r="G46" s="39" t="s">
        <v>216</v>
      </c>
      <c r="H46" s="39" t="s">
        <v>227</v>
      </c>
      <c r="I46" s="39" t="s">
        <v>218</v>
      </c>
      <c r="J46" s="39" t="s">
        <v>219</v>
      </c>
      <c r="K46" s="39" t="s">
        <v>253</v>
      </c>
      <c r="L46" s="39" t="s">
        <v>228</v>
      </c>
      <c r="M46" s="39" t="s">
        <v>340</v>
      </c>
      <c r="N46" s="40"/>
      <c r="O46" s="39" t="s">
        <v>223</v>
      </c>
      <c r="P46" s="41">
        <v>19</v>
      </c>
    </row>
    <row r="47" spans="3:16" x14ac:dyDescent="0.3">
      <c r="C47" s="38" t="s">
        <v>256</v>
      </c>
      <c r="D47" s="39" t="s">
        <v>264</v>
      </c>
      <c r="E47" s="39" t="s">
        <v>279</v>
      </c>
      <c r="F47" s="39" t="s">
        <v>280</v>
      </c>
      <c r="G47" s="39" t="s">
        <v>216</v>
      </c>
      <c r="H47" s="39" t="s">
        <v>217</v>
      </c>
      <c r="I47" s="39" t="s">
        <v>218</v>
      </c>
      <c r="J47" s="39" t="s">
        <v>219</v>
      </c>
      <c r="K47" s="39" t="s">
        <v>253</v>
      </c>
      <c r="L47" s="39" t="s">
        <v>281</v>
      </c>
      <c r="M47" s="39" t="s">
        <v>341</v>
      </c>
      <c r="N47" s="40"/>
      <c r="O47" s="39" t="s">
        <v>223</v>
      </c>
      <c r="P47" s="41">
        <v>6</v>
      </c>
    </row>
    <row r="48" spans="3:16" ht="34.200000000000003" x14ac:dyDescent="0.3">
      <c r="C48" s="38" t="s">
        <v>256</v>
      </c>
      <c r="D48" s="39" t="s">
        <v>252</v>
      </c>
      <c r="E48" s="39" t="s">
        <v>342</v>
      </c>
      <c r="F48" s="39" t="s">
        <v>343</v>
      </c>
      <c r="G48" s="39" t="s">
        <v>216</v>
      </c>
      <c r="H48" s="39" t="s">
        <v>227</v>
      </c>
      <c r="I48" s="39" t="s">
        <v>218</v>
      </c>
      <c r="J48" s="39" t="s">
        <v>219</v>
      </c>
      <c r="K48" s="39" t="s">
        <v>253</v>
      </c>
      <c r="L48" s="39" t="s">
        <v>281</v>
      </c>
      <c r="M48" s="39" t="s">
        <v>344</v>
      </c>
      <c r="N48" s="40"/>
      <c r="O48" s="39" t="s">
        <v>223</v>
      </c>
      <c r="P48" s="41">
        <v>1</v>
      </c>
    </row>
    <row r="49" spans="3:16" x14ac:dyDescent="0.3">
      <c r="C49" s="38" t="s">
        <v>256</v>
      </c>
      <c r="D49" s="39" t="s">
        <v>310</v>
      </c>
      <c r="E49" s="39" t="s">
        <v>279</v>
      </c>
      <c r="F49" s="39" t="s">
        <v>280</v>
      </c>
      <c r="G49" s="39" t="s">
        <v>216</v>
      </c>
      <c r="H49" s="39" t="s">
        <v>227</v>
      </c>
      <c r="I49" s="39" t="s">
        <v>218</v>
      </c>
      <c r="J49" s="39" t="s">
        <v>219</v>
      </c>
      <c r="K49" s="39" t="s">
        <v>253</v>
      </c>
      <c r="L49" s="39" t="s">
        <v>234</v>
      </c>
      <c r="M49" s="39" t="s">
        <v>345</v>
      </c>
      <c r="N49" s="40"/>
      <c r="O49" s="39" t="s">
        <v>223</v>
      </c>
      <c r="P49" s="41">
        <v>2</v>
      </c>
    </row>
    <row r="50" spans="3:16" ht="22.8" x14ac:dyDescent="0.3">
      <c r="C50" s="38" t="s">
        <v>212</v>
      </c>
      <c r="D50" s="39" t="s">
        <v>302</v>
      </c>
      <c r="E50" s="39" t="s">
        <v>346</v>
      </c>
      <c r="F50" s="39" t="s">
        <v>347</v>
      </c>
      <c r="G50" s="39" t="s">
        <v>216</v>
      </c>
      <c r="H50" s="39" t="s">
        <v>217</v>
      </c>
      <c r="I50" s="39" t="s">
        <v>218</v>
      </c>
      <c r="J50" s="39" t="s">
        <v>219</v>
      </c>
      <c r="K50" s="39" t="s">
        <v>253</v>
      </c>
      <c r="L50" s="39" t="s">
        <v>348</v>
      </c>
      <c r="M50" s="39" t="s">
        <v>349</v>
      </c>
      <c r="N50" s="40"/>
      <c r="O50" s="39" t="s">
        <v>223</v>
      </c>
      <c r="P50" s="41">
        <v>1</v>
      </c>
    </row>
    <row r="51" spans="3:16" ht="22.8" x14ac:dyDescent="0.3">
      <c r="C51" s="38" t="s">
        <v>212</v>
      </c>
      <c r="D51" s="39" t="s">
        <v>264</v>
      </c>
      <c r="E51" s="39" t="s">
        <v>290</v>
      </c>
      <c r="F51" s="39" t="s">
        <v>291</v>
      </c>
      <c r="G51" s="39" t="s">
        <v>216</v>
      </c>
      <c r="H51" s="39" t="s">
        <v>227</v>
      </c>
      <c r="I51" s="39" t="s">
        <v>240</v>
      </c>
      <c r="J51" s="39" t="s">
        <v>219</v>
      </c>
      <c r="K51" s="39" t="s">
        <v>220</v>
      </c>
      <c r="L51" s="39" t="s">
        <v>281</v>
      </c>
      <c r="M51" s="39" t="s">
        <v>350</v>
      </c>
      <c r="N51" s="40"/>
      <c r="O51" s="39" t="s">
        <v>223</v>
      </c>
      <c r="P51" s="41">
        <v>2</v>
      </c>
    </row>
    <row r="52" spans="3:16" ht="34.200000000000003" x14ac:dyDescent="0.3">
      <c r="C52" s="38" t="s">
        <v>212</v>
      </c>
      <c r="D52" s="39" t="s">
        <v>310</v>
      </c>
      <c r="E52" s="39" t="s">
        <v>351</v>
      </c>
      <c r="F52" s="39" t="s">
        <v>352</v>
      </c>
      <c r="G52" s="39" t="s">
        <v>216</v>
      </c>
      <c r="H52" s="39" t="s">
        <v>227</v>
      </c>
      <c r="I52" s="39" t="s">
        <v>218</v>
      </c>
      <c r="J52" s="39" t="s">
        <v>219</v>
      </c>
      <c r="K52" s="39" t="s">
        <v>220</v>
      </c>
      <c r="L52" s="39" t="s">
        <v>286</v>
      </c>
      <c r="M52" s="39" t="s">
        <v>353</v>
      </c>
      <c r="N52" s="40"/>
      <c r="O52" s="39" t="s">
        <v>223</v>
      </c>
      <c r="P52" s="41">
        <v>5</v>
      </c>
    </row>
    <row r="53" spans="3:16" ht="22.8" x14ac:dyDescent="0.3">
      <c r="C53" s="38" t="s">
        <v>212</v>
      </c>
      <c r="D53" s="39" t="s">
        <v>272</v>
      </c>
      <c r="E53" s="39" t="s">
        <v>354</v>
      </c>
      <c r="F53" s="39" t="s">
        <v>355</v>
      </c>
      <c r="G53" s="39" t="s">
        <v>216</v>
      </c>
      <c r="H53" s="39" t="s">
        <v>217</v>
      </c>
      <c r="I53" s="39" t="s">
        <v>218</v>
      </c>
      <c r="J53" s="39" t="s">
        <v>219</v>
      </c>
      <c r="K53" s="39" t="s">
        <v>220</v>
      </c>
      <c r="L53" s="39" t="s">
        <v>241</v>
      </c>
      <c r="M53" s="39" t="s">
        <v>356</v>
      </c>
      <c r="N53" s="40"/>
      <c r="O53" s="39" t="s">
        <v>223</v>
      </c>
      <c r="P53" s="41">
        <v>5</v>
      </c>
    </row>
    <row r="54" spans="3:16" x14ac:dyDescent="0.3">
      <c r="C54" s="38" t="s">
        <v>256</v>
      </c>
      <c r="D54" s="39" t="s">
        <v>267</v>
      </c>
      <c r="E54" s="39" t="s">
        <v>243</v>
      </c>
      <c r="F54" s="39" t="s">
        <v>244</v>
      </c>
      <c r="G54" s="39" t="s">
        <v>216</v>
      </c>
      <c r="H54" s="39" t="s">
        <v>227</v>
      </c>
      <c r="I54" s="39" t="s">
        <v>218</v>
      </c>
      <c r="J54" s="39" t="s">
        <v>219</v>
      </c>
      <c r="K54" s="39" t="s">
        <v>220</v>
      </c>
      <c r="L54" s="39" t="s">
        <v>221</v>
      </c>
      <c r="M54" s="39" t="s">
        <v>357</v>
      </c>
      <c r="N54" s="40"/>
      <c r="O54" s="39" t="s">
        <v>223</v>
      </c>
      <c r="P54" s="41">
        <v>3</v>
      </c>
    </row>
    <row r="55" spans="3:16" x14ac:dyDescent="0.3">
      <c r="C55" s="38" t="s">
        <v>212</v>
      </c>
      <c r="D55" s="39" t="s">
        <v>224</v>
      </c>
      <c r="E55" s="39" t="s">
        <v>303</v>
      </c>
      <c r="F55" s="39" t="s">
        <v>304</v>
      </c>
      <c r="G55" s="39" t="s">
        <v>216</v>
      </c>
      <c r="H55" s="39" t="s">
        <v>217</v>
      </c>
      <c r="I55" s="39" t="s">
        <v>218</v>
      </c>
      <c r="J55" s="39" t="s">
        <v>219</v>
      </c>
      <c r="K55" s="39" t="s">
        <v>220</v>
      </c>
      <c r="L55" s="39" t="s">
        <v>259</v>
      </c>
      <c r="M55" s="39" t="s">
        <v>358</v>
      </c>
      <c r="N55" s="40"/>
      <c r="O55" s="39" t="s">
        <v>223</v>
      </c>
      <c r="P55" s="41">
        <v>3</v>
      </c>
    </row>
    <row r="56" spans="3:16" ht="22.8" x14ac:dyDescent="0.3">
      <c r="C56" s="38" t="s">
        <v>212</v>
      </c>
      <c r="D56" s="39" t="s">
        <v>231</v>
      </c>
      <c r="E56" s="39" t="s">
        <v>238</v>
      </c>
      <c r="F56" s="39" t="s">
        <v>239</v>
      </c>
      <c r="G56" s="39" t="s">
        <v>216</v>
      </c>
      <c r="H56" s="39" t="s">
        <v>307</v>
      </c>
      <c r="I56" s="39" t="s">
        <v>240</v>
      </c>
      <c r="J56" s="39" t="s">
        <v>219</v>
      </c>
      <c r="K56" s="39" t="s">
        <v>220</v>
      </c>
      <c r="L56" s="39" t="s">
        <v>228</v>
      </c>
      <c r="M56" s="39" t="s">
        <v>251</v>
      </c>
      <c r="N56" s="40"/>
      <c r="O56" s="39" t="s">
        <v>223</v>
      </c>
      <c r="P56" s="41">
        <v>2</v>
      </c>
    </row>
    <row r="57" spans="3:16" ht="45.6" x14ac:dyDescent="0.3">
      <c r="C57" s="38" t="s">
        <v>256</v>
      </c>
      <c r="D57" s="39" t="s">
        <v>224</v>
      </c>
      <c r="E57" s="39" t="s">
        <v>318</v>
      </c>
      <c r="F57" s="39" t="s">
        <v>319</v>
      </c>
      <c r="G57" s="39" t="s">
        <v>216</v>
      </c>
      <c r="H57" s="39" t="s">
        <v>217</v>
      </c>
      <c r="I57" s="39" t="s">
        <v>218</v>
      </c>
      <c r="J57" s="39" t="s">
        <v>219</v>
      </c>
      <c r="K57" s="39" t="s">
        <v>253</v>
      </c>
      <c r="L57" s="39" t="s">
        <v>359</v>
      </c>
      <c r="M57" s="39" t="s">
        <v>360</v>
      </c>
      <c r="N57" s="40"/>
      <c r="O57" s="39" t="s">
        <v>223</v>
      </c>
      <c r="P57" s="41">
        <v>2</v>
      </c>
    </row>
    <row r="58" spans="3:16" ht="45.6" x14ac:dyDescent="0.3">
      <c r="C58" s="38" t="s">
        <v>256</v>
      </c>
      <c r="D58" s="39" t="s">
        <v>272</v>
      </c>
      <c r="E58" s="39" t="s">
        <v>318</v>
      </c>
      <c r="F58" s="39" t="s">
        <v>319</v>
      </c>
      <c r="G58" s="39" t="s">
        <v>216</v>
      </c>
      <c r="H58" s="39" t="s">
        <v>217</v>
      </c>
      <c r="I58" s="39" t="s">
        <v>245</v>
      </c>
      <c r="J58" s="39" t="s">
        <v>219</v>
      </c>
      <c r="K58" s="39" t="s">
        <v>253</v>
      </c>
      <c r="L58" s="39" t="s">
        <v>359</v>
      </c>
      <c r="M58" s="39" t="s">
        <v>361</v>
      </c>
      <c r="N58" s="40"/>
      <c r="O58" s="39" t="s">
        <v>223</v>
      </c>
      <c r="P58" s="41">
        <v>1</v>
      </c>
    </row>
    <row r="59" spans="3:16" ht="22.8" x14ac:dyDescent="0.3">
      <c r="C59" s="38" t="s">
        <v>212</v>
      </c>
      <c r="D59" s="39" t="s">
        <v>297</v>
      </c>
      <c r="E59" s="39" t="s">
        <v>232</v>
      </c>
      <c r="F59" s="39" t="s">
        <v>233</v>
      </c>
      <c r="G59" s="39" t="s">
        <v>216</v>
      </c>
      <c r="H59" s="39" t="s">
        <v>217</v>
      </c>
      <c r="I59" s="39" t="s">
        <v>240</v>
      </c>
      <c r="J59" s="39" t="s">
        <v>219</v>
      </c>
      <c r="K59" s="39" t="s">
        <v>220</v>
      </c>
      <c r="L59" s="39" t="s">
        <v>315</v>
      </c>
      <c r="M59" s="39" t="s">
        <v>362</v>
      </c>
      <c r="N59" s="40"/>
      <c r="O59" s="39" t="s">
        <v>223</v>
      </c>
      <c r="P59" s="41">
        <v>1</v>
      </c>
    </row>
    <row r="60" spans="3:16" x14ac:dyDescent="0.3">
      <c r="C60" s="38" t="s">
        <v>212</v>
      </c>
      <c r="D60" s="39" t="s">
        <v>297</v>
      </c>
      <c r="E60" s="39" t="s">
        <v>293</v>
      </c>
      <c r="F60" s="39" t="s">
        <v>294</v>
      </c>
      <c r="G60" s="39" t="s">
        <v>216</v>
      </c>
      <c r="H60" s="39" t="s">
        <v>217</v>
      </c>
      <c r="I60" s="39" t="s">
        <v>218</v>
      </c>
      <c r="J60" s="39" t="s">
        <v>219</v>
      </c>
      <c r="K60" s="39" t="s">
        <v>220</v>
      </c>
      <c r="L60" s="39" t="s">
        <v>234</v>
      </c>
      <c r="M60" s="39" t="s">
        <v>363</v>
      </c>
      <c r="N60" s="40"/>
      <c r="O60" s="39" t="s">
        <v>223</v>
      </c>
      <c r="P60" s="41">
        <v>1</v>
      </c>
    </row>
    <row r="61" spans="3:16" ht="45.6" x14ac:dyDescent="0.3">
      <c r="C61" s="38" t="s">
        <v>256</v>
      </c>
      <c r="D61" s="39" t="s">
        <v>274</v>
      </c>
      <c r="E61" s="39" t="s">
        <v>318</v>
      </c>
      <c r="F61" s="39" t="s">
        <v>319</v>
      </c>
      <c r="G61" s="39" t="s">
        <v>216</v>
      </c>
      <c r="H61" s="39" t="s">
        <v>217</v>
      </c>
      <c r="I61" s="39" t="s">
        <v>240</v>
      </c>
      <c r="J61" s="39" t="s">
        <v>219</v>
      </c>
      <c r="K61" s="39" t="s">
        <v>253</v>
      </c>
      <c r="L61" s="39" t="s">
        <v>320</v>
      </c>
      <c r="M61" s="39" t="s">
        <v>364</v>
      </c>
      <c r="N61" s="40"/>
      <c r="O61" s="39" t="s">
        <v>223</v>
      </c>
      <c r="P61" s="41">
        <v>1</v>
      </c>
    </row>
    <row r="62" spans="3:16" ht="45.6" x14ac:dyDescent="0.3">
      <c r="C62" s="38" t="s">
        <v>256</v>
      </c>
      <c r="D62" s="39" t="s">
        <v>302</v>
      </c>
      <c r="E62" s="39" t="s">
        <v>365</v>
      </c>
      <c r="F62" s="39" t="s">
        <v>366</v>
      </c>
      <c r="G62" s="39" t="s">
        <v>216</v>
      </c>
      <c r="H62" s="39" t="s">
        <v>217</v>
      </c>
      <c r="I62" s="39" t="s">
        <v>218</v>
      </c>
      <c r="J62" s="39" t="s">
        <v>219</v>
      </c>
      <c r="K62" s="39" t="s">
        <v>220</v>
      </c>
      <c r="L62" s="39" t="s">
        <v>320</v>
      </c>
      <c r="M62" s="39" t="s">
        <v>367</v>
      </c>
      <c r="N62" s="40"/>
      <c r="O62" s="39" t="s">
        <v>223</v>
      </c>
      <c r="P62" s="41">
        <v>118</v>
      </c>
    </row>
    <row r="63" spans="3:16" ht="34.200000000000003" x14ac:dyDescent="0.3">
      <c r="C63" s="38" t="s">
        <v>256</v>
      </c>
      <c r="D63" s="39" t="s">
        <v>252</v>
      </c>
      <c r="E63" s="39" t="s">
        <v>342</v>
      </c>
      <c r="F63" s="39" t="s">
        <v>343</v>
      </c>
      <c r="G63" s="39" t="s">
        <v>216</v>
      </c>
      <c r="H63" s="39" t="s">
        <v>217</v>
      </c>
      <c r="I63" s="39" t="s">
        <v>218</v>
      </c>
      <c r="J63" s="39" t="s">
        <v>219</v>
      </c>
      <c r="K63" s="39" t="s">
        <v>220</v>
      </c>
      <c r="L63" s="39" t="s">
        <v>281</v>
      </c>
      <c r="M63" s="39" t="s">
        <v>368</v>
      </c>
      <c r="N63" s="40"/>
      <c r="O63" s="39" t="s">
        <v>223</v>
      </c>
      <c r="P63" s="41">
        <v>7</v>
      </c>
    </row>
    <row r="64" spans="3:16" ht="22.8" x14ac:dyDescent="0.3">
      <c r="C64" s="38" t="s">
        <v>212</v>
      </c>
      <c r="D64" s="39" t="s">
        <v>231</v>
      </c>
      <c r="E64" s="39" t="s">
        <v>293</v>
      </c>
      <c r="F64" s="39" t="s">
        <v>294</v>
      </c>
      <c r="G64" s="39" t="s">
        <v>216</v>
      </c>
      <c r="H64" s="39" t="s">
        <v>227</v>
      </c>
      <c r="I64" s="39" t="s">
        <v>240</v>
      </c>
      <c r="J64" s="39" t="s">
        <v>219</v>
      </c>
      <c r="K64" s="39" t="s">
        <v>220</v>
      </c>
      <c r="L64" s="39" t="s">
        <v>337</v>
      </c>
      <c r="M64" s="39" t="s">
        <v>369</v>
      </c>
      <c r="N64" s="40"/>
      <c r="O64" s="39" t="s">
        <v>223</v>
      </c>
      <c r="P64" s="41">
        <v>42</v>
      </c>
    </row>
    <row r="65" spans="3:20" ht="34.200000000000003" x14ac:dyDescent="0.3">
      <c r="C65" s="38" t="s">
        <v>256</v>
      </c>
      <c r="D65" s="39" t="s">
        <v>302</v>
      </c>
      <c r="E65" s="39" t="s">
        <v>370</v>
      </c>
      <c r="F65" s="39" t="s">
        <v>371</v>
      </c>
      <c r="G65" s="39" t="s">
        <v>216</v>
      </c>
      <c r="H65" s="39" t="s">
        <v>217</v>
      </c>
      <c r="I65" s="39" t="s">
        <v>218</v>
      </c>
      <c r="J65" s="39" t="s">
        <v>219</v>
      </c>
      <c r="K65" s="39" t="s">
        <v>220</v>
      </c>
      <c r="L65" s="39" t="s">
        <v>295</v>
      </c>
      <c r="M65" s="39" t="s">
        <v>372</v>
      </c>
      <c r="N65" s="40"/>
      <c r="O65" s="39" t="s">
        <v>223</v>
      </c>
      <c r="P65" s="41">
        <v>7</v>
      </c>
    </row>
    <row r="66" spans="3:20" ht="22.8" x14ac:dyDescent="0.3">
      <c r="C66" s="38" t="s">
        <v>256</v>
      </c>
      <c r="D66" s="39" t="s">
        <v>231</v>
      </c>
      <c r="E66" s="39" t="s">
        <v>279</v>
      </c>
      <c r="F66" s="39" t="s">
        <v>280</v>
      </c>
      <c r="G66" s="39" t="s">
        <v>216</v>
      </c>
      <c r="H66" s="39" t="s">
        <v>227</v>
      </c>
      <c r="I66" s="39" t="s">
        <v>218</v>
      </c>
      <c r="J66" s="39" t="s">
        <v>219</v>
      </c>
      <c r="K66" s="39" t="s">
        <v>253</v>
      </c>
      <c r="L66" s="39" t="s">
        <v>228</v>
      </c>
      <c r="M66" s="39" t="s">
        <v>373</v>
      </c>
      <c r="N66" s="40"/>
      <c r="O66" s="39" t="s">
        <v>223</v>
      </c>
      <c r="P66" s="41">
        <v>9</v>
      </c>
    </row>
    <row r="67" spans="3:20" ht="22.8" x14ac:dyDescent="0.3">
      <c r="C67" s="38" t="s">
        <v>212</v>
      </c>
      <c r="D67" s="39" t="s">
        <v>302</v>
      </c>
      <c r="E67" s="39" t="s">
        <v>238</v>
      </c>
      <c r="F67" s="39" t="s">
        <v>239</v>
      </c>
      <c r="G67" s="39" t="s">
        <v>216</v>
      </c>
      <c r="H67" s="39" t="s">
        <v>227</v>
      </c>
      <c r="I67" s="39" t="s">
        <v>240</v>
      </c>
      <c r="J67" s="39" t="s">
        <v>219</v>
      </c>
      <c r="K67" s="39" t="s">
        <v>220</v>
      </c>
      <c r="L67" s="39" t="s">
        <v>295</v>
      </c>
      <c r="M67" s="39" t="s">
        <v>374</v>
      </c>
      <c r="N67" s="40"/>
      <c r="O67" s="39" t="s">
        <v>223</v>
      </c>
      <c r="P67" s="41">
        <v>12</v>
      </c>
    </row>
    <row r="68" spans="3:20" ht="22.8" x14ac:dyDescent="0.3">
      <c r="C68" s="38" t="s">
        <v>256</v>
      </c>
      <c r="D68" s="39" t="s">
        <v>213</v>
      </c>
      <c r="E68" s="39" t="s">
        <v>298</v>
      </c>
      <c r="F68" s="39" t="s">
        <v>299</v>
      </c>
      <c r="G68" s="39" t="s">
        <v>216</v>
      </c>
      <c r="H68" s="39" t="s">
        <v>217</v>
      </c>
      <c r="I68" s="39" t="s">
        <v>218</v>
      </c>
      <c r="J68" s="39" t="s">
        <v>219</v>
      </c>
      <c r="K68" s="39" t="s">
        <v>220</v>
      </c>
      <c r="L68" s="39" t="s">
        <v>337</v>
      </c>
      <c r="M68" s="39" t="s">
        <v>375</v>
      </c>
      <c r="N68" s="40"/>
      <c r="O68" s="39" t="s">
        <v>223</v>
      </c>
      <c r="P68" s="41">
        <v>10</v>
      </c>
    </row>
    <row r="69" spans="3:20" x14ac:dyDescent="0.3">
      <c r="C69" s="38" t="s">
        <v>256</v>
      </c>
      <c r="D69" s="39" t="s">
        <v>237</v>
      </c>
      <c r="E69" s="39" t="s">
        <v>376</v>
      </c>
      <c r="F69" s="39" t="s">
        <v>377</v>
      </c>
      <c r="G69" s="39" t="s">
        <v>216</v>
      </c>
      <c r="H69" s="39" t="s">
        <v>227</v>
      </c>
      <c r="I69" s="39" t="s">
        <v>218</v>
      </c>
      <c r="J69" s="39" t="s">
        <v>219</v>
      </c>
      <c r="K69" s="39" t="s">
        <v>220</v>
      </c>
      <c r="L69" s="39" t="s">
        <v>221</v>
      </c>
      <c r="M69" s="39" t="s">
        <v>378</v>
      </c>
      <c r="N69" s="40"/>
      <c r="O69" s="39" t="s">
        <v>223</v>
      </c>
      <c r="P69" s="41">
        <v>2</v>
      </c>
    </row>
    <row r="70" spans="3:20" ht="22.8" x14ac:dyDescent="0.3">
      <c r="C70" s="38" t="s">
        <v>212</v>
      </c>
      <c r="D70" s="39" t="s">
        <v>272</v>
      </c>
      <c r="E70" s="39" t="s">
        <v>238</v>
      </c>
      <c r="F70" s="39" t="s">
        <v>239</v>
      </c>
      <c r="G70" s="39" t="s">
        <v>216</v>
      </c>
      <c r="H70" s="39" t="s">
        <v>217</v>
      </c>
      <c r="I70" s="39" t="s">
        <v>240</v>
      </c>
      <c r="J70" s="39" t="s">
        <v>219</v>
      </c>
      <c r="K70" s="39" t="s">
        <v>253</v>
      </c>
      <c r="L70" s="39" t="s">
        <v>241</v>
      </c>
      <c r="M70" s="39" t="s">
        <v>379</v>
      </c>
      <c r="N70" s="40"/>
      <c r="O70" s="39" t="s">
        <v>223</v>
      </c>
      <c r="P70" s="41">
        <v>4</v>
      </c>
    </row>
    <row r="71" spans="3:20" ht="45.6" x14ac:dyDescent="0.3">
      <c r="C71" s="38" t="s">
        <v>256</v>
      </c>
      <c r="D71" s="39" t="s">
        <v>272</v>
      </c>
      <c r="E71" s="39" t="s">
        <v>318</v>
      </c>
      <c r="F71" s="39" t="s">
        <v>319</v>
      </c>
      <c r="G71" s="39" t="s">
        <v>216</v>
      </c>
      <c r="H71" s="39" t="s">
        <v>217</v>
      </c>
      <c r="I71" s="39" t="s">
        <v>240</v>
      </c>
      <c r="J71" s="39" t="s">
        <v>219</v>
      </c>
      <c r="K71" s="39" t="s">
        <v>253</v>
      </c>
      <c r="L71" s="39" t="s">
        <v>380</v>
      </c>
      <c r="M71" s="39" t="s">
        <v>381</v>
      </c>
      <c r="N71" s="40"/>
      <c r="O71" s="39" t="s">
        <v>223</v>
      </c>
      <c r="P71" s="41">
        <v>1</v>
      </c>
    </row>
    <row r="72" spans="3:20" x14ac:dyDescent="0.3">
      <c r="C72" s="38" t="s">
        <v>212</v>
      </c>
      <c r="D72" s="39" t="s">
        <v>213</v>
      </c>
      <c r="E72" s="39" t="s">
        <v>382</v>
      </c>
      <c r="F72" s="39" t="s">
        <v>383</v>
      </c>
      <c r="G72" s="39" t="s">
        <v>216</v>
      </c>
      <c r="H72" s="39" t="s">
        <v>217</v>
      </c>
      <c r="I72" s="39" t="s">
        <v>218</v>
      </c>
      <c r="J72" s="39" t="s">
        <v>219</v>
      </c>
      <c r="K72" s="39" t="s">
        <v>220</v>
      </c>
      <c r="L72" s="39" t="s">
        <v>241</v>
      </c>
      <c r="M72" s="39" t="s">
        <v>384</v>
      </c>
      <c r="N72" s="40"/>
      <c r="O72" s="39" t="s">
        <v>223</v>
      </c>
      <c r="P72" s="41">
        <v>1</v>
      </c>
    </row>
    <row r="73" spans="3:20" ht="34.200000000000003" x14ac:dyDescent="0.3">
      <c r="C73" s="38" t="s">
        <v>212</v>
      </c>
      <c r="D73" s="39" t="s">
        <v>297</v>
      </c>
      <c r="E73" s="39" t="s">
        <v>351</v>
      </c>
      <c r="F73" s="39" t="s">
        <v>352</v>
      </c>
      <c r="G73" s="39" t="s">
        <v>216</v>
      </c>
      <c r="H73" s="39" t="s">
        <v>217</v>
      </c>
      <c r="I73" s="39" t="s">
        <v>218</v>
      </c>
      <c r="J73" s="39" t="s">
        <v>219</v>
      </c>
      <c r="K73" s="39" t="s">
        <v>220</v>
      </c>
      <c r="L73" s="39" t="s">
        <v>286</v>
      </c>
      <c r="M73" s="39" t="s">
        <v>385</v>
      </c>
      <c r="N73" s="40"/>
      <c r="O73" s="39" t="s">
        <v>223</v>
      </c>
      <c r="P73" s="41">
        <v>5</v>
      </c>
    </row>
    <row r="74" spans="3:20" x14ac:dyDescent="0.3">
      <c r="C74" s="38" t="s">
        <v>256</v>
      </c>
      <c r="D74" s="39" t="s">
        <v>267</v>
      </c>
      <c r="E74" s="39" t="s">
        <v>243</v>
      </c>
      <c r="F74" s="39" t="s">
        <v>244</v>
      </c>
      <c r="G74" s="39" t="s">
        <v>216</v>
      </c>
      <c r="H74" s="39" t="s">
        <v>227</v>
      </c>
      <c r="I74" s="39" t="s">
        <v>218</v>
      </c>
      <c r="J74" s="39" t="s">
        <v>219</v>
      </c>
      <c r="K74" s="39" t="s">
        <v>220</v>
      </c>
      <c r="L74" s="39" t="s">
        <v>386</v>
      </c>
      <c r="M74" s="39" t="s">
        <v>387</v>
      </c>
      <c r="N74" s="40"/>
      <c r="O74" s="39" t="s">
        <v>223</v>
      </c>
      <c r="P74" s="41">
        <v>4</v>
      </c>
    </row>
    <row r="75" spans="3:20" ht="45.6" x14ac:dyDescent="0.3">
      <c r="C75" s="38" t="s">
        <v>212</v>
      </c>
      <c r="D75" s="39" t="s">
        <v>252</v>
      </c>
      <c r="E75" s="39" t="s">
        <v>318</v>
      </c>
      <c r="F75" s="39" t="s">
        <v>319</v>
      </c>
      <c r="G75" s="39" t="s">
        <v>216</v>
      </c>
      <c r="H75" s="39" t="s">
        <v>227</v>
      </c>
      <c r="I75" s="39" t="s">
        <v>218</v>
      </c>
      <c r="J75" s="39" t="s">
        <v>219</v>
      </c>
      <c r="K75" s="39" t="s">
        <v>220</v>
      </c>
      <c r="L75" s="39" t="s">
        <v>359</v>
      </c>
      <c r="M75" s="39" t="s">
        <v>388</v>
      </c>
      <c r="N75" s="40"/>
      <c r="O75" s="39" t="s">
        <v>223</v>
      </c>
      <c r="P75" s="41">
        <v>13</v>
      </c>
    </row>
    <row r="76" spans="3:20" ht="34.200000000000003" x14ac:dyDescent="0.3">
      <c r="C76" s="38" t="s">
        <v>256</v>
      </c>
      <c r="D76" s="39" t="s">
        <v>310</v>
      </c>
      <c r="E76" s="39" t="s">
        <v>342</v>
      </c>
      <c r="F76" s="39" t="s">
        <v>343</v>
      </c>
      <c r="G76" s="39" t="s">
        <v>216</v>
      </c>
      <c r="H76" s="39" t="s">
        <v>227</v>
      </c>
      <c r="I76" s="39" t="s">
        <v>218</v>
      </c>
      <c r="J76" s="39" t="s">
        <v>219</v>
      </c>
      <c r="K76" s="39" t="s">
        <v>220</v>
      </c>
      <c r="L76" s="39" t="s">
        <v>281</v>
      </c>
      <c r="M76" s="39" t="s">
        <v>341</v>
      </c>
      <c r="N76" s="40"/>
      <c r="O76" s="39" t="s">
        <v>223</v>
      </c>
      <c r="P76" s="41">
        <v>1</v>
      </c>
    </row>
    <row r="77" spans="3:20" ht="22.8" x14ac:dyDescent="0.3">
      <c r="C77" s="38" t="s">
        <v>212</v>
      </c>
      <c r="D77" s="39" t="s">
        <v>231</v>
      </c>
      <c r="E77" s="39" t="s">
        <v>279</v>
      </c>
      <c r="F77" s="39" t="s">
        <v>280</v>
      </c>
      <c r="G77" s="39" t="s">
        <v>216</v>
      </c>
      <c r="H77" s="39" t="s">
        <v>227</v>
      </c>
      <c r="I77" s="39" t="s">
        <v>245</v>
      </c>
      <c r="J77" s="39" t="s">
        <v>219</v>
      </c>
      <c r="K77" s="39" t="s">
        <v>220</v>
      </c>
      <c r="L77" s="39" t="s">
        <v>234</v>
      </c>
      <c r="M77" s="39" t="s">
        <v>389</v>
      </c>
      <c r="N77" s="40"/>
      <c r="O77" s="39" t="s">
        <v>223</v>
      </c>
      <c r="P77" s="41">
        <v>1</v>
      </c>
    </row>
    <row r="78" spans="3:20" ht="22.8" x14ac:dyDescent="0.3">
      <c r="C78" s="38" t="s">
        <v>256</v>
      </c>
      <c r="D78" s="39" t="s">
        <v>224</v>
      </c>
      <c r="E78" s="39" t="s">
        <v>293</v>
      </c>
      <c r="F78" s="39" t="s">
        <v>294</v>
      </c>
      <c r="G78" s="39" t="s">
        <v>216</v>
      </c>
      <c r="H78" s="39" t="s">
        <v>227</v>
      </c>
      <c r="I78" s="39" t="s">
        <v>240</v>
      </c>
      <c r="J78" s="39" t="s">
        <v>219</v>
      </c>
      <c r="K78" s="39" t="s">
        <v>220</v>
      </c>
      <c r="L78" s="39" t="s">
        <v>308</v>
      </c>
      <c r="M78" s="39" t="s">
        <v>390</v>
      </c>
      <c r="N78" s="40"/>
      <c r="O78" s="39" t="s">
        <v>223</v>
      </c>
      <c r="P78" s="41">
        <v>1</v>
      </c>
    </row>
    <row r="79" spans="3:20" ht="45.6" x14ac:dyDescent="0.3">
      <c r="C79" s="38" t="s">
        <v>212</v>
      </c>
      <c r="D79" s="39" t="s">
        <v>274</v>
      </c>
      <c r="E79" s="39" t="s">
        <v>318</v>
      </c>
      <c r="F79" s="39" t="s">
        <v>319</v>
      </c>
      <c r="G79" s="39" t="s">
        <v>216</v>
      </c>
      <c r="H79" s="39" t="s">
        <v>217</v>
      </c>
      <c r="I79" s="39" t="s">
        <v>218</v>
      </c>
      <c r="J79" s="39" t="s">
        <v>219</v>
      </c>
      <c r="K79" s="39" t="s">
        <v>253</v>
      </c>
      <c r="L79" s="39" t="s">
        <v>359</v>
      </c>
      <c r="M79" s="39" t="s">
        <v>320</v>
      </c>
      <c r="N79" s="40"/>
      <c r="O79" s="39" t="s">
        <v>223</v>
      </c>
      <c r="P79" s="41">
        <v>1</v>
      </c>
      <c r="T79" s="43"/>
    </row>
    <row r="80" spans="3:20" ht="45.6" x14ac:dyDescent="0.3">
      <c r="C80" s="38" t="s">
        <v>212</v>
      </c>
      <c r="D80" s="39" t="s">
        <v>302</v>
      </c>
      <c r="E80" s="39" t="s">
        <v>257</v>
      </c>
      <c r="F80" s="39" t="s">
        <v>258</v>
      </c>
      <c r="G80" s="39" t="s">
        <v>216</v>
      </c>
      <c r="H80" s="39" t="s">
        <v>217</v>
      </c>
      <c r="I80" s="39" t="s">
        <v>218</v>
      </c>
      <c r="J80" s="39" t="s">
        <v>219</v>
      </c>
      <c r="K80" s="39" t="s">
        <v>220</v>
      </c>
      <c r="L80" s="39" t="s">
        <v>259</v>
      </c>
      <c r="M80" s="39" t="s">
        <v>311</v>
      </c>
      <c r="N80" s="40"/>
      <c r="O80" s="39" t="s">
        <v>223</v>
      </c>
      <c r="P80" s="41">
        <v>5592</v>
      </c>
    </row>
    <row r="81" spans="3:16" x14ac:dyDescent="0.3">
      <c r="C81" s="38" t="s">
        <v>212</v>
      </c>
      <c r="D81" s="39" t="s">
        <v>252</v>
      </c>
      <c r="E81" s="39" t="s">
        <v>382</v>
      </c>
      <c r="F81" s="39" t="s">
        <v>383</v>
      </c>
      <c r="G81" s="39" t="s">
        <v>216</v>
      </c>
      <c r="H81" s="39" t="s">
        <v>217</v>
      </c>
      <c r="I81" s="39" t="s">
        <v>218</v>
      </c>
      <c r="J81" s="39" t="s">
        <v>219</v>
      </c>
      <c r="K81" s="39" t="s">
        <v>220</v>
      </c>
      <c r="L81" s="39" t="s">
        <v>241</v>
      </c>
      <c r="M81" s="39" t="s">
        <v>391</v>
      </c>
      <c r="N81" s="40"/>
      <c r="O81" s="39" t="s">
        <v>223</v>
      </c>
      <c r="P81" s="41">
        <v>57</v>
      </c>
    </row>
    <row r="82" spans="3:16" x14ac:dyDescent="0.3">
      <c r="C82" s="38" t="s">
        <v>256</v>
      </c>
      <c r="D82" s="39" t="s">
        <v>252</v>
      </c>
      <c r="E82" s="39" t="s">
        <v>303</v>
      </c>
      <c r="F82" s="39" t="s">
        <v>304</v>
      </c>
      <c r="G82" s="39" t="s">
        <v>216</v>
      </c>
      <c r="H82" s="39" t="s">
        <v>217</v>
      </c>
      <c r="I82" s="39" t="s">
        <v>218</v>
      </c>
      <c r="J82" s="39" t="s">
        <v>219</v>
      </c>
      <c r="K82" s="39" t="s">
        <v>220</v>
      </c>
      <c r="L82" s="39" t="s">
        <v>259</v>
      </c>
      <c r="M82" s="39" t="s">
        <v>326</v>
      </c>
      <c r="N82" s="40"/>
      <c r="O82" s="39" t="s">
        <v>223</v>
      </c>
      <c r="P82" s="41">
        <v>126</v>
      </c>
    </row>
    <row r="83" spans="3:16" ht="22.8" x14ac:dyDescent="0.3">
      <c r="C83" s="38" t="s">
        <v>256</v>
      </c>
      <c r="D83" s="39" t="s">
        <v>264</v>
      </c>
      <c r="E83" s="39" t="s">
        <v>293</v>
      </c>
      <c r="F83" s="39" t="s">
        <v>294</v>
      </c>
      <c r="G83" s="39" t="s">
        <v>216</v>
      </c>
      <c r="H83" s="39" t="s">
        <v>227</v>
      </c>
      <c r="I83" s="39" t="s">
        <v>240</v>
      </c>
      <c r="J83" s="39" t="s">
        <v>219</v>
      </c>
      <c r="K83" s="39" t="s">
        <v>220</v>
      </c>
      <c r="L83" s="39" t="s">
        <v>308</v>
      </c>
      <c r="M83" s="39" t="s">
        <v>309</v>
      </c>
      <c r="N83" s="40"/>
      <c r="O83" s="39" t="s">
        <v>223</v>
      </c>
      <c r="P83" s="41">
        <v>26</v>
      </c>
    </row>
    <row r="84" spans="3:16" ht="34.200000000000003" x14ac:dyDescent="0.3">
      <c r="C84" s="38" t="s">
        <v>256</v>
      </c>
      <c r="D84" s="39" t="s">
        <v>231</v>
      </c>
      <c r="E84" s="39" t="s">
        <v>225</v>
      </c>
      <c r="F84" s="39" t="s">
        <v>226</v>
      </c>
      <c r="G84" s="39" t="s">
        <v>216</v>
      </c>
      <c r="H84" s="39" t="s">
        <v>217</v>
      </c>
      <c r="I84" s="39" t="s">
        <v>218</v>
      </c>
      <c r="J84" s="39" t="s">
        <v>219</v>
      </c>
      <c r="K84" s="39" t="s">
        <v>220</v>
      </c>
      <c r="L84" s="39" t="s">
        <v>228</v>
      </c>
      <c r="M84" s="39" t="s">
        <v>392</v>
      </c>
      <c r="N84" s="40"/>
      <c r="O84" s="39" t="s">
        <v>223</v>
      </c>
      <c r="P84" s="41">
        <v>1</v>
      </c>
    </row>
    <row r="85" spans="3:16" x14ac:dyDescent="0.3">
      <c r="C85" s="38" t="s">
        <v>212</v>
      </c>
      <c r="D85" s="39" t="s">
        <v>297</v>
      </c>
      <c r="E85" s="39" t="s">
        <v>279</v>
      </c>
      <c r="F85" s="39" t="s">
        <v>280</v>
      </c>
      <c r="G85" s="39" t="s">
        <v>216</v>
      </c>
      <c r="H85" s="39" t="s">
        <v>217</v>
      </c>
      <c r="I85" s="39" t="s">
        <v>218</v>
      </c>
      <c r="J85" s="39" t="s">
        <v>219</v>
      </c>
      <c r="K85" s="39" t="s">
        <v>220</v>
      </c>
      <c r="L85" s="39" t="s">
        <v>277</v>
      </c>
      <c r="M85" s="39" t="s">
        <v>393</v>
      </c>
      <c r="N85" s="40"/>
      <c r="O85" s="39" t="s">
        <v>223</v>
      </c>
      <c r="P85" s="41">
        <v>17</v>
      </c>
    </row>
    <row r="86" spans="3:16" ht="22.8" x14ac:dyDescent="0.3">
      <c r="C86" s="38" t="s">
        <v>212</v>
      </c>
      <c r="D86" s="39" t="s">
        <v>252</v>
      </c>
      <c r="E86" s="39" t="s">
        <v>382</v>
      </c>
      <c r="F86" s="39" t="s">
        <v>383</v>
      </c>
      <c r="G86" s="39" t="s">
        <v>216</v>
      </c>
      <c r="H86" s="39" t="s">
        <v>217</v>
      </c>
      <c r="I86" s="39" t="s">
        <v>245</v>
      </c>
      <c r="J86" s="39" t="s">
        <v>219</v>
      </c>
      <c r="K86" s="39" t="s">
        <v>220</v>
      </c>
      <c r="L86" s="39" t="s">
        <v>241</v>
      </c>
      <c r="M86" s="39" t="s">
        <v>394</v>
      </c>
      <c r="N86" s="40"/>
      <c r="O86" s="39" t="s">
        <v>223</v>
      </c>
      <c r="P86" s="41">
        <v>1</v>
      </c>
    </row>
    <row r="87" spans="3:16" x14ac:dyDescent="0.3">
      <c r="C87" s="38" t="s">
        <v>212</v>
      </c>
      <c r="D87" s="39" t="s">
        <v>310</v>
      </c>
      <c r="E87" s="39" t="s">
        <v>249</v>
      </c>
      <c r="F87" s="39" t="s">
        <v>250</v>
      </c>
      <c r="G87" s="39" t="s">
        <v>216</v>
      </c>
      <c r="H87" s="39" t="s">
        <v>227</v>
      </c>
      <c r="I87" s="39" t="s">
        <v>218</v>
      </c>
      <c r="J87" s="39" t="s">
        <v>219</v>
      </c>
      <c r="K87" s="39" t="s">
        <v>220</v>
      </c>
      <c r="L87" s="39" t="s">
        <v>286</v>
      </c>
      <c r="M87" s="39" t="s">
        <v>395</v>
      </c>
      <c r="N87" s="40"/>
      <c r="O87" s="39" t="s">
        <v>223</v>
      </c>
      <c r="P87" s="41">
        <v>9</v>
      </c>
    </row>
    <row r="88" spans="3:16" ht="22.8" x14ac:dyDescent="0.3">
      <c r="C88" s="38" t="s">
        <v>212</v>
      </c>
      <c r="D88" s="39" t="s">
        <v>213</v>
      </c>
      <c r="E88" s="39" t="s">
        <v>279</v>
      </c>
      <c r="F88" s="39" t="s">
        <v>280</v>
      </c>
      <c r="G88" s="39" t="s">
        <v>216</v>
      </c>
      <c r="H88" s="39" t="s">
        <v>227</v>
      </c>
      <c r="I88" s="39" t="s">
        <v>218</v>
      </c>
      <c r="J88" s="39" t="s">
        <v>219</v>
      </c>
      <c r="K88" s="39" t="s">
        <v>220</v>
      </c>
      <c r="L88" s="39" t="s">
        <v>228</v>
      </c>
      <c r="M88" s="39" t="s">
        <v>340</v>
      </c>
      <c r="N88" s="40"/>
      <c r="O88" s="39" t="s">
        <v>223</v>
      </c>
      <c r="P88" s="41">
        <v>5</v>
      </c>
    </row>
    <row r="89" spans="3:16" x14ac:dyDescent="0.3">
      <c r="C89" s="38" t="s">
        <v>212</v>
      </c>
      <c r="D89" s="39" t="s">
        <v>297</v>
      </c>
      <c r="E89" s="39" t="s">
        <v>293</v>
      </c>
      <c r="F89" s="39" t="s">
        <v>294</v>
      </c>
      <c r="G89" s="39" t="s">
        <v>216</v>
      </c>
      <c r="H89" s="39" t="s">
        <v>227</v>
      </c>
      <c r="I89" s="39" t="s">
        <v>218</v>
      </c>
      <c r="J89" s="39" t="s">
        <v>219</v>
      </c>
      <c r="K89" s="39" t="s">
        <v>220</v>
      </c>
      <c r="L89" s="39" t="s">
        <v>380</v>
      </c>
      <c r="M89" s="39" t="s">
        <v>396</v>
      </c>
      <c r="N89" s="40"/>
      <c r="O89" s="39" t="s">
        <v>223</v>
      </c>
      <c r="P89" s="41">
        <v>1</v>
      </c>
    </row>
    <row r="90" spans="3:16" ht="34.200000000000003" x14ac:dyDescent="0.3">
      <c r="C90" s="38" t="s">
        <v>212</v>
      </c>
      <c r="D90" s="39" t="s">
        <v>231</v>
      </c>
      <c r="E90" s="39" t="s">
        <v>351</v>
      </c>
      <c r="F90" s="39" t="s">
        <v>352</v>
      </c>
      <c r="G90" s="39" t="s">
        <v>216</v>
      </c>
      <c r="H90" s="39" t="s">
        <v>227</v>
      </c>
      <c r="I90" s="39" t="s">
        <v>218</v>
      </c>
      <c r="J90" s="39" t="s">
        <v>219</v>
      </c>
      <c r="K90" s="39" t="s">
        <v>253</v>
      </c>
      <c r="L90" s="39" t="s">
        <v>286</v>
      </c>
      <c r="M90" s="39" t="s">
        <v>397</v>
      </c>
      <c r="N90" s="40"/>
      <c r="O90" s="39" t="s">
        <v>223</v>
      </c>
      <c r="P90" s="41">
        <v>4</v>
      </c>
    </row>
    <row r="91" spans="3:16" ht="34.200000000000003" x14ac:dyDescent="0.3">
      <c r="C91" s="38" t="s">
        <v>256</v>
      </c>
      <c r="D91" s="39" t="s">
        <v>213</v>
      </c>
      <c r="E91" s="39" t="s">
        <v>370</v>
      </c>
      <c r="F91" s="39" t="s">
        <v>371</v>
      </c>
      <c r="G91" s="39" t="s">
        <v>216</v>
      </c>
      <c r="H91" s="39" t="s">
        <v>217</v>
      </c>
      <c r="I91" s="39" t="s">
        <v>218</v>
      </c>
      <c r="J91" s="39" t="s">
        <v>219</v>
      </c>
      <c r="K91" s="39" t="s">
        <v>220</v>
      </c>
      <c r="L91" s="39" t="s">
        <v>295</v>
      </c>
      <c r="M91" s="39" t="s">
        <v>398</v>
      </c>
      <c r="N91" s="40"/>
      <c r="O91" s="39" t="s">
        <v>223</v>
      </c>
      <c r="P91" s="41">
        <v>2</v>
      </c>
    </row>
    <row r="92" spans="3:16" ht="34.200000000000003" x14ac:dyDescent="0.3">
      <c r="C92" s="38" t="s">
        <v>212</v>
      </c>
      <c r="D92" s="39" t="s">
        <v>231</v>
      </c>
      <c r="E92" s="39" t="s">
        <v>275</v>
      </c>
      <c r="F92" s="39" t="s">
        <v>276</v>
      </c>
      <c r="G92" s="39" t="s">
        <v>216</v>
      </c>
      <c r="H92" s="39" t="s">
        <v>217</v>
      </c>
      <c r="I92" s="39" t="s">
        <v>218</v>
      </c>
      <c r="J92" s="39" t="s">
        <v>219</v>
      </c>
      <c r="K92" s="39" t="s">
        <v>220</v>
      </c>
      <c r="L92" s="39" t="s">
        <v>281</v>
      </c>
      <c r="M92" s="39" t="s">
        <v>282</v>
      </c>
      <c r="N92" s="40"/>
      <c r="O92" s="39" t="s">
        <v>223</v>
      </c>
      <c r="P92" s="41">
        <v>2</v>
      </c>
    </row>
    <row r="93" spans="3:16" ht="34.200000000000003" x14ac:dyDescent="0.3">
      <c r="C93" s="38" t="s">
        <v>212</v>
      </c>
      <c r="D93" s="39" t="s">
        <v>297</v>
      </c>
      <c r="E93" s="39" t="s">
        <v>275</v>
      </c>
      <c r="F93" s="39" t="s">
        <v>276</v>
      </c>
      <c r="G93" s="39" t="s">
        <v>216</v>
      </c>
      <c r="H93" s="39" t="s">
        <v>217</v>
      </c>
      <c r="I93" s="39" t="s">
        <v>218</v>
      </c>
      <c r="J93" s="39" t="s">
        <v>219</v>
      </c>
      <c r="K93" s="39" t="s">
        <v>220</v>
      </c>
      <c r="L93" s="39" t="s">
        <v>315</v>
      </c>
      <c r="M93" s="39" t="s">
        <v>399</v>
      </c>
      <c r="N93" s="40"/>
      <c r="O93" s="39" t="s">
        <v>223</v>
      </c>
      <c r="P93" s="41">
        <v>1</v>
      </c>
    </row>
    <row r="94" spans="3:16" ht="22.8" x14ac:dyDescent="0.3">
      <c r="C94" s="38" t="s">
        <v>212</v>
      </c>
      <c r="D94" s="39" t="s">
        <v>297</v>
      </c>
      <c r="E94" s="39" t="s">
        <v>238</v>
      </c>
      <c r="F94" s="39" t="s">
        <v>239</v>
      </c>
      <c r="G94" s="39" t="s">
        <v>216</v>
      </c>
      <c r="H94" s="39" t="s">
        <v>227</v>
      </c>
      <c r="I94" s="39" t="s">
        <v>240</v>
      </c>
      <c r="J94" s="39" t="s">
        <v>219</v>
      </c>
      <c r="K94" s="39" t="s">
        <v>220</v>
      </c>
      <c r="L94" s="39" t="s">
        <v>380</v>
      </c>
      <c r="M94" s="39" t="s">
        <v>381</v>
      </c>
      <c r="N94" s="40"/>
      <c r="O94" s="39" t="s">
        <v>223</v>
      </c>
      <c r="P94" s="41">
        <v>4</v>
      </c>
    </row>
    <row r="95" spans="3:16" ht="22.8" x14ac:dyDescent="0.3">
      <c r="C95" s="38" t="s">
        <v>212</v>
      </c>
      <c r="D95" s="39" t="s">
        <v>302</v>
      </c>
      <c r="E95" s="39" t="s">
        <v>293</v>
      </c>
      <c r="F95" s="39" t="s">
        <v>294</v>
      </c>
      <c r="G95" s="39" t="s">
        <v>216</v>
      </c>
      <c r="H95" s="39" t="s">
        <v>217</v>
      </c>
      <c r="I95" s="39" t="s">
        <v>240</v>
      </c>
      <c r="J95" s="39" t="s">
        <v>219</v>
      </c>
      <c r="K95" s="39" t="s">
        <v>253</v>
      </c>
      <c r="L95" s="39" t="s">
        <v>286</v>
      </c>
      <c r="M95" s="39" t="s">
        <v>400</v>
      </c>
      <c r="N95" s="40"/>
      <c r="O95" s="39" t="s">
        <v>223</v>
      </c>
      <c r="P95" s="41">
        <v>1</v>
      </c>
    </row>
    <row r="96" spans="3:16" ht="34.200000000000003" x14ac:dyDescent="0.3">
      <c r="C96" s="38" t="s">
        <v>212</v>
      </c>
      <c r="D96" s="39" t="s">
        <v>224</v>
      </c>
      <c r="E96" s="39" t="s">
        <v>351</v>
      </c>
      <c r="F96" s="39" t="s">
        <v>352</v>
      </c>
      <c r="G96" s="39" t="s">
        <v>216</v>
      </c>
      <c r="H96" s="39" t="s">
        <v>217</v>
      </c>
      <c r="I96" s="39" t="s">
        <v>218</v>
      </c>
      <c r="J96" s="39" t="s">
        <v>219</v>
      </c>
      <c r="K96" s="39" t="s">
        <v>253</v>
      </c>
      <c r="L96" s="39" t="s">
        <v>286</v>
      </c>
      <c r="M96" s="39" t="s">
        <v>401</v>
      </c>
      <c r="N96" s="40"/>
      <c r="O96" s="39" t="s">
        <v>223</v>
      </c>
      <c r="P96" s="41">
        <v>4</v>
      </c>
    </row>
    <row r="97" spans="3:16" x14ac:dyDescent="0.3">
      <c r="C97" s="38" t="s">
        <v>256</v>
      </c>
      <c r="D97" s="39" t="s">
        <v>264</v>
      </c>
      <c r="E97" s="39" t="s">
        <v>293</v>
      </c>
      <c r="F97" s="39" t="s">
        <v>294</v>
      </c>
      <c r="G97" s="39" t="s">
        <v>216</v>
      </c>
      <c r="H97" s="39" t="s">
        <v>227</v>
      </c>
      <c r="I97" s="39" t="s">
        <v>218</v>
      </c>
      <c r="J97" s="39" t="s">
        <v>219</v>
      </c>
      <c r="K97" s="39" t="s">
        <v>220</v>
      </c>
      <c r="L97" s="39" t="s">
        <v>386</v>
      </c>
      <c r="M97" s="42" t="s">
        <v>402</v>
      </c>
      <c r="N97" s="40"/>
      <c r="O97" s="39" t="s">
        <v>223</v>
      </c>
      <c r="P97" s="41">
        <v>3</v>
      </c>
    </row>
    <row r="98" spans="3:16" x14ac:dyDescent="0.3">
      <c r="C98" s="44" t="s">
        <v>256</v>
      </c>
      <c r="D98" s="45" t="s">
        <v>264</v>
      </c>
      <c r="E98" s="45" t="s">
        <v>403</v>
      </c>
      <c r="F98" s="45" t="s">
        <v>404</v>
      </c>
      <c r="G98" s="45" t="s">
        <v>216</v>
      </c>
      <c r="H98" s="45" t="s">
        <v>217</v>
      </c>
      <c r="I98" s="45" t="s">
        <v>218</v>
      </c>
      <c r="J98" s="45" t="s">
        <v>219</v>
      </c>
      <c r="K98" s="45" t="s">
        <v>220</v>
      </c>
      <c r="L98" s="45" t="s">
        <v>337</v>
      </c>
      <c r="M98" s="45" t="s">
        <v>369</v>
      </c>
      <c r="N98" s="46"/>
      <c r="O98" s="45" t="s">
        <v>223</v>
      </c>
      <c r="P98" s="47">
        <v>1</v>
      </c>
    </row>
    <row r="99" spans="3:16" ht="22.8" x14ac:dyDescent="0.3">
      <c r="C99" s="38" t="s">
        <v>212</v>
      </c>
      <c r="D99" s="39" t="s">
        <v>302</v>
      </c>
      <c r="E99" s="39" t="s">
        <v>243</v>
      </c>
      <c r="F99" s="39" t="s">
        <v>244</v>
      </c>
      <c r="G99" s="39" t="s">
        <v>216</v>
      </c>
      <c r="H99" s="39" t="s">
        <v>227</v>
      </c>
      <c r="I99" s="39" t="s">
        <v>245</v>
      </c>
      <c r="J99" s="39" t="s">
        <v>219</v>
      </c>
      <c r="K99" s="39" t="s">
        <v>253</v>
      </c>
      <c r="L99" s="39" t="s">
        <v>281</v>
      </c>
      <c r="M99" s="39" t="s">
        <v>405</v>
      </c>
      <c r="N99" s="40"/>
      <c r="O99" s="39" t="s">
        <v>223</v>
      </c>
      <c r="P99" s="41">
        <v>1</v>
      </c>
    </row>
    <row r="100" spans="3:16" x14ac:dyDescent="0.3">
      <c r="C100" s="38" t="s">
        <v>212</v>
      </c>
      <c r="D100" s="39" t="s">
        <v>302</v>
      </c>
      <c r="E100" s="39" t="s">
        <v>243</v>
      </c>
      <c r="F100" s="39" t="s">
        <v>244</v>
      </c>
      <c r="G100" s="39" t="s">
        <v>216</v>
      </c>
      <c r="H100" s="39" t="s">
        <v>227</v>
      </c>
      <c r="I100" s="39" t="s">
        <v>218</v>
      </c>
      <c r="J100" s="39" t="s">
        <v>219</v>
      </c>
      <c r="K100" s="39" t="s">
        <v>253</v>
      </c>
      <c r="L100" s="39" t="s">
        <v>312</v>
      </c>
      <c r="M100" s="39" t="s">
        <v>406</v>
      </c>
      <c r="N100" s="40"/>
      <c r="O100" s="39" t="s">
        <v>223</v>
      </c>
      <c r="P100" s="41">
        <v>1</v>
      </c>
    </row>
    <row r="101" spans="3:16" x14ac:dyDescent="0.3">
      <c r="C101" s="38" t="s">
        <v>256</v>
      </c>
      <c r="D101" s="39" t="s">
        <v>237</v>
      </c>
      <c r="E101" s="39" t="s">
        <v>293</v>
      </c>
      <c r="F101" s="39" t="s">
        <v>294</v>
      </c>
      <c r="G101" s="39" t="s">
        <v>216</v>
      </c>
      <c r="H101" s="39" t="s">
        <v>227</v>
      </c>
      <c r="I101" s="39" t="s">
        <v>218</v>
      </c>
      <c r="J101" s="39" t="s">
        <v>219</v>
      </c>
      <c r="K101" s="39" t="s">
        <v>253</v>
      </c>
      <c r="L101" s="39" t="s">
        <v>312</v>
      </c>
      <c r="M101" s="39" t="s">
        <v>407</v>
      </c>
      <c r="N101" s="40"/>
      <c r="O101" s="39" t="s">
        <v>223</v>
      </c>
      <c r="P101" s="41">
        <v>1</v>
      </c>
    </row>
    <row r="102" spans="3:16" ht="34.200000000000003" x14ac:dyDescent="0.3">
      <c r="C102" s="38" t="s">
        <v>256</v>
      </c>
      <c r="D102" s="39" t="s">
        <v>274</v>
      </c>
      <c r="E102" s="39" t="s">
        <v>275</v>
      </c>
      <c r="F102" s="39" t="s">
        <v>276</v>
      </c>
      <c r="G102" s="39" t="s">
        <v>216</v>
      </c>
      <c r="H102" s="39" t="s">
        <v>217</v>
      </c>
      <c r="I102" s="39" t="s">
        <v>218</v>
      </c>
      <c r="J102" s="39" t="s">
        <v>219</v>
      </c>
      <c r="K102" s="39" t="s">
        <v>220</v>
      </c>
      <c r="L102" s="39" t="s">
        <v>380</v>
      </c>
      <c r="M102" s="39" t="s">
        <v>408</v>
      </c>
      <c r="N102" s="40"/>
      <c r="O102" s="39" t="s">
        <v>223</v>
      </c>
      <c r="P102" s="41">
        <v>2</v>
      </c>
    </row>
    <row r="103" spans="3:16" ht="23.4" thickBot="1" x14ac:dyDescent="0.35">
      <c r="C103" s="48" t="s">
        <v>212</v>
      </c>
      <c r="D103" s="49" t="s">
        <v>302</v>
      </c>
      <c r="E103" s="49" t="s">
        <v>279</v>
      </c>
      <c r="F103" s="49" t="s">
        <v>280</v>
      </c>
      <c r="G103" s="49" t="s">
        <v>216</v>
      </c>
      <c r="H103" s="49" t="s">
        <v>217</v>
      </c>
      <c r="I103" s="49" t="s">
        <v>218</v>
      </c>
      <c r="J103" s="49" t="s">
        <v>219</v>
      </c>
      <c r="K103" s="49" t="s">
        <v>220</v>
      </c>
      <c r="L103" s="49" t="s">
        <v>228</v>
      </c>
      <c r="M103" s="49" t="s">
        <v>409</v>
      </c>
      <c r="N103" s="50"/>
      <c r="O103" s="49" t="s">
        <v>223</v>
      </c>
      <c r="P103" s="51">
        <v>31</v>
      </c>
    </row>
  </sheetData>
  <mergeCells count="10">
    <mergeCell ref="S10:U11"/>
    <mergeCell ref="V10:V11"/>
    <mergeCell ref="S12:U12"/>
    <mergeCell ref="C1:F1"/>
    <mergeCell ref="T3:V3"/>
    <mergeCell ref="S5:U5"/>
    <mergeCell ref="S6:U7"/>
    <mergeCell ref="V6:V7"/>
    <mergeCell ref="S8:U9"/>
    <mergeCell ref="V8:V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Ejercicio 1</vt:lpstr>
      <vt:lpstr>Ejercicio 2</vt:lpstr>
      <vt:lpstr>Ejercicio 3 y 4</vt:lpstr>
      <vt:lpstr>Ejercicio 5 y 6</vt:lpstr>
      <vt:lpstr>ejercicio 7 y 8</vt:lpstr>
      <vt:lpstr>Ejercicio 9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Quintero</dc:creator>
  <cp:lastModifiedBy>HARBEY EMIR CELY MENDOZA</cp:lastModifiedBy>
  <dcterms:created xsi:type="dcterms:W3CDTF">2026-06-20T11:57:29Z</dcterms:created>
  <dcterms:modified xsi:type="dcterms:W3CDTF">2026-08-14T20:43:48Z</dcterms:modified>
</cp:coreProperties>
</file>