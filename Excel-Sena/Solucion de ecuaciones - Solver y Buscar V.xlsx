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m-\Desktop\"/>
    </mc:Choice>
  </mc:AlternateContent>
  <xr:revisionPtr revIDLastSave="0" documentId="13_ncr:1_{CEED9130-5D79-4DF7-849D-95512FFC2EC0}" xr6:coauthVersionLast="47" xr6:coauthVersionMax="47" xr10:uidLastSave="{00000000-0000-0000-0000-000000000000}"/>
  <bookViews>
    <workbookView xWindow="-108" yWindow="-108" windowWidth="23256" windowHeight="13176" activeTab="4" xr2:uid="{E3051829-2116-4346-A31D-C83947F3BF49}"/>
  </bookViews>
  <sheets>
    <sheet name="S.Ecuaciones" sheetId="1" r:id="rId1"/>
    <sheet name="3X3" sheetId="2" r:id="rId2"/>
    <sheet name="Solver" sheetId="3" r:id="rId3"/>
    <sheet name="Buscar V" sheetId="5" r:id="rId4"/>
    <sheet name="Calculo de Centroide" sheetId="7" r:id="rId5"/>
  </sheets>
  <definedNames>
    <definedName name="solver_adj" localSheetId="2" hidden="1">Solver!$I$30:$I$35</definedName>
    <definedName name="solver_cvg" localSheetId="2" hidden="1">"""""""""""""""""""""""""""""""""""""""""""""""""""""""""""""""0,0001"""""""""""""""""""""""""""""""""""""""""""""""""""""""""""""""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Solver!$J$30</definedName>
    <definedName name="solver_lhs2" localSheetId="2" hidden="1">Solver!$J$31</definedName>
    <definedName name="solver_lhs3" localSheetId="2" hidden="1">Solver!$J$32</definedName>
    <definedName name="solver_lhs4" localSheetId="2" hidden="1">Solver!$J$33</definedName>
    <definedName name="solver_lhs5" localSheetId="2" hidden="1">Solver!$J$34</definedName>
    <definedName name="solver_lhs6" localSheetId="2" hidden="1">Solver!$J$35</definedName>
    <definedName name="solver_mip" localSheetId="2" hidden="1">2147483647</definedName>
    <definedName name="solver_mni" localSheetId="2" hidden="1">30</definedName>
    <definedName name="solver_mrt" localSheetId="2" hidden="1">"""""""""""""""""""""""""""""""""""""""""""""""""""""""""""""""0,075"""""""""""""""""""""""""""""""""""""""""""""""""""""""""""""""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6</definedName>
    <definedName name="solver_nwt" localSheetId="2" hidden="1">1</definedName>
    <definedName name="solver_opt" localSheetId="2" hidden="1">Solver!$J$37</definedName>
    <definedName name="solver_pre" localSheetId="2" hidden="1">"""""""""""""""""""""""""""""""""""""""""""""""""""""""""""""""0,000001"""""""""""""""""""""""""""""""""""""""""""""""""""""""""""""""</definedName>
    <definedName name="solver_rbv" localSheetId="2" hidden="1">1</definedName>
    <definedName name="solver_rel1" localSheetId="2" hidden="1">2</definedName>
    <definedName name="solver_rel2" localSheetId="2" hidden="1">2</definedName>
    <definedName name="solver_rel3" localSheetId="2" hidden="1">2</definedName>
    <definedName name="solver_rel4" localSheetId="2" hidden="1">2</definedName>
    <definedName name="solver_rel5" localSheetId="2" hidden="1">2</definedName>
    <definedName name="solver_rel6" localSheetId="2" hidden="1">2</definedName>
    <definedName name="solver_rhs1" localSheetId="2" hidden="1">0</definedName>
    <definedName name="solver_rhs2" localSheetId="2" hidden="1">0</definedName>
    <definedName name="solver_rhs3" localSheetId="2" hidden="1">0</definedName>
    <definedName name="solver_rhs4" localSheetId="2" hidden="1">0</definedName>
    <definedName name="solver_rhs5" localSheetId="2" hidden="1">0</definedName>
    <definedName name="solver_rhs6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8" i="7" l="1" a="1"/>
  <c r="O28" i="7" s="1"/>
  <c r="N28" i="7" a="1"/>
  <c r="N28" i="7" s="1"/>
  <c r="S28" i="7" a="1"/>
  <c r="S28" i="7" s="1"/>
  <c r="P28" i="7" a="1"/>
  <c r="P28" i="7" s="1"/>
  <c r="S27" i="7" a="1"/>
  <c r="S27" i="7" s="1"/>
  <c r="P27" i="7" a="1"/>
  <c r="P27" i="7" s="1"/>
  <c r="O27" i="7" a="1"/>
  <c r="O27" i="7" s="1"/>
  <c r="N27" i="7" a="1"/>
  <c r="N27" i="7" s="1"/>
  <c r="O17" i="7" a="1"/>
  <c r="O17" i="7" s="1"/>
  <c r="O16" i="7" a="1"/>
  <c r="O16" i="7" s="1"/>
  <c r="O15" i="7" a="1"/>
  <c r="O15" i="7" s="1"/>
  <c r="N16" i="7" a="1"/>
  <c r="N16" i="7" s="1"/>
  <c r="N17" i="7" a="1"/>
  <c r="N17" i="7" s="1"/>
  <c r="Q17" i="7" s="1"/>
  <c r="N15" i="7" a="1"/>
  <c r="N15" i="7" s="1"/>
  <c r="S16" i="7" a="1"/>
  <c r="S16" i="7" s="1"/>
  <c r="S17" i="7" a="1"/>
  <c r="S17" i="7" s="1"/>
  <c r="S15" i="7" a="1"/>
  <c r="S15" i="7" s="1"/>
  <c r="P16" i="7" a="1"/>
  <c r="P16" i="7" s="1"/>
  <c r="P17" i="7" a="1"/>
  <c r="P17" i="7" s="1"/>
  <c r="P15" i="7" a="1"/>
  <c r="P15" i="7" s="1"/>
  <c r="R28" i="7" l="1"/>
  <c r="Q28" i="7"/>
  <c r="P30" i="7"/>
  <c r="R27" i="7"/>
  <c r="Q27" i="7"/>
  <c r="Q16" i="7"/>
  <c r="P18" i="7"/>
  <c r="R16" i="7"/>
  <c r="R17" i="7"/>
  <c r="R15" i="7"/>
  <c r="R18" i="7" s="1"/>
  <c r="Q23" i="7" s="1"/>
  <c r="Q15" i="7"/>
  <c r="C24" i="5"/>
  <c r="G24" i="5" s="1"/>
  <c r="F24" i="5"/>
  <c r="D24" i="5"/>
  <c r="E7" i="5"/>
  <c r="E8" i="5"/>
  <c r="E9" i="5"/>
  <c r="E10" i="5"/>
  <c r="E11" i="5"/>
  <c r="E12" i="5"/>
  <c r="E13" i="5"/>
  <c r="E24" i="5" s="1"/>
  <c r="E14" i="5"/>
  <c r="E15" i="5"/>
  <c r="E16" i="5"/>
  <c r="E17" i="5"/>
  <c r="E18" i="5"/>
  <c r="E19" i="5"/>
  <c r="E20" i="5"/>
  <c r="E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6" i="5"/>
  <c r="H24" i="5" s="1"/>
  <c r="Y33" i="5"/>
  <c r="X33" i="5"/>
  <c r="Y21" i="5"/>
  <c r="X21" i="5"/>
  <c r="Y10" i="5"/>
  <c r="X10" i="5"/>
  <c r="R30" i="7" l="1"/>
  <c r="Q35" i="7" s="1"/>
  <c r="Q30" i="7"/>
  <c r="Q33" i="7" s="1"/>
  <c r="Q18" i="7"/>
  <c r="Q21" i="7" s="1"/>
  <c r="T16" i="7"/>
  <c r="U16" i="7" s="1"/>
  <c r="T17" i="7"/>
  <c r="U17" i="7" s="1"/>
  <c r="T15" i="7"/>
  <c r="U15" i="7" s="1"/>
  <c r="D58" i="1" a="1"/>
  <c r="D58" i="1" s="1"/>
  <c r="D55" i="1" a="1"/>
  <c r="D55" i="1" s="1"/>
  <c r="H22" i="1" a="1"/>
  <c r="H22" i="1" s="1"/>
  <c r="H19" i="1" a="1"/>
  <c r="H19" i="1" s="1"/>
  <c r="B19" i="1" a="1"/>
  <c r="B19" i="1" s="1"/>
  <c r="J35" i="3"/>
  <c r="J34" i="3"/>
  <c r="J33" i="3"/>
  <c r="J32" i="3"/>
  <c r="J31" i="3"/>
  <c r="J30" i="3"/>
  <c r="F35" i="3"/>
  <c r="F34" i="3"/>
  <c r="F33" i="3"/>
  <c r="F32" i="3"/>
  <c r="F31" i="3"/>
  <c r="F30" i="3"/>
  <c r="J24" i="3"/>
  <c r="F24" i="3"/>
  <c r="J22" i="3"/>
  <c r="J21" i="3"/>
  <c r="J20" i="3"/>
  <c r="J19" i="3"/>
  <c r="J18" i="3"/>
  <c r="J17" i="3"/>
  <c r="F22" i="3"/>
  <c r="F21" i="3"/>
  <c r="F20" i="3"/>
  <c r="F19" i="3"/>
  <c r="F18" i="3"/>
  <c r="F17" i="3"/>
  <c r="N19" i="2" a="1"/>
  <c r="N19" i="2" s="1"/>
  <c r="N13" i="2" a="1"/>
  <c r="N13" i="2" s="1"/>
  <c r="P8" i="2"/>
  <c r="P7" i="2"/>
  <c r="P6" i="2"/>
  <c r="O8" i="2"/>
  <c r="O7" i="2"/>
  <c r="O6" i="2"/>
  <c r="N8" i="2"/>
  <c r="N7" i="2"/>
  <c r="N6" i="2"/>
  <c r="H19" i="2"/>
  <c r="E17" i="2"/>
  <c r="F17" i="2"/>
  <c r="D17" i="2"/>
  <c r="E14" i="2"/>
  <c r="F14" i="2"/>
  <c r="D14" i="2"/>
  <c r="E11" i="2"/>
  <c r="F11" i="2"/>
  <c r="D11" i="2"/>
  <c r="H16" i="2"/>
  <c r="H13" i="2"/>
  <c r="H10" i="2"/>
  <c r="E16" i="2"/>
  <c r="F16" i="2"/>
  <c r="D16" i="2"/>
  <c r="E13" i="2"/>
  <c r="F13" i="2"/>
  <c r="D13" i="2"/>
  <c r="E10" i="2"/>
  <c r="F10" i="2"/>
  <c r="D10" i="2"/>
  <c r="T27" i="7" l="1"/>
  <c r="U27" i="7" s="1"/>
  <c r="T28" i="7"/>
  <c r="U28" i="7" s="1"/>
  <c r="U18" i="7"/>
  <c r="B22" i="1" a="1"/>
  <c r="B22" i="1" s="1"/>
  <c r="J37" i="3"/>
  <c r="F37" i="3"/>
  <c r="U30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<sst xmlns="http://schemas.openxmlformats.org/spreadsheetml/2006/main" count="362" uniqueCount="156">
  <si>
    <t>GENERE LA ECUACIÓN Y CALCULE LAS CORRIENTES QUE PASAN POR EL SISTEMA</t>
  </si>
  <si>
    <t>Aplique a las siguientes casillas y llene los espacios  con la información requerida  usando  el comando buscarv</t>
  </si>
  <si>
    <t>Referencia</t>
  </si>
  <si>
    <t>Unidadades</t>
  </si>
  <si>
    <t>Stock</t>
  </si>
  <si>
    <t>Color</t>
  </si>
  <si>
    <t>Producto</t>
  </si>
  <si>
    <t>Proveedor</t>
  </si>
  <si>
    <t>Departamento</t>
  </si>
  <si>
    <t>Salarios</t>
  </si>
  <si>
    <t>R003</t>
  </si>
  <si>
    <t>Amarillo</t>
  </si>
  <si>
    <t>Calcetines</t>
  </si>
  <si>
    <t>Ropajes S.L.</t>
  </si>
  <si>
    <t>R001</t>
  </si>
  <si>
    <t>A_dept</t>
  </si>
  <si>
    <t>R010</t>
  </si>
  <si>
    <t>Camisa</t>
  </si>
  <si>
    <t>Ateliere S.A.</t>
  </si>
  <si>
    <t>R002</t>
  </si>
  <si>
    <t>B_dept</t>
  </si>
  <si>
    <t>R012</t>
  </si>
  <si>
    <t>Azúl</t>
  </si>
  <si>
    <t>Camiseta</t>
  </si>
  <si>
    <t>C_dept</t>
  </si>
  <si>
    <t>EQUIPO</t>
  </si>
  <si>
    <t>JUGADOR</t>
  </si>
  <si>
    <t>ESTADO</t>
  </si>
  <si>
    <t>R004</t>
  </si>
  <si>
    <t>Blanco</t>
  </si>
  <si>
    <t>Camisón</t>
  </si>
  <si>
    <t>D_dept</t>
  </si>
  <si>
    <t>MILLONARIOS</t>
  </si>
  <si>
    <t>BORJA</t>
  </si>
  <si>
    <t>LESIONADO</t>
  </si>
  <si>
    <t>R014</t>
  </si>
  <si>
    <t>Chaqueta</t>
  </si>
  <si>
    <t>R005</t>
  </si>
  <si>
    <t>BUCARAMANGA</t>
  </si>
  <si>
    <t>SHERMAN</t>
  </si>
  <si>
    <t>NO LESIONADO</t>
  </si>
  <si>
    <t>Gris</t>
  </si>
  <si>
    <t>Falda</t>
  </si>
  <si>
    <t>R006</t>
  </si>
  <si>
    <t>NACIONAL</t>
  </si>
  <si>
    <t>DORLAN</t>
  </si>
  <si>
    <t>R008</t>
  </si>
  <si>
    <t>Gafas</t>
  </si>
  <si>
    <t>R007</t>
  </si>
  <si>
    <t>Unidades</t>
  </si>
  <si>
    <t>AMERICA</t>
  </si>
  <si>
    <t>Rojo</t>
  </si>
  <si>
    <t>Gorra</t>
  </si>
  <si>
    <t>Bajo</t>
  </si>
  <si>
    <t>ONCE CALDAS</t>
  </si>
  <si>
    <t>Gorro</t>
  </si>
  <si>
    <t>R009</t>
  </si>
  <si>
    <t>PATRIOTAS</t>
  </si>
  <si>
    <t>Guante</t>
  </si>
  <si>
    <t>ALIANZA</t>
  </si>
  <si>
    <t>R013</t>
  </si>
  <si>
    <t>Jersey</t>
  </si>
  <si>
    <t>R011</t>
  </si>
  <si>
    <t>Medio</t>
  </si>
  <si>
    <t>JUNIOR</t>
  </si>
  <si>
    <t>Verde</t>
  </si>
  <si>
    <t>Pantalones</t>
  </si>
  <si>
    <t xml:space="preserve">SANTA FE </t>
  </si>
  <si>
    <t>Pañuelo</t>
  </si>
  <si>
    <t>TOLIMA</t>
  </si>
  <si>
    <t>Pijama</t>
  </si>
  <si>
    <t>R015</t>
  </si>
  <si>
    <t>Sudadera</t>
  </si>
  <si>
    <t>Alto</t>
  </si>
  <si>
    <t>ESTUDIANTE</t>
  </si>
  <si>
    <t>MATERIA</t>
  </si>
  <si>
    <t>CALIFICACION</t>
  </si>
  <si>
    <t>ANNY</t>
  </si>
  <si>
    <t>MATEMATICAS</t>
  </si>
  <si>
    <t>NO APROBO</t>
  </si>
  <si>
    <t>JOHANNA</t>
  </si>
  <si>
    <t>ESPAÑOL</t>
  </si>
  <si>
    <t>SEBASTIAN</t>
  </si>
  <si>
    <t>INGLES</t>
  </si>
  <si>
    <t>APROBO</t>
  </si>
  <si>
    <t>JOHAN</t>
  </si>
  <si>
    <t>CAMILO</t>
  </si>
  <si>
    <t>ANDRES</t>
  </si>
  <si>
    <t>"EXCEL ES MI COMPAÑERO DE AVENTURAS"</t>
  </si>
  <si>
    <t>ELIAN</t>
  </si>
  <si>
    <t>STIVEN</t>
  </si>
  <si>
    <t>ARIEL</t>
  </si>
  <si>
    <t>GUSTAVO</t>
  </si>
  <si>
    <t>NACIONALIDAD</t>
  </si>
  <si>
    <t>REAL MADRID</t>
  </si>
  <si>
    <t>CLASIFICADO</t>
  </si>
  <si>
    <t>BARCELONA</t>
  </si>
  <si>
    <t>ELIMINADO</t>
  </si>
  <si>
    <t>CHELSEA</t>
  </si>
  <si>
    <t>LIVERPOOL</t>
  </si>
  <si>
    <t>INTER</t>
  </si>
  <si>
    <t>ITALIANO</t>
  </si>
  <si>
    <t>JUVENTUS</t>
  </si>
  <si>
    <t>VILLAREAL</t>
  </si>
  <si>
    <t>NAPOLES</t>
  </si>
  <si>
    <t>MANCHESTER</t>
  </si>
  <si>
    <t xml:space="preserve">BAYER </t>
  </si>
  <si>
    <t>ALEMAN</t>
  </si>
  <si>
    <t>A</t>
  </si>
  <si>
    <t>B</t>
  </si>
  <si>
    <t>C</t>
  </si>
  <si>
    <t>D</t>
  </si>
  <si>
    <t>X</t>
  </si>
  <si>
    <t>Z</t>
  </si>
  <si>
    <t>Y</t>
  </si>
  <si>
    <t>DB</t>
  </si>
  <si>
    <t>DC</t>
  </si>
  <si>
    <t>DA</t>
  </si>
  <si>
    <t>W</t>
  </si>
  <si>
    <t>F DC</t>
  </si>
  <si>
    <t>F DB</t>
  </si>
  <si>
    <t>F DA</t>
  </si>
  <si>
    <t>MATRIZ INVERSA</t>
  </si>
  <si>
    <t>LB</t>
  </si>
  <si>
    <t>T1</t>
  </si>
  <si>
    <t>T2</t>
  </si>
  <si>
    <t>T3</t>
  </si>
  <si>
    <t>T4</t>
  </si>
  <si>
    <t>T5</t>
  </si>
  <si>
    <t>T6</t>
  </si>
  <si>
    <t>Objetivo</t>
  </si>
  <si>
    <t>Restricciones</t>
  </si>
  <si>
    <t>Matriz inversa</t>
  </si>
  <si>
    <t>I1</t>
  </si>
  <si>
    <t>I2</t>
  </si>
  <si>
    <t>Genera la primera hoja de calculo, Se necesita el centroide y la Intercia.</t>
  </si>
  <si>
    <t>RECTANGULO</t>
  </si>
  <si>
    <t>TRIANGULO</t>
  </si>
  <si>
    <t>CIRCULO</t>
  </si>
  <si>
    <t>SEMICIRCULO</t>
  </si>
  <si>
    <t>FIGURAS</t>
  </si>
  <si>
    <t>h</t>
  </si>
  <si>
    <t>AX</t>
  </si>
  <si>
    <t>AY</t>
  </si>
  <si>
    <t>b // r</t>
  </si>
  <si>
    <t>Xc</t>
  </si>
  <si>
    <t>Yc</t>
  </si>
  <si>
    <t>Ixx</t>
  </si>
  <si>
    <t>Ix</t>
  </si>
  <si>
    <t>dy</t>
  </si>
  <si>
    <t>x extremo</t>
  </si>
  <si>
    <t>y extremo</t>
  </si>
  <si>
    <t>SI</t>
  </si>
  <si>
    <t>NO</t>
  </si>
  <si>
    <t>alineado en x?</t>
  </si>
  <si>
    <t>alineado en 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</si>
</sst>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5E0B3"/>
        <bgColor rgb="FFC5E0B3"/>
      </patternFill>
    </fill>
    <fill>
      <patternFill patternType="solid">
        <fgColor rgb="FF8497B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808080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1" applyFont="1"/>
    <xf numFmtId="0" fontId="1" fillId="0" borderId="0" xfId="1"/>
    <xf numFmtId="0" fontId="2" fillId="2" borderId="0" xfId="1" applyFont="1" applyFill="1"/>
    <xf numFmtId="0" fontId="3" fillId="3" borderId="0" xfId="1" applyFont="1" applyFill="1" applyAlignment="1">
      <alignment horizontal="center"/>
    </xf>
    <xf numFmtId="0" fontId="2" fillId="0" borderId="3" xfId="1" applyFont="1" applyBorder="1" applyAlignment="1">
      <alignment horizontal="center"/>
    </xf>
    <xf numFmtId="0" fontId="2" fillId="4" borderId="1" xfId="1" applyFont="1" applyFill="1" applyBorder="1" applyAlignment="1">
      <alignment horizontal="left"/>
    </xf>
    <xf numFmtId="0" fontId="2" fillId="0" borderId="0" xfId="1" applyFont="1" applyAlignment="1">
      <alignment horizontal="center"/>
    </xf>
    <xf numFmtId="0" fontId="2" fillId="0" borderId="3" xfId="1" applyFont="1" applyBorder="1" applyAlignment="1">
      <alignment horizontal="left"/>
    </xf>
    <xf numFmtId="0" fontId="4" fillId="5" borderId="4" xfId="1" applyFont="1" applyFill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0" fillId="7" borderId="0" xfId="0" applyFill="1"/>
    <xf numFmtId="2" fontId="0" fillId="7" borderId="0" xfId="0" applyNumberFormat="1" applyFill="1"/>
    <xf numFmtId="2" fontId="0" fillId="0" borderId="0" xfId="0" applyNumberFormat="1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0" fontId="0" fillId="0" borderId="0" xfId="1" applyFont="1"/>
    <xf numFmtId="0" fontId="1" fillId="0" borderId="0" xfId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4" fillId="5" borderId="7" xfId="1" applyFont="1" applyFill="1" applyBorder="1" applyAlignment="1">
      <alignment horizontal="center"/>
    </xf>
    <xf numFmtId="0" fontId="4" fillId="5" borderId="8" xfId="1" applyFont="1" applyFill="1" applyBorder="1" applyAlignment="1">
      <alignment horizontal="center"/>
    </xf>
    <xf numFmtId="0" fontId="4" fillId="5" borderId="9" xfId="1" applyFont="1" applyFill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left"/>
    </xf>
    <xf numFmtId="3" fontId="2" fillId="0" borderId="14" xfId="1" applyNumberFormat="1" applyFont="1" applyBorder="1" applyAlignment="1">
      <alignment horizontal="left"/>
    </xf>
    <xf numFmtId="0" fontId="3" fillId="3" borderId="15" xfId="1" applyFont="1" applyFill="1" applyBorder="1" applyAlignment="1">
      <alignment horizontal="center"/>
    </xf>
    <xf numFmtId="0" fontId="3" fillId="3" borderId="16" xfId="1" applyFont="1" applyFill="1" applyBorder="1" applyAlignment="1">
      <alignment horizontal="center"/>
    </xf>
    <xf numFmtId="0" fontId="2" fillId="0" borderId="17" xfId="1" applyFont="1" applyBorder="1" applyAlignment="1">
      <alignment horizontal="left"/>
    </xf>
    <xf numFmtId="3" fontId="2" fillId="0" borderId="18" xfId="1" applyNumberFormat="1" applyFont="1" applyBorder="1" applyAlignment="1">
      <alignment horizontal="left"/>
    </xf>
    <xf numFmtId="44" fontId="2" fillId="4" borderId="1" xfId="2" applyFont="1" applyFill="1" applyBorder="1" applyAlignment="1">
      <alignment horizontal="right"/>
    </xf>
    <xf numFmtId="0" fontId="2" fillId="0" borderId="14" xfId="1" applyFont="1" applyBorder="1" applyAlignment="1">
      <alignment horizontal="left"/>
    </xf>
    <xf numFmtId="0" fontId="2" fillId="0" borderId="18" xfId="1" applyFont="1" applyBorder="1" applyAlignment="1">
      <alignment horizontal="left"/>
    </xf>
    <xf numFmtId="0" fontId="2" fillId="0" borderId="19" xfId="1" applyFont="1" applyBorder="1" applyAlignment="1">
      <alignment horizontal="left"/>
    </xf>
    <xf numFmtId="0" fontId="2" fillId="0" borderId="19" xfId="1" applyFont="1" applyBorder="1" applyAlignment="1">
      <alignment horizontal="center"/>
    </xf>
    <xf numFmtId="44" fontId="2" fillId="4" borderId="1" xfId="2" applyFont="1" applyFill="1" applyBorder="1" applyAlignment="1">
      <alignment horizontal="left"/>
    </xf>
    <xf numFmtId="0" fontId="2" fillId="8" borderId="1" xfId="1" applyFont="1" applyFill="1" applyBorder="1" applyAlignment="1">
      <alignment horizontal="left"/>
    </xf>
    <xf numFmtId="0" fontId="0" fillId="9" borderId="0" xfId="0" applyFill="1" applyAlignment="1">
      <alignment horizontal="center" vertical="center"/>
    </xf>
  </cellXfs>
  <cellStyles count="3">
    <cellStyle name="Moneda" xfId="2" builtinId="4"/>
    <cellStyle name="Normal" xfId="0" builtinId="0"/>
    <cellStyle name="Normal 2" xfId="1" xr:uid="{08781751-FD89-44AF-BBBD-464724B28406}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B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rgb="FFFFE69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B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/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B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rgb="FFFFE69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C5E0B3"/>
          <bgColor rgb="FFC5E0B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C5E0B3"/>
          <bgColor rgb="FFC5E0B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C5E0B3"/>
          <bgColor rgb="FFC5E0B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.png"/><Relationship Id="rId18" Type="http://schemas.openxmlformats.org/officeDocument/2006/relationships/customXml" Target="../ink/ink8.xml"/><Relationship Id="rId26" Type="http://schemas.openxmlformats.org/officeDocument/2006/relationships/customXml" Target="../ink/ink12.xml"/><Relationship Id="rId21" Type="http://schemas.openxmlformats.org/officeDocument/2006/relationships/image" Target="../media/image12.png"/><Relationship Id="rId34" Type="http://schemas.openxmlformats.org/officeDocument/2006/relationships/customXml" Target="../ink/ink16.xml"/><Relationship Id="rId7" Type="http://schemas.openxmlformats.org/officeDocument/2006/relationships/image" Target="../media/image5.png"/><Relationship Id="rId12" Type="http://schemas.openxmlformats.org/officeDocument/2006/relationships/customXml" Target="../ink/ink5.xml"/><Relationship Id="rId17" Type="http://schemas.openxmlformats.org/officeDocument/2006/relationships/image" Target="../media/image10.png"/><Relationship Id="rId25" Type="http://schemas.openxmlformats.org/officeDocument/2006/relationships/image" Target="../media/image14.png"/><Relationship Id="rId33" Type="http://schemas.openxmlformats.org/officeDocument/2006/relationships/image" Target="../media/image18.png"/><Relationship Id="rId2" Type="http://schemas.openxmlformats.org/officeDocument/2006/relationships/image" Target="../media/image2.png"/><Relationship Id="rId16" Type="http://schemas.openxmlformats.org/officeDocument/2006/relationships/customXml" Target="../ink/ink7.xml"/><Relationship Id="rId20" Type="http://schemas.openxmlformats.org/officeDocument/2006/relationships/customXml" Target="../ink/ink9.xml"/><Relationship Id="rId29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7.png"/><Relationship Id="rId24" Type="http://schemas.openxmlformats.org/officeDocument/2006/relationships/customXml" Target="../ink/ink11.xml"/><Relationship Id="rId32" Type="http://schemas.openxmlformats.org/officeDocument/2006/relationships/customXml" Target="../ink/ink15.xml"/><Relationship Id="rId37" Type="http://schemas.openxmlformats.org/officeDocument/2006/relationships/image" Target="../media/image20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23" Type="http://schemas.openxmlformats.org/officeDocument/2006/relationships/image" Target="../media/image13.png"/><Relationship Id="rId28" Type="http://schemas.openxmlformats.org/officeDocument/2006/relationships/customXml" Target="../ink/ink13.xml"/><Relationship Id="rId36" Type="http://schemas.openxmlformats.org/officeDocument/2006/relationships/customXml" Target="../ink/ink17.xml"/><Relationship Id="rId10" Type="http://schemas.openxmlformats.org/officeDocument/2006/relationships/customXml" Target="../ink/ink4.xml"/><Relationship Id="rId19" Type="http://schemas.openxmlformats.org/officeDocument/2006/relationships/image" Target="../media/image11.png"/><Relationship Id="rId31" Type="http://schemas.openxmlformats.org/officeDocument/2006/relationships/image" Target="../media/image17.png"/><Relationship Id="rId4" Type="http://schemas.openxmlformats.org/officeDocument/2006/relationships/customXml" Target="../ink/ink1.xml"/><Relationship Id="rId9" Type="http://schemas.openxmlformats.org/officeDocument/2006/relationships/image" Target="../media/image6.png"/><Relationship Id="rId14" Type="http://schemas.openxmlformats.org/officeDocument/2006/relationships/customXml" Target="../ink/ink6.xml"/><Relationship Id="rId22" Type="http://schemas.openxmlformats.org/officeDocument/2006/relationships/customXml" Target="../ink/ink10.xml"/><Relationship Id="rId27" Type="http://schemas.openxmlformats.org/officeDocument/2006/relationships/image" Target="../media/image15.png"/><Relationship Id="rId30" Type="http://schemas.openxmlformats.org/officeDocument/2006/relationships/customXml" Target="../ink/ink14.xml"/><Relationship Id="rId35" Type="http://schemas.openxmlformats.org/officeDocument/2006/relationships/image" Target="../media/image19.png"/><Relationship Id="rId8" Type="http://schemas.openxmlformats.org/officeDocument/2006/relationships/customXml" Target="../ink/ink3.xml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152400</xdr:rowOff>
    </xdr:from>
    <xdr:to>
      <xdr:col>5</xdr:col>
      <xdr:colOff>502920</xdr:colOff>
      <xdr:row>10</xdr:row>
      <xdr:rowOff>78673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0A6727-AD73-B8F4-390E-AADF102CF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" y="335280"/>
          <a:ext cx="3649980" cy="1572193"/>
        </a:xfrm>
        <a:prstGeom prst="rect">
          <a:avLst/>
        </a:prstGeom>
      </xdr:spPr>
    </xdr:pic>
    <xdr:clientData/>
  </xdr:twoCellAnchor>
  <xdr:twoCellAnchor editAs="oneCell">
    <xdr:from>
      <xdr:col>9</xdr:col>
      <xdr:colOff>7621</xdr:colOff>
      <xdr:row>1</xdr:row>
      <xdr:rowOff>152400</xdr:rowOff>
    </xdr:from>
    <xdr:to>
      <xdr:col>12</xdr:col>
      <xdr:colOff>434341</xdr:colOff>
      <xdr:row>10</xdr:row>
      <xdr:rowOff>23513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F1A7CA-B1A3-3EC7-713E-F078CB7A8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9941" y="335280"/>
          <a:ext cx="3063240" cy="15170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32</xdr:row>
      <xdr:rowOff>123825</xdr:rowOff>
    </xdr:from>
    <xdr:to>
      <xdr:col>7</xdr:col>
      <xdr:colOff>381758</xdr:colOff>
      <xdr:row>46</xdr:row>
      <xdr:rowOff>133729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076945-F4DA-93FC-C253-9736AF7A5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5915025"/>
          <a:ext cx="5087108" cy="2543554"/>
        </a:xfrm>
        <a:prstGeom prst="rect">
          <a:avLst/>
        </a:prstGeom>
      </xdr:spPr>
    </xdr:pic>
    <xdr:clientData/>
  </xdr:twoCellAnchor>
  <xdr:twoCellAnchor editAs="oneCell">
    <xdr:from>
      <xdr:col>10</xdr:col>
      <xdr:colOff>285620</xdr:colOff>
      <xdr:row>28</xdr:row>
      <xdr:rowOff>116143</xdr:rowOff>
    </xdr:from>
    <xdr:to>
      <xdr:col>11</xdr:col>
      <xdr:colOff>690470</xdr:colOff>
      <xdr:row>30</xdr:row>
      <xdr:rowOff>101190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687B6BD4-6A4C-E1CA-E694-1907ADD7F64B}"/>
                </a:ext>
              </a:extLst>
            </xdr14:cNvPr>
            <xdr14:cNvContentPartPr/>
          </xdr14:nvContentPartPr>
          <xdr14:nvPr macro=""/>
          <xdr14:xfrm>
            <a:off x="8223120" y="5153810"/>
            <a:ext cx="1452600" cy="34488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687B6BD4-6A4C-E1CA-E694-1907ADD7F64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217000" y="5147690"/>
              <a:ext cx="1464840" cy="3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116270</xdr:colOff>
      <xdr:row>31</xdr:row>
      <xdr:rowOff>158513</xdr:rowOff>
    </xdr:from>
    <xdr:to>
      <xdr:col>11</xdr:col>
      <xdr:colOff>613070</xdr:colOff>
      <xdr:row>33</xdr:row>
      <xdr:rowOff>161920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1" name="Entrada de lápiz 60">
              <a:extLst>
                <a:ext uri="{FF2B5EF4-FFF2-40B4-BE49-F238E27FC236}">
                  <a16:creationId xmlns:a16="http://schemas.microsoft.com/office/drawing/2014/main" id="{A599E938-C6C7-2D7D-5A05-E573D8D17E2D}"/>
                </a:ext>
              </a:extLst>
            </xdr14:cNvPr>
            <xdr14:cNvContentPartPr/>
          </xdr14:nvContentPartPr>
          <xdr14:nvPr macro=""/>
          <xdr14:xfrm>
            <a:off x="9101520" y="5735930"/>
            <a:ext cx="496800" cy="363240"/>
          </xdr14:xfrm>
        </xdr:contentPart>
      </mc:Choice>
      <mc:Fallback xmlns="">
        <xdr:pic>
          <xdr:nvPicPr>
            <xdr:cNvPr id="61" name="Entrada de lápiz 60">
              <a:extLst>
                <a:ext uri="{FF2B5EF4-FFF2-40B4-BE49-F238E27FC236}">
                  <a16:creationId xmlns:a16="http://schemas.microsoft.com/office/drawing/2014/main" id="{A599E938-C6C7-2D7D-5A05-E573D8D17E2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095396" y="5729810"/>
              <a:ext cx="509049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199220</xdr:colOff>
      <xdr:row>32</xdr:row>
      <xdr:rowOff>103517</xdr:rowOff>
    </xdr:from>
    <xdr:to>
      <xdr:col>10</xdr:col>
      <xdr:colOff>930380</xdr:colOff>
      <xdr:row>33</xdr:row>
      <xdr:rowOff>138520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2" name="Entrada de lápiz 61">
              <a:extLst>
                <a:ext uri="{FF2B5EF4-FFF2-40B4-BE49-F238E27FC236}">
                  <a16:creationId xmlns:a16="http://schemas.microsoft.com/office/drawing/2014/main" id="{81472A14-130D-7C44-651E-73F1BD85DE9E}"/>
                </a:ext>
              </a:extLst>
            </xdr14:cNvPr>
            <xdr14:cNvContentPartPr/>
          </xdr14:nvContentPartPr>
          <xdr14:nvPr macro=""/>
          <xdr14:xfrm>
            <a:off x="8136720" y="5860850"/>
            <a:ext cx="731160" cy="214920"/>
          </xdr14:xfrm>
        </xdr:contentPart>
      </mc:Choice>
      <mc:Fallback xmlns="">
        <xdr:pic>
          <xdr:nvPicPr>
            <xdr:cNvPr id="62" name="Entrada de lápiz 61">
              <a:extLst>
                <a:ext uri="{FF2B5EF4-FFF2-40B4-BE49-F238E27FC236}">
                  <a16:creationId xmlns:a16="http://schemas.microsoft.com/office/drawing/2014/main" id="{81472A14-130D-7C44-651E-73F1BD85DE9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130600" y="5854730"/>
              <a:ext cx="74340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20920</xdr:colOff>
      <xdr:row>32</xdr:row>
      <xdr:rowOff>31517</xdr:rowOff>
    </xdr:from>
    <xdr:to>
      <xdr:col>12</xdr:col>
      <xdr:colOff>305680</xdr:colOff>
      <xdr:row>33</xdr:row>
      <xdr:rowOff>147160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2" name="Entrada de lápiz 71">
              <a:extLst>
                <a:ext uri="{FF2B5EF4-FFF2-40B4-BE49-F238E27FC236}">
                  <a16:creationId xmlns:a16="http://schemas.microsoft.com/office/drawing/2014/main" id="{21C34E4E-C6C5-0E09-C78C-FE04CA9DDB8E}"/>
                </a:ext>
              </a:extLst>
            </xdr14:cNvPr>
            <xdr14:cNvContentPartPr/>
          </xdr14:nvContentPartPr>
          <xdr14:nvPr macro=""/>
          <xdr14:xfrm>
            <a:off x="9799920" y="5788850"/>
            <a:ext cx="284760" cy="295560"/>
          </xdr14:xfrm>
        </xdr:contentPart>
      </mc:Choice>
      <mc:Fallback xmlns="">
        <xdr:pic>
          <xdr:nvPicPr>
            <xdr:cNvPr id="72" name="Entrada de lápiz 71">
              <a:extLst>
                <a:ext uri="{FF2B5EF4-FFF2-40B4-BE49-F238E27FC236}">
                  <a16:creationId xmlns:a16="http://schemas.microsoft.com/office/drawing/2014/main" id="{21C34E4E-C6C5-0E09-C78C-FE04CA9DDB8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793800" y="5782730"/>
              <a:ext cx="297000" cy="30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530320</xdr:colOff>
      <xdr:row>31</xdr:row>
      <xdr:rowOff>169313</xdr:rowOff>
    </xdr:from>
    <xdr:to>
      <xdr:col>13</xdr:col>
      <xdr:colOff>252810</xdr:colOff>
      <xdr:row>33</xdr:row>
      <xdr:rowOff>140320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6" name="Entrada de lápiz 85">
              <a:extLst>
                <a:ext uri="{FF2B5EF4-FFF2-40B4-BE49-F238E27FC236}">
                  <a16:creationId xmlns:a16="http://schemas.microsoft.com/office/drawing/2014/main" id="{6950797F-50DA-28E7-D7F9-DEB847343196}"/>
                </a:ext>
              </a:extLst>
            </xdr14:cNvPr>
            <xdr14:cNvContentPartPr/>
          </xdr14:nvContentPartPr>
          <xdr14:nvPr macro=""/>
          <xdr14:xfrm>
            <a:off x="10309320" y="5746730"/>
            <a:ext cx="516240" cy="330840"/>
          </xdr14:xfrm>
        </xdr:contentPart>
      </mc:Choice>
      <mc:Fallback xmlns="">
        <xdr:pic>
          <xdr:nvPicPr>
            <xdr:cNvPr id="86" name="Entrada de lápiz 85">
              <a:extLst>
                <a:ext uri="{FF2B5EF4-FFF2-40B4-BE49-F238E27FC236}">
                  <a16:creationId xmlns:a16="http://schemas.microsoft.com/office/drawing/2014/main" id="{6950797F-50DA-28E7-D7F9-DEB84734319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303200" y="5740610"/>
              <a:ext cx="528480" cy="34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125780</xdr:colOff>
      <xdr:row>32</xdr:row>
      <xdr:rowOff>20717</xdr:rowOff>
    </xdr:from>
    <xdr:to>
      <xdr:col>14</xdr:col>
      <xdr:colOff>297500</xdr:colOff>
      <xdr:row>33</xdr:row>
      <xdr:rowOff>150400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1" name="Entrada de lápiz 90">
              <a:extLst>
                <a:ext uri="{FF2B5EF4-FFF2-40B4-BE49-F238E27FC236}">
                  <a16:creationId xmlns:a16="http://schemas.microsoft.com/office/drawing/2014/main" id="{BC1D9E6A-EF10-1896-4C93-21FDC5F39813}"/>
                </a:ext>
              </a:extLst>
            </xdr14:cNvPr>
            <xdr14:cNvContentPartPr/>
          </xdr14:nvContentPartPr>
          <xdr14:nvPr macro=""/>
          <xdr14:xfrm>
            <a:off x="11492280" y="5778050"/>
            <a:ext cx="171720" cy="309600"/>
          </xdr14:xfrm>
        </xdr:contentPart>
      </mc:Choice>
      <mc:Fallback xmlns="">
        <xdr:pic>
          <xdr:nvPicPr>
            <xdr:cNvPr id="91" name="Entrada de lápiz 90">
              <a:extLst>
                <a:ext uri="{FF2B5EF4-FFF2-40B4-BE49-F238E27FC236}">
                  <a16:creationId xmlns:a16="http://schemas.microsoft.com/office/drawing/2014/main" id="{BC1D9E6A-EF10-1896-4C93-21FDC5F3981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486160" y="5771930"/>
              <a:ext cx="18396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179880</xdr:colOff>
      <xdr:row>31</xdr:row>
      <xdr:rowOff>158513</xdr:rowOff>
    </xdr:from>
    <xdr:to>
      <xdr:col>16</xdr:col>
      <xdr:colOff>601800</xdr:colOff>
      <xdr:row>34</xdr:row>
      <xdr:rowOff>54723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4" name="Entrada de lápiz 103">
              <a:extLst>
                <a:ext uri="{FF2B5EF4-FFF2-40B4-BE49-F238E27FC236}">
                  <a16:creationId xmlns:a16="http://schemas.microsoft.com/office/drawing/2014/main" id="{A5E989DF-8BFB-E24F-10C8-979065EEFFC6}"/>
                </a:ext>
              </a:extLst>
            </xdr14:cNvPr>
            <xdr14:cNvContentPartPr/>
          </xdr14:nvContentPartPr>
          <xdr14:nvPr macro=""/>
          <xdr14:xfrm>
            <a:off x="13133880" y="5735930"/>
            <a:ext cx="421920" cy="435960"/>
          </xdr14:xfrm>
        </xdr:contentPart>
      </mc:Choice>
      <mc:Fallback xmlns="">
        <xdr:pic>
          <xdr:nvPicPr>
            <xdr:cNvPr id="104" name="Entrada de lápiz 103">
              <a:extLst>
                <a:ext uri="{FF2B5EF4-FFF2-40B4-BE49-F238E27FC236}">
                  <a16:creationId xmlns:a16="http://schemas.microsoft.com/office/drawing/2014/main" id="{A5E989DF-8BFB-E24F-10C8-979065EEFFC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3127765" y="5729810"/>
              <a:ext cx="434150" cy="44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215060</xdr:colOff>
      <xdr:row>40</xdr:row>
      <xdr:rowOff>27863</xdr:rowOff>
    </xdr:from>
    <xdr:to>
      <xdr:col>11</xdr:col>
      <xdr:colOff>615950</xdr:colOff>
      <xdr:row>41</xdr:row>
      <xdr:rowOff>139187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2" name="Entrada de lápiz 111">
              <a:extLst>
                <a:ext uri="{FF2B5EF4-FFF2-40B4-BE49-F238E27FC236}">
                  <a16:creationId xmlns:a16="http://schemas.microsoft.com/office/drawing/2014/main" id="{C9AB8CEA-F48D-4891-3D55-21D7A970B039}"/>
                </a:ext>
              </a:extLst>
            </xdr14:cNvPr>
            <xdr14:cNvContentPartPr/>
          </xdr14:nvContentPartPr>
          <xdr14:nvPr macro=""/>
          <xdr14:xfrm>
            <a:off x="8152560" y="7224530"/>
            <a:ext cx="1448640" cy="291240"/>
          </xdr14:xfrm>
        </xdr:contentPart>
      </mc:Choice>
      <mc:Fallback xmlns="">
        <xdr:pic>
          <xdr:nvPicPr>
            <xdr:cNvPr id="112" name="Entrada de lápiz 111">
              <a:extLst>
                <a:ext uri="{FF2B5EF4-FFF2-40B4-BE49-F238E27FC236}">
                  <a16:creationId xmlns:a16="http://schemas.microsoft.com/office/drawing/2014/main" id="{C9AB8CEA-F48D-4891-3D55-21D7A970B03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146440" y="7218402"/>
              <a:ext cx="1460880" cy="3034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52600</xdr:colOff>
      <xdr:row>40</xdr:row>
      <xdr:rowOff>21023</xdr:rowOff>
    </xdr:from>
    <xdr:to>
      <xdr:col>13</xdr:col>
      <xdr:colOff>486090</xdr:colOff>
      <xdr:row>42</xdr:row>
      <xdr:rowOff>43870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2" name="Entrada de lápiz 121">
              <a:extLst>
                <a:ext uri="{FF2B5EF4-FFF2-40B4-BE49-F238E27FC236}">
                  <a16:creationId xmlns:a16="http://schemas.microsoft.com/office/drawing/2014/main" id="{FD91DB8A-CA9D-E11B-DA3B-C7B16E623BBD}"/>
                </a:ext>
              </a:extLst>
            </xdr14:cNvPr>
            <xdr14:cNvContentPartPr/>
          </xdr14:nvContentPartPr>
          <xdr14:nvPr macro=""/>
          <xdr14:xfrm>
            <a:off x="9831600" y="7217690"/>
            <a:ext cx="1227240" cy="382680"/>
          </xdr14:xfrm>
        </xdr:contentPart>
      </mc:Choice>
      <mc:Fallback xmlns="">
        <xdr:pic>
          <xdr:nvPicPr>
            <xdr:cNvPr id="122" name="Entrada de lápiz 121">
              <a:extLst>
                <a:ext uri="{FF2B5EF4-FFF2-40B4-BE49-F238E27FC236}">
                  <a16:creationId xmlns:a16="http://schemas.microsoft.com/office/drawing/2014/main" id="{FD91DB8A-CA9D-E11B-DA3B-C7B16E623BB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825478" y="7211570"/>
              <a:ext cx="1239484" cy="39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613530</xdr:colOff>
      <xdr:row>39</xdr:row>
      <xdr:rowOff>178620</xdr:rowOff>
    </xdr:from>
    <xdr:to>
      <xdr:col>15</xdr:col>
      <xdr:colOff>12070</xdr:colOff>
      <xdr:row>42</xdr:row>
      <xdr:rowOff>52150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0" name="Entrada de lápiz 129">
              <a:extLst>
                <a:ext uri="{FF2B5EF4-FFF2-40B4-BE49-F238E27FC236}">
                  <a16:creationId xmlns:a16="http://schemas.microsoft.com/office/drawing/2014/main" id="{7DDBD906-823D-18C8-EF8E-AE5792D760E7}"/>
                </a:ext>
              </a:extLst>
            </xdr14:cNvPr>
            <xdr14:cNvContentPartPr/>
          </xdr14:nvContentPartPr>
          <xdr14:nvPr macro=""/>
          <xdr14:xfrm>
            <a:off x="11186280" y="7195370"/>
            <a:ext cx="986040" cy="413280"/>
          </xdr14:xfrm>
        </xdr:contentPart>
      </mc:Choice>
      <mc:Fallback xmlns="">
        <xdr:pic>
          <xdr:nvPicPr>
            <xdr:cNvPr id="130" name="Entrada de lápiz 129">
              <a:extLst>
                <a:ext uri="{FF2B5EF4-FFF2-40B4-BE49-F238E27FC236}">
                  <a16:creationId xmlns:a16="http://schemas.microsoft.com/office/drawing/2014/main" id="{7DDBD906-823D-18C8-EF8E-AE5792D760E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180158" y="7189245"/>
              <a:ext cx="998284" cy="4255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190270</xdr:colOff>
      <xdr:row>39</xdr:row>
      <xdr:rowOff>63420</xdr:rowOff>
    </xdr:from>
    <xdr:to>
      <xdr:col>16</xdr:col>
      <xdr:colOff>675960</xdr:colOff>
      <xdr:row>41</xdr:row>
      <xdr:rowOff>148907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41" name="Entrada de lápiz 140">
              <a:extLst>
                <a:ext uri="{FF2B5EF4-FFF2-40B4-BE49-F238E27FC236}">
                  <a16:creationId xmlns:a16="http://schemas.microsoft.com/office/drawing/2014/main" id="{4815D00A-7BD8-C7F9-A416-771021FABB27}"/>
                </a:ext>
              </a:extLst>
            </xdr14:cNvPr>
            <xdr14:cNvContentPartPr/>
          </xdr14:nvContentPartPr>
          <xdr14:nvPr macro=""/>
          <xdr14:xfrm>
            <a:off x="12350520" y="7080170"/>
            <a:ext cx="1279440" cy="445320"/>
          </xdr14:xfrm>
        </xdr:contentPart>
      </mc:Choice>
      <mc:Fallback xmlns="">
        <xdr:pic>
          <xdr:nvPicPr>
            <xdr:cNvPr id="141" name="Entrada de lápiz 140">
              <a:extLst>
                <a:ext uri="{FF2B5EF4-FFF2-40B4-BE49-F238E27FC236}">
                  <a16:creationId xmlns:a16="http://schemas.microsoft.com/office/drawing/2014/main" id="{4815D00A-7BD8-C7F9-A416-771021FABB2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344400" y="7074050"/>
              <a:ext cx="1291680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126350</xdr:colOff>
      <xdr:row>31</xdr:row>
      <xdr:rowOff>148073</xdr:rowOff>
    </xdr:from>
    <xdr:to>
      <xdr:col>15</xdr:col>
      <xdr:colOff>743230</xdr:colOff>
      <xdr:row>37</xdr:row>
      <xdr:rowOff>97453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66" name="Entrada de lápiz 165">
              <a:extLst>
                <a:ext uri="{FF2B5EF4-FFF2-40B4-BE49-F238E27FC236}">
                  <a16:creationId xmlns:a16="http://schemas.microsoft.com/office/drawing/2014/main" id="{E06BD0F5-D2DA-3966-8C82-B7807F7CE270}"/>
                </a:ext>
              </a:extLst>
            </xdr14:cNvPr>
            <xdr14:cNvContentPartPr/>
          </xdr14:nvContentPartPr>
          <xdr14:nvPr macro=""/>
          <xdr14:xfrm>
            <a:off x="9111600" y="5725490"/>
            <a:ext cx="3791880" cy="1028880"/>
          </xdr14:xfrm>
        </xdr:contentPart>
      </mc:Choice>
      <mc:Fallback xmlns="">
        <xdr:pic>
          <xdr:nvPicPr>
            <xdr:cNvPr id="166" name="Entrada de lápiz 165">
              <a:extLst>
                <a:ext uri="{FF2B5EF4-FFF2-40B4-BE49-F238E27FC236}">
                  <a16:creationId xmlns:a16="http://schemas.microsoft.com/office/drawing/2014/main" id="{E06BD0F5-D2DA-3966-8C82-B7807F7CE27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105480" y="5719370"/>
              <a:ext cx="3804120" cy="10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952340</xdr:colOff>
      <xdr:row>44</xdr:row>
      <xdr:rowOff>115677</xdr:rowOff>
    </xdr:from>
    <xdr:to>
      <xdr:col>12</xdr:col>
      <xdr:colOff>75280</xdr:colOff>
      <xdr:row>47</xdr:row>
      <xdr:rowOff>26647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3" name="Entrada de lápiz 172">
              <a:extLst>
                <a:ext uri="{FF2B5EF4-FFF2-40B4-BE49-F238E27FC236}">
                  <a16:creationId xmlns:a16="http://schemas.microsoft.com/office/drawing/2014/main" id="{EAD69621-4FF2-E7F8-AC53-F2AD7F9D9C66}"/>
                </a:ext>
              </a:extLst>
            </xdr14:cNvPr>
            <xdr14:cNvContentPartPr/>
          </xdr14:nvContentPartPr>
          <xdr14:nvPr macro=""/>
          <xdr14:xfrm>
            <a:off x="8889840" y="8032010"/>
            <a:ext cx="964440" cy="450720"/>
          </xdr14:xfrm>
        </xdr:contentPart>
      </mc:Choice>
      <mc:Fallback xmlns="">
        <xdr:pic>
          <xdr:nvPicPr>
            <xdr:cNvPr id="173" name="Entrada de lápiz 172">
              <a:extLst>
                <a:ext uri="{FF2B5EF4-FFF2-40B4-BE49-F238E27FC236}">
                  <a16:creationId xmlns:a16="http://schemas.microsoft.com/office/drawing/2014/main" id="{EAD69621-4FF2-E7F8-AC53-F2AD7F9D9C6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883720" y="8025890"/>
              <a:ext cx="976680" cy="46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317200</xdr:colOff>
      <xdr:row>44</xdr:row>
      <xdr:rowOff>147717</xdr:rowOff>
    </xdr:from>
    <xdr:to>
      <xdr:col>13</xdr:col>
      <xdr:colOff>580410</xdr:colOff>
      <xdr:row>46</xdr:row>
      <xdr:rowOff>150763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90" name="Entrada de lápiz 189">
              <a:extLst>
                <a:ext uri="{FF2B5EF4-FFF2-40B4-BE49-F238E27FC236}">
                  <a16:creationId xmlns:a16="http://schemas.microsoft.com/office/drawing/2014/main" id="{8F79DE1F-DAF5-1B35-2AF6-9E0EFDC41B45}"/>
                </a:ext>
              </a:extLst>
            </xdr14:cNvPr>
            <xdr14:cNvContentPartPr/>
          </xdr14:nvContentPartPr>
          <xdr14:nvPr macro=""/>
          <xdr14:xfrm>
            <a:off x="10096200" y="8064050"/>
            <a:ext cx="1056960" cy="362880"/>
          </xdr14:xfrm>
        </xdr:contentPart>
      </mc:Choice>
      <mc:Fallback xmlns="">
        <xdr:pic>
          <xdr:nvPicPr>
            <xdr:cNvPr id="190" name="Entrada de lápiz 189">
              <a:extLst>
                <a:ext uri="{FF2B5EF4-FFF2-40B4-BE49-F238E27FC236}">
                  <a16:creationId xmlns:a16="http://schemas.microsoft.com/office/drawing/2014/main" id="{8F79DE1F-DAF5-1B35-2AF6-9E0EFDC41B4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090080" y="8057930"/>
              <a:ext cx="1069200" cy="3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676220</xdr:colOff>
      <xdr:row>43</xdr:row>
      <xdr:rowOff>150153</xdr:rowOff>
    </xdr:from>
    <xdr:to>
      <xdr:col>15</xdr:col>
      <xdr:colOff>85510</xdr:colOff>
      <xdr:row>45</xdr:row>
      <xdr:rowOff>149240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9" name="Entrada de lápiz 198">
              <a:extLst>
                <a:ext uri="{FF2B5EF4-FFF2-40B4-BE49-F238E27FC236}">
                  <a16:creationId xmlns:a16="http://schemas.microsoft.com/office/drawing/2014/main" id="{CF37C212-AABD-5D14-2203-4ACB7A1D4FED}"/>
                </a:ext>
              </a:extLst>
            </xdr14:cNvPr>
            <xdr14:cNvContentPartPr/>
          </xdr14:nvContentPartPr>
          <xdr14:nvPr macro=""/>
          <xdr14:xfrm>
            <a:off x="12042720" y="7886570"/>
            <a:ext cx="203040" cy="358920"/>
          </xdr14:xfrm>
        </xdr:contentPart>
      </mc:Choice>
      <mc:Fallback xmlns="">
        <xdr:pic>
          <xdr:nvPicPr>
            <xdr:cNvPr id="199" name="Entrada de lápiz 198">
              <a:extLst>
                <a:ext uri="{FF2B5EF4-FFF2-40B4-BE49-F238E27FC236}">
                  <a16:creationId xmlns:a16="http://schemas.microsoft.com/office/drawing/2014/main" id="{CF37C212-AABD-5D14-2203-4ACB7A1D4FE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2036600" y="7880450"/>
              <a:ext cx="215280" cy="3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793530</xdr:colOff>
      <xdr:row>44</xdr:row>
      <xdr:rowOff>100917</xdr:rowOff>
    </xdr:from>
    <xdr:to>
      <xdr:col>14</xdr:col>
      <xdr:colOff>488300</xdr:colOff>
      <xdr:row>45</xdr:row>
      <xdr:rowOff>161840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0" name="Entrada de lápiz 199">
              <a:extLst>
                <a:ext uri="{FF2B5EF4-FFF2-40B4-BE49-F238E27FC236}">
                  <a16:creationId xmlns:a16="http://schemas.microsoft.com/office/drawing/2014/main" id="{964BE314-66AF-7663-B179-E3F0FDF2F8E7}"/>
                </a:ext>
              </a:extLst>
            </xdr14:cNvPr>
            <xdr14:cNvContentPartPr/>
          </xdr14:nvContentPartPr>
          <xdr14:nvPr macro=""/>
          <xdr14:xfrm>
            <a:off x="11366280" y="8017250"/>
            <a:ext cx="488520" cy="240840"/>
          </xdr14:xfrm>
        </xdr:contentPart>
      </mc:Choice>
      <mc:Fallback xmlns="">
        <xdr:pic>
          <xdr:nvPicPr>
            <xdr:cNvPr id="200" name="Entrada de lápiz 199">
              <a:extLst>
                <a:ext uri="{FF2B5EF4-FFF2-40B4-BE49-F238E27FC236}">
                  <a16:creationId xmlns:a16="http://schemas.microsoft.com/office/drawing/2014/main" id="{964BE314-66AF-7663-B179-E3F0FDF2F8E7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1360160" y="8011130"/>
              <a:ext cx="5007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666450</xdr:colOff>
      <xdr:row>35</xdr:row>
      <xdr:rowOff>137247</xdr:rowOff>
    </xdr:from>
    <xdr:to>
      <xdr:col>14</xdr:col>
      <xdr:colOff>771620</xdr:colOff>
      <xdr:row>37</xdr:row>
      <xdr:rowOff>106813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1" name="Entrada de lápiz 200">
              <a:extLst>
                <a:ext uri="{FF2B5EF4-FFF2-40B4-BE49-F238E27FC236}">
                  <a16:creationId xmlns:a16="http://schemas.microsoft.com/office/drawing/2014/main" id="{C0B19449-8A91-C0DF-23A4-DE23D352B792}"/>
                </a:ext>
              </a:extLst>
            </xdr14:cNvPr>
            <xdr14:cNvContentPartPr/>
          </xdr14:nvContentPartPr>
          <xdr14:nvPr macro=""/>
          <xdr14:xfrm>
            <a:off x="11239200" y="6434330"/>
            <a:ext cx="898920" cy="329400"/>
          </xdr14:xfrm>
        </xdr:contentPart>
      </mc:Choice>
      <mc:Fallback xmlns="">
        <xdr:pic>
          <xdr:nvPicPr>
            <xdr:cNvPr id="201" name="Entrada de lápiz 200">
              <a:extLst>
                <a:ext uri="{FF2B5EF4-FFF2-40B4-BE49-F238E27FC236}">
                  <a16:creationId xmlns:a16="http://schemas.microsoft.com/office/drawing/2014/main" id="{C0B19449-8A91-C0DF-23A4-DE23D352B79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233080" y="6428210"/>
              <a:ext cx="911160" cy="341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120336</xdr:colOff>
      <xdr:row>27</xdr:row>
      <xdr:rowOff>27215</xdr:rowOff>
    </xdr:from>
    <xdr:to>
      <xdr:col>8</xdr:col>
      <xdr:colOff>130903</xdr:colOff>
      <xdr:row>54</xdr:row>
      <xdr:rowOff>90518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A604CD-AF6A-60EB-826D-BBBEAA27F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550" y="4803322"/>
          <a:ext cx="5535067" cy="48394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297180</xdr:colOff>
      <xdr:row>1</xdr:row>
      <xdr:rowOff>53340</xdr:rowOff>
    </xdr:from>
    <xdr:to>
      <xdr:col>13</xdr:col>
      <xdr:colOff>256591</xdr:colOff>
      <xdr:row>14</xdr:row>
      <xdr:rowOff>86061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6206FC-3678-B926-A655-A41374FB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60" y="236220"/>
          <a:ext cx="9469171" cy="2410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129541</xdr:rowOff>
    </xdr:from>
    <xdr:to>
      <xdr:col>5</xdr:col>
      <xdr:colOff>289560</xdr:colOff>
      <xdr:row>20</xdr:row>
      <xdr:rowOff>160889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82200E-081A-4C9A-A5B5-2EA876044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1061"/>
          <a:ext cx="4251960" cy="2957428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5:54:40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0 236 24575,'2'0'0,"0"0"0,0 1 0,0-1 0,0 1 0,-1-1 0,1 1 0,0 0 0,0 0 0,-1-1 0,1 1 0,-1 0 0,1 0 0,-1 1 0,1-1 0,-1 0 0,0 1 0,1-1 0,-1 0 0,0 1 0,0-1 0,1 3 0,19 39 0,-15-27 0,45 85 0,-15 21 0,-31-103 0,46 157 0,-43-148 0,2 0 0,0-1 0,27 49 0,-23-47 0,-12-26 0,-1 0 0,1-1 0,0 1 0,0-1 0,0 1 0,0-1 0,0 1 0,0-1 0,1 0 0,-1 0 0,6 3 0,-7-5 0,0 1 0,-1-1 0,1 0 0,0 0 0,0 1 0,0-1 0,0 0 0,0 0 0,0 0 0,0 0 0,0 0 0,0 0 0,0 0 0,0 0 0,0 0 0,0-1 0,0 1 0,0 0 0,-1-1 0,1 1 0,0 0 0,0-1 0,0 1 0,0-1 0,-1 0 0,1 1 0,0-1 0,0 1 0,-1-1 0,1 0 0,-1 0 0,1 1 0,0-1 0,-1 0 0,0 0 0,1 0 0,-1 0 0,1 0 0,-1 0 0,0 1 0,0-1 0,1-2 0,52-157 0,-30 87 0,-16 48 0,-1-1 0,2-29 0,-6 34 0,2-1 0,0 1 0,14-39 0,-11 41-170,-1 1-1,-1-1 0,-1-1 1,0 1-1,-2 0 0,0-1 1,-1-26-1,-1 21-6655</inkml:trace>
  <inkml:trace contextRef="#ctx0" brushRef="#br0" timeOffset="381.37">1000 236 24575,'413'0'0,"-404"0"-273,0 0 0,0 1 0,-1 0 0,10 2 0,1 4-6553</inkml:trace>
  <inkml:trace contextRef="#ctx0" brushRef="#br0" timeOffset="747.56">1088 648 24575,'472'0'0,"-457"-1"-170,0 1-1,0-2 0,0 0 1,-1-1-1,1 0 0,-1-1 1,24-10-1,-19 4-6655</inkml:trace>
  <inkml:trace contextRef="#ctx0" brushRef="#br0" timeOffset="1129.05">2205 30 24575,'678'0'0,"-669"0"-273,0 0 0,0 1 0,-1 0 0,10 2 0,1 4-6553</inkml:trace>
  <inkml:trace contextRef="#ctx0" brushRef="#br0" timeOffset="1512.04">2587 1 24575,'1'0'0,"0"0"0,0 1 0,1-1 0,-2 0 0,1 1 0,0-1 0,0 1 0,0-1 0,0 1 0,0 0 0,0-1 0,0 1 0,-1 0 0,1-1 0,0 1 0,-1 0 0,1 0 0,0 0 0,-1 0 0,1 0 0,-1 0 0,1 0 0,-1 0 0,0 0 0,1 0 0,-1 2 0,7 31 0,-7-31 0,6 83 0,-7 114 0,-1-72 0,2-11-1365,0-92-5461</inkml:trace>
  <inkml:trace contextRef="#ctx0" brushRef="#br0" timeOffset="1878.12">2411 559 24575,'5'0'0,"7"0"0,6 0 0,5 0 0,3 0 0,3 0 0,2 0 0,-1 0 0,1 0 0,-1 0 0,1 0 0,-1 0 0,-1 0 0,1 0 0,-1 0 0,1 0 0,-1 0 0,-5 0-8191</inkml:trace>
  <inkml:trace contextRef="#ctx0" brushRef="#br0" timeOffset="2703.69">3264 589 24575,'1'0'0,"0"-1"0,0 1 0,0 0 0,0-1 0,0 1 0,0-1 0,0 1 0,-1-1 0,1 1 0,0-1 0,0 0 0,0 1 0,0-1 0,-1 0 0,1 0 0,0 0 0,-1 1 0,1-1 0,-1 0 0,1 0 0,-1 0 0,1 0 0,-1 0 0,0 0 0,1 0 0,-1-2 0,7-31 0,-7 30 0,4-60 0,-5-102 0,-2 96 0,7-72 0,-4 139 0,0 0 0,1 1 0,-1-1 0,1 0 0,-1 1 0,1-1 0,0 1 0,0-1 0,0 0 0,1 1 0,-1 0 0,0-1 0,1 1 0,0 0 0,0 0 0,-1 0 0,1 0 0,0 0 0,1 0 0,-1 1 0,0-1 0,0 1 0,1-1 0,-1 1 0,1 0 0,-1 0 0,1 0 0,-1 0 0,1 0 0,0 1 0,-1-1 0,1 1 0,0 0 0,0-1 0,3 2 0,-1-1 0,0 0 0,-1 1 0,1 0 0,0 0 0,-1 0 0,1 0 0,0 1 0,-1 0 0,0 0 0,1 0 0,-1 0 0,0 1 0,0-1 0,0 1 0,-1 0 0,1 1 0,-1-1 0,1 1 0,4 6 0,3 8 0,-1 0 0,0 0 0,-2 1 0,0 0 0,-1 1 0,-1-1 0,-1 1 0,-1 1 0,0-1 0,0 38 0,-4-56 0,0 1 0,-1 0 0,1 0 0,-1 0 0,0-1 0,0 1 0,0 0 0,0-1 0,0 1 0,0 0 0,-1-1 0,1 0 0,-1 1 0,0-1 0,0 0 0,0 0 0,0 0 0,0 0 0,0 0 0,0 0 0,-1-1 0,1 1 0,-1-1 0,1 0 0,-1 0 0,0 0 0,1 0 0,-1 0 0,0 0 0,0-1 0,-4 1 0,-8 1 0,0-1 0,-1 0 0,1-1 0,-22-3 0,34 3 0,3 0 0,0 0 0,0 0 0,0 0 0,-1 0 0,1 0 0,0 0 0,0 0 0,0 0 0,0 1 0,0-1 0,0 0 0,0 0 0,0 0 0,-1 0 0,1 0 0,0 0 0,0 0 0,0 1 0,0-1 0,0 0 0,0 0 0,0 0 0,0 0 0,0 0 0,0 0 0,0 1 0,0-1 0,0 0 0,0 0 0,0 0 0,0 0 0,0 0 0,0 1 0,0-1 0,0 0 0,0 0 0,0 0 0,0 0 0,0 0 0,0 0 0,0 1 0,0-1 0,1 0 0,-1 0 0,0 0 0,0 0 0,0 0 0,0 0 0,0 0 0,0 0 0,0 1 0,0-1 0,1 0 0,-1 0 0,0 0 0,0 0 0,0 0 0,0 0 0,0 0 0,1 0 0,-1 0 0,0 0 0,15 16 0,19 14 0,190 157 0,-193-162 0,0 0 0,2-2 0,67 35 0,82 22-1365,-164-73-5461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5:58:50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500 118 24575,'-1'0'0,"0"1"0,0-1 0,0 0 0,0 1 0,0-1 0,0 1 0,0-1 0,0 1 0,0-1 0,1 1 0,-1 0 0,0-1 0,0 1 0,0 0 0,1 0 0,-1 0 0,0-1 0,1 1 0,-1 0 0,1 0 0,-1 0 0,1 0 0,0 0 0,-1 0 0,1 0 0,-1 2 0,-5 31 0,6-30 0,-4 42 0,3-26 0,-1 1 0,-7 27 0,0 0 0,3 1 0,1 0 0,3 1 0,5 72 0,-1-15 0,0-44-80,0-38-134,-1 0 0,-2 0-1,0 0 1,-1 0 0,-10 39 0,5-45-6612</inkml:trace>
  <inkml:trace contextRef="#ctx0" brushRef="#br0" timeOffset="855.37">412 1 24575,'0'17'0,"-1"1"0,0-1 0,-2 0 0,-4 21 0,5-31 0,0-1 0,0 1 0,-1-1 0,0 0 0,0 0 0,0 0 0,-1 0 0,0 0 0,0-1 0,0 1 0,-1-1 0,0-1 0,-9 8 0,-49 44 0,-13 15 0,63-60 0,1 1 0,0 1 0,1 0 0,-13 18 0,12-14 0,0-2 0,-1 0 0,-16 15 0,18-21 0,3-3 0,1 0 0,0 0 0,1 1 0,-1 0 0,1 0 0,-5 8 0,10-14 0,1 0 0,0-1 0,0 1 0,0-1 0,0 1 0,0-1 0,0 1 0,0-1 0,0 1 0,0 0 0,0-1 0,0 1 0,0-1 0,1 1 0,-1-1 0,0 1 0,0-1 0,1 1 0,-1-1 0,0 1 0,0-1 0,1 1 0,-1-1 0,1 0 0,-1 1 0,0-1 0,1 1 0,-1-1 0,1 0 0,-1 1 0,1-1 0,-1 0 0,1 0 0,-1 1 0,1-1 0,-1 0 0,1 0 0,-1 0 0,1 0 0,-1 0 0,1 0 0,0 0 0,-1 0 0,1 0 0,-1 0 0,1 0 0,33 3 0,-31-3 0,270-4 0,-254 3 22,1-2-1,-1 0 1,0-1-1,0 0 1,24-11 0,-23 8-396,0 1 0,1 0 1,42-4-1,-39 9-6452</inkml:trace>
  <inkml:trace contextRef="#ctx0" brushRef="#br0" timeOffset="1696.43">941 206 24575,'1'-1'0,"0"-1"0,0 0 0,0 0 0,0 0 0,0 0 0,0 1 0,0-1 0,1 1 0,-1-1 0,1 1 0,-1-1 0,1 1 0,-1 0 0,1-1 0,0 1 0,0 0 0,3-1 0,34-16 0,-34 16 0,0 0 0,0 1 0,1 0 0,-1 0 0,0 0 0,1 1 0,-1-1 0,0 1 0,1 0 0,-1 1 0,0 0 0,1-1 0,-1 2 0,0-1 0,6 3 0,-8-3 0,1 1 0,-1 0 0,0 1 0,0-1 0,0 1 0,0-1 0,0 1 0,0 0 0,-1 0 0,1 0 0,-1 0 0,0 1 0,0-1 0,0 1 0,0-1 0,-1 1 0,1 0 0,-1 0 0,0-1 0,0 1 0,0 4 0,2 12 0,-1 1 0,0-1 0,-3 32 0,1-43 0,-1 1 0,0 0 0,-1-1 0,0 1 0,-1-1 0,0 0 0,0 0 0,-1 0 0,-7 13 0,-6 4 0,-91 146 0,93-148 0,9-14 0,0 0 0,0 0 0,1 0 0,1 0 0,0 1 0,-4 14 0,7-22 0,1 0 0,0 0 0,0 0 0,0 0 0,0 1 0,1-1 0,-1 0 0,1 0 0,-1 0 0,1 0 0,0 0 0,0 0 0,1 0 0,-1-1 0,1 1 0,-1 0 0,1-1 0,0 1 0,0-1 0,0 1 0,0-1 0,0 0 0,1 0 0,-1 0 0,1 0 0,-1 0 0,1-1 0,3 3 0,1-1 0,0 1 0,1-1 0,-1 0 0,1-1 0,0 0 0,0 0 0,0-1 0,15 1 0,70-3 0,-50-1 0,105 0-1365,-123 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5:58:48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65 24575,'-5'0'0,"1"0"0,-1 1 0,1-1 0,-1 1 0,1 0 0,-1 0 0,1 1 0,0-1 0,0 1 0,0 0 0,0 0 0,0 0 0,0 1 0,0-1 0,1 1 0,-1 0 0,1 0 0,0 0 0,0 1 0,0-1 0,0 1 0,0-1 0,1 1 0,-3 5 0,0 1 0,1 1 0,0-1 0,1 1 0,0 0 0,1 0 0,0 0 0,1 0 0,-1 19 0,2-21 0,-1 0 0,1 0 0,1-1 0,0 1 0,0 0 0,0 0 0,1-1 0,1 1 0,-1-1 0,1 1 0,1-1 0,0 0 0,0 0 0,0-1 0,1 1 0,0-1 0,10 11 0,25 33 0,-33-41 0,-1-1 0,1 0 0,1 0 0,-1-1 0,1 0 0,18 13 0,-12-11 0,1-1 0,-1-1 0,1-1 0,1 0 0,-1-1 0,1 0 0,1-1 0,-1-1 0,0-1 0,1 0 0,0-1 0,0-1 0,30-1 0,-43-1 0,0 0 0,0 1 0,0-1 0,0 0 0,0-1 0,0 1 0,-1-1 0,1 0 0,0 0 0,-1 0 0,1 0 0,-1 0 0,0-1 0,0 0 0,0 1 0,0-1 0,0 0 0,-1-1 0,1 1 0,-1 0 0,0-1 0,0 1 0,0-1 0,0 0 0,-1 0 0,1 1 0,-1-1 0,1-7 0,1-9 0,0 0 0,-1 0 0,-1-1 0,-3-30 0,1 26 0,1-22 0,1 25 0,-1 1 0,-1 0 0,-6-33 0,6 48 0,-1 0 0,1 1 0,-1-1 0,-1 1 0,1-1 0,-1 1 0,0 0 0,0 0 0,0 0 0,-1 0 0,0 0 0,0 1 0,0 0 0,0 0 0,-1 0 0,1 0 0,-8-3 0,-25-16 0,10 5 0,-34-14 0,50 27 0,0 1 0,0 0 0,-1 1 0,1 0 0,0 1 0,-22-2 0,5 2 0,12 1 0,0-1 0,0 2 0,0 0 0,0 1 0,0 1 0,-32 7 0,30 2-1365,6 2-5461</inkml:trace>
  <inkml:trace contextRef="#ctx0" brushRef="#br0" timeOffset="574.08">799 65 24575,'5'0'0,"7"0"0,6 0 0,5 0 0,3 0 0,3 0 0,2 0 0,-1 0 0,1 0 0,-1 0 0,1 0 0,-2 0 0,1 0 0,0 0 0,-6 0-8191</inkml:trace>
  <inkml:trace contextRef="#ctx0" brushRef="#br0" timeOffset="938.67">887 359 24575,'5'0'0,"7"0"0,6 0 0,5 0 0,4 0 0,2 0 0,1 0 0,0 0 0,1 0 0,-5 0-8191</inkml:trace>
  <inkml:trace contextRef="#ctx0" brushRef="#br0" timeOffset="1415.26">1681 212 24575,'5'0'0,"7"0"0,5 0 0,7 0 0,2 0 0,3 0 0,2 0 0,-1 0 0,1 0 0,-1 0 0,1 0 0,-2 0 0,1 0 0,-5 0-8191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5:59:08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265 148 24575,'2'29'0,"1"-1"0,7 37 0,-4-34 0,3 51 0,-8 285 86,-2-175-1537,1-166-5375</inkml:trace>
  <inkml:trace contextRef="#ctx0" brushRef="#br0" timeOffset="540.33">1 589 24575,'765'0'-1365,"-740"0"-5461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5:59:48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379 0 24575,'-8'0'0,"-1"1"0,1 0 0,0 0 0,0 0 0,0 1 0,0 1 0,0-1 0,0 1 0,0 0 0,1 1 0,-10 6 0,7-3 0,0 1 0,0 0 0,1 0 0,1 1 0,-1 0 0,-12 20 0,1 3 0,1 2 0,3 1 0,-24 67 0,8-33 0,25-56 0,0 1 0,1 0 0,0 0 0,1 0 0,1 1 0,-4 20 0,5 19 0,3 78 0,2-52 0,-2-74 0,0 0 0,1-1 0,0 1 0,0-1 0,0 1 0,0-1 0,1 1 0,0-1 0,0 0 0,1 1 0,-1-1 0,1-1 0,0 1 0,1 0 0,-1-1 0,1 1 0,0-1 0,0 0 0,0 0 0,0-1 0,1 1 0,-1-1 0,1 0 0,0 0 0,0 0 0,0-1 0,8 3 0,1 0 0,0 0 0,1-1 0,0-1 0,-1 0 0,25 1 0,-29-4 0,1 1 0,-1-2 0,1 1 0,-1-1 0,1-1 0,-1 0 0,0-1 0,18-6 0,-26 8 0,1 0 0,0-1 0,0 0 0,0 0 0,-1 1 0,1-1 0,-1-1 0,0 1 0,0 0 0,1-1 0,-2 1 0,1-1 0,0 1 0,0-1 0,-1 0 0,1 0 0,-1 0 0,0 0 0,0 0 0,0 0 0,0 0 0,-1 0 0,1 0 0,-1-1 0,0 1 0,0 0 0,0 0 0,0 0 0,-1-1 0,1 1 0,-1 0 0,0 0 0,-1-5 0,0 1 0,-1 1 0,0-1 0,0 0 0,0 1 0,-1 0 0,0-1 0,0 2 0,0-1 0,-1 0 0,0 1 0,0 0 0,-1 0 0,-10-7 0,-3 0 0,9 4 0,-1 1 0,0 1 0,0 0 0,0 0 0,-1 1 0,0 1 0,0 0 0,0 0 0,-1 1 0,-21-2 0,33 5-18,-34-2-431,0 2 0,-36 3 0</inkml:trace>
  <inkml:trace contextRef="#ctx0" brushRef="#br0" timeOffset="843.32">849 88 24575,'85'-1'0,"95"3"0,-108 12 0,-54-9 0,1-2 0,21 3 0,16-4-1365,-30-2-5461</inkml:trace>
  <inkml:trace contextRef="#ctx0" brushRef="#br0" timeOffset="1271.13">1055 118 24575,'1'0'0,"0"0"0,0 0 0,0 1 0,0-1 0,-1 0 0,1 1 0,0-1 0,0 0 0,0 1 0,-1-1 0,1 1 0,0 0 0,0-1 0,-1 1 0,1 0 0,-1-1 0,1 1 0,-1 0 0,1-1 0,-1 1 0,1 0 0,0 1 0,9 24 0,-5-12 0,1 1 0,0 1 0,-1 0 0,-1 0 0,-1 1 0,0-1 0,1 23 0,-6 106 0,0-65 0,3-16 0,1-37 0,-2 1 0,0-1 0,-2 1 0,-11 51 0,2-32-1365,7-26-5461</inkml:trace>
  <inkml:trace contextRef="#ctx0" brushRef="#br0" timeOffset="1750.43">908 823 24575,'34'0'0,"1"1"0,-1 2 0,50 11 0,-60-10 0,0-1 0,31 1 0,-33-4 0,0 2 0,0 1 0,23 5 0,-23-3-455,1 0 0,32 1 0,-31-4-6371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5:59:59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1 24575,'75'-1'0,"84"3"0,-154-1 0,-1 0 0,1 0 0,-1 1 0,1-1 0,-1 1 0,0 0 0,0 0 0,0 1 0,0-1 0,0 1 0,0 0 0,0 0 0,-1 0 0,0 0 0,0 1 0,0-1 0,0 1 0,0 0 0,-1 0 0,1 0 0,-1 0 0,0 0 0,0 1 0,-1-1 0,3 9 0,-3-7 0,1 0 0,-1-1 0,0 1 0,0 0 0,-1 0 0,0 0 0,0 0 0,0-1 0,0 1 0,-1 0 0,0 0 0,-1 0 0,1-1 0,-1 1 0,0-1 0,0 1 0,-1-1 0,0 0 0,0 0 0,-5 7 0,5-9 0,0 0 0,0-1 0,0 1 0,-1-1 0,1 0 0,-1 0 0,1-1 0,-1 1 0,0-1 0,0 1 0,0-1 0,-6 1 0,-48 1 0,68 0 0,-1 1 0,1-1 0,-1 2 0,0-1 0,0 1 0,0 1 0,-1 0 0,0 0 0,0 0 0,0 1 0,-1 1 0,0-1 0,8 12 0,-4 0 0,-2 0 0,0 0 0,-2 1 0,0 0 0,-1 0 0,0 0 0,-2 1 0,-1 0 0,2 30 0,-5-31 0,0-1 0,-2 1 0,0 0 0,-1 0 0,-1-1 0,-1 0 0,-12 34 0,14-47 0,0 1 0,-1-1 0,1 1 0,-1-1 0,-1 0 0,1 0 0,-1-1 0,0 1 0,0-1 0,-1 0 0,1 0 0,-1-1 0,0 0 0,-1 0 0,1 0 0,-1-1 0,1 0 0,-1 0 0,0-1 0,0 0 0,0 0 0,-1 0 0,-13 0 0,16-1 0,-17 1 0,-1-1 0,-35-3 0,53 2 0,-1-1 0,1 0 0,0 0 0,-1 0 0,1-1 0,0 0 0,0 0 0,0 0 0,0 0 0,0-1 0,1 0 0,-1 0 0,1 0 0,0-1 0,0 1 0,-6-7 0,-6-11-114,0 1 238,-24-40 0,36 52-291,0-1 1,0 0-1,1 0 1,0 0-1,0 0 1,1 0-1,1 0 1,-2-14-1,2-2-6659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1:15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24575,'52'-1'0,"-26"0"0,-1 1 0,1 1 0,0 1 0,43 9 0,-35-4-273,0-2 0,0-1 0,1-1 0,45-3 0,-55-1-6553</inkml:trace>
  <inkml:trace contextRef="#ctx0" brushRef="#br0" timeOffset="1398.31">206 1 24575,'-1'39'0,"2"1"0,2-1 0,12 60 0,-8-53 0,-2 1 0,-1-1 0,-6 90 0,-1-39 0,3 108-1365,0-179-5461</inkml:trace>
  <inkml:trace contextRef="#ctx0" brushRef="#br0" timeOffset="1843.25">30 794 24575,'4'0'0,"8"0"0,6 0 0,5 0 0,4 0 0,2 0 0,1 0 0,1 0 0,-1 0 0,1 0 0,-1 0 0,0 0 0,0 0 0,-1 0 0,1 0 0,-1 0 0,0 0 0,-4 0-8191</inkml:trace>
  <inkml:trace contextRef="#ctx0" brushRef="#br0" timeOffset="3882.9">882 706 24575,'54'-1'0,"66"3"0,-117-1 0,0-1 0,1 1 0,-1 0 0,1 1 0,-1-1 0,0 0 0,0 1 0,0 0 0,0 0 0,0 0 0,0 0 0,0 0 0,-1 0 0,1 1 0,-1-1 0,1 1 0,-1 0 0,0 0 0,0 0 0,-1 0 0,1 0 0,0 0 0,-1 1 0,0-1 0,0 0 0,0 1 0,0-1 0,0 1 0,0 5 0,0-3 0,-1 1 0,1 0 0,-1 0 0,0 0 0,-1-1 0,1 1 0,-1 0 0,-1-1 0,1 1 0,-1 0 0,0-1 0,-1 0 0,1 1 0,-8 10 0,-3-1 0,-1 0 0,-1-1 0,-1-1 0,-18 14 0,-15 13 0,14-16 0,28-21 0,-1 1 0,1 0 0,0 0 0,1 1 0,0-1 0,-10 12 0,15-15 0,0 0 0,0-1 0,0 1 0,1 0 0,-1 0 0,0 0 0,1 0 0,0 0 0,-1-1 0,1 1 0,0 0 0,0 0 0,0 0 0,0 0 0,0 0 0,1 0 0,-1 0 0,0 0 0,1 0 0,0 0 0,-1-1 0,1 1 0,0 0 0,0 0 0,0-1 0,0 1 0,0 0 0,0-1 0,1 1 0,-1-1 0,1 0 0,-1 1 0,1-1 0,1 2 0,4 2 6,-1 0 0,1 0 0,0 0 0,0-1 0,0 0 0,1-1 0,-1 1 0,1-1 0,0-1 0,0 0 0,0 0 0,11 1 0,9 0-202,0-2 1,36-2-1,-28-1-660,-11 2-5970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1:39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373 217 24575,'-4'0'0,"1"0"0,-1 1 0,1 0 0,-1 0 0,1 0 0,-1 0 0,1 1 0,0-1 0,0 1 0,0 0 0,0 0 0,0 0 0,0 0 0,-4 5 0,-39 46 0,20-21 0,-11-1 0,28-24 0,1 0 0,-1 0 0,-8 10 0,11-10 0,-96 107 0,95-107 0,0 0 0,0 1 0,1 0 0,0 0 0,0 1 0,-7 15 0,12-22 0,0 0 0,0 1 0,0-1 0,0 0 0,0 1 0,1-1 0,-1 1 0,1-1 0,0 1 0,-1-1 0,1 1 0,0-1 0,1 1 0,-1-1 0,0 1 0,1-1 0,-1 0 0,1 1 0,0-1 0,0 1 0,0-1 0,0 0 0,0 0 0,0 0 0,0 0 0,1 1 0,-1-2 0,1 1 0,0 0 0,0 0 0,3 2 0,15 9 0,1-1 0,0-1 0,0 0 0,1-2 0,28 8 0,118 32 0,-139-42 0,1-1 0,0-1 0,0-2 0,0-1 0,61-4 0,-39 1 0,-45 1 0,0 0 0,0-1 0,0 1 0,0-2 0,0 1 0,0-1 0,0 0 0,0 0 0,-1-1 0,1 0 0,-1 0 0,0 0 0,0-1 0,0 0 0,0 0 0,-1-1 0,1 1 0,-1-1 0,0 0 0,-1-1 0,1 1 0,-1-1 0,0 0 0,-1 0 0,1 0 0,4-13 0,13-27 0,-6 15 0,11-34 0,-23 54 0,0 0 0,0 0 0,-1-1 0,-1 1 0,1 0 0,-2-1 0,0-12 0,-1 19 0,0-1 0,0 1 0,-1 0 0,1 0 0,-1 0 0,0 0 0,-1 0 0,1 1 0,-6-9 0,-35-39 0,1 1 0,38 45 0,-1 0 0,1 0 0,-1 0 0,-1 1 0,1 0 0,-1 0 0,1 1 0,-2 0 0,1 0 0,0 0 0,-1 0 0,1 1 0,-1 0 0,0 1 0,0-1 0,0 1 0,-14-1 0,-9-1 0,1 2 0,0 2 0,-38 3 0,7-1 0,-28-1-1365,63-1-5461</inkml:trace>
  <inkml:trace contextRef="#ctx0" brushRef="#br0" timeOffset="701.43">1255 217 24575,'5'0'0,"6"0"0,7 0 0,5 0 0,4 0 0,2 0 0,1 0 0,1 0 0,0 0 0,-1 0 0,0 0 0,0 0 0,0 0 0,-1 0 0,1 0 0,-1 0 0,1 0 0,-6 0-8191</inkml:trace>
  <inkml:trace contextRef="#ctx0" brushRef="#br0" timeOffset="1114.85">1225 687 24575,'5'0'0,"7"0"0,6 0 0,5 0 0,4 0 0,2 0 0,1 0 0,1 0 0,-1 0 0,1 0 0,-1 0 0,0 0 0,0 0 0,-6 0-8191</inkml:trace>
  <inkml:trace contextRef="#ctx0" brushRef="#br0" timeOffset="2026.73">2225 305 24575,'5'0'0,"6"0"0,7 0 0,1-5 0,1-2 0,2 1 0,3 1 0,-3-4 0,0 0 0,1 2 0,2 1 0,1 2 0,2 2 0,0 1 0,-4 1-8191</inkml:trace>
  <inkml:trace contextRef="#ctx0" brushRef="#br0" timeOffset="2711.25">2930 70 24575,'29'-1'0,"0"-2"0,0 0 0,0-2 0,-1-1 0,30-10 0,-29 0 0,-25 13 0,-1 1 0,1 0 0,-1 0 0,1 0 0,0 0 0,0 1 0,0-1 0,0 1 0,5-1 0,-8 2 0,0 0 0,0 1 0,0-1 0,0 0 0,0 1 0,0-1 0,0 0 0,0 1 0,0 0 0,-1-1 0,1 1 0,0-1 0,0 1 0,-1 0 0,1-1 0,0 1 0,-1 0 0,1 0 0,0 0 0,-1 0 0,0-1 0,1 1 0,-1 0 0,1 0 0,-1 0 0,0 0 0,0 0 0,1 0 0,-1 2 0,3 34 0,-2-33 0,-3 20 0,0-1 0,-1 1 0,-1-1 0,-2 0 0,-8 25 0,-7 28 0,5-13 0,9-43 0,2 1 0,0 0 0,-2 33 0,6 90-1365,2-118-5461</inkml:trace>
  <inkml:trace contextRef="#ctx0" brushRef="#br0" timeOffset="3662.75">3695 70 24575,'-69'79'0,"61"-70"0,0 1 0,0 0 0,1 1 0,1 0 0,0 0 0,0 0 0,1 0 0,0 1 0,1 0 0,1 0 0,0 1 0,-3 19 0,2 14 0,1 0 0,5 52 0,0-31 0,-3-63 0,1 0 0,0 1 0,1-1 0,-1 0 0,1 1 0,0-1 0,0 0 0,0 0 0,0 0 0,1 0 0,0 0 0,0 0 0,0 0 0,4 5 0,-3-6 0,0-1 0,0 1 0,0-1 0,0 0 0,1 0 0,-1 0 0,1-1 0,0 1 0,-1-1 0,1 0 0,0 0 0,0 0 0,0 0 0,-1-1 0,1 1 0,6-1 0,95 12 0,-63-6 0,50 1 0,-83-7 0,0 0 0,1 0 0,-1-1 0,0 0 0,0-1 0,0 0 0,0 0 0,12-6 0,-18 6 0,1 0 0,-1 0 0,1 0 0,-1-1 0,0 0 0,0 0 0,0 0 0,0 0 0,-1 0 0,1 0 0,-1-1 0,0 1 0,1-1 0,-2 0 0,1 1 0,0-1 0,-1 0 0,0 0 0,0 0 0,0 0 0,0-5 0,3-25 0,-2-1 0,-4-61 0,-1 27 0,3 62 0,0-1 0,-1 0 0,0 1 0,0 0 0,-1-1 0,0 1 0,-1 0 0,1 0 0,-1 0 0,0 0 0,-9-12 0,0 3 0,-1 0 0,-1 2 0,-18-17 0,23 23 0,7 6-19,-19-17 90,-41-31-1,54 45-218,0 0-1,-1 0 0,1 1 0,-1 0 1,0 1-1,0 0 0,0 0 0,-1 1 1,-11-1-1,-2 1-6677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1:59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 0 24575,'1'1'0,"0"-1"0,0 0 0,0 1 0,0-1 0,0 0 0,0 1 0,0-1 0,0 1 0,0 0 0,0-1 0,-1 1 0,1 0 0,0-1 0,0 1 0,-1 0 0,1 0 0,0 0 0,-1-1 0,1 1 0,-1 0 0,1 0 0,-1 0 0,1 0 0,-1 0 0,0 0 0,1 2 0,5 32 0,-5-32 0,12 91 0,-4-40 0,2 93 0,-9-113 0,11 66 0,-7-64 0,2 58 0,-8-93 0,0 33 0,1 1 0,2 0 0,10 49 0,-8-60-1365,-1-3-5461</inkml:trace>
  <inkml:trace contextRef="#ctx0" brushRef="#br0" timeOffset="734.6">1 530 24575,'824'0'-1365,"-799"0"-5461</inkml:trace>
  <inkml:trace contextRef="#ctx0" brushRef="#br0" timeOffset="3674.75">1324 89 24575,'104'-2'0,"116"4"0,-212-1 0,-1 0 0,1 1 0,-1 0 0,1 0 0,-1 0 0,0 1 0,0 0 0,0 1 0,0 0 0,-1 0 0,1 0 0,-1 0 0,0 1 0,0 0 0,-1 1 0,6 5 0,-8-7 0,0 0 0,0 1 0,0-1 0,-1 1 0,1 0 0,-1-1 0,0 1 0,-1 0 0,1 0 0,-1 1 0,0-1 0,0 0 0,-1 0 0,1 0 0,-1 1 0,0-1 0,-1 0 0,1 0 0,-1 1 0,0-1 0,0 0 0,-1 0 0,1 0 0,-4 5 0,4-7 0,-1 1 0,0-1 0,0 0 0,-1 0 0,1 0 0,-1 0 0,0-1 0,1 1 0,-1 0 0,0-1 0,0 0 0,-1 0 0,1 0 0,0 0 0,-6 1 0,-5 3 0,-1-1 0,-24 4 0,-2 1 0,41-10 0,-1 0 0,1 0 0,-1 0 0,1 1 0,-1-1 0,1 0 0,0 0 0,-1 0 0,1 1 0,-1-1 0,1 0 0,0 1 0,-1-1 0,1 0 0,0 1 0,-1-1 0,1 0 0,0 1 0,0-1 0,-1 0 0,1 1 0,0-1 0,0 1 0,0-1 0,-1 1 0,1-1 0,0 1 0,0-1 0,0 1 0,0-1 0,0 1 0,8 15 0,24 16 0,-26-27 0,5 8 0,-1 0 0,0 0 0,0 1 0,-1 1 0,-1 0 0,6 16 0,-7-17 0,3 9 0,-2 0 0,-1 1 0,6 30 0,-9-35 0,-2-10 0,0 0 0,0 0 0,-1 1 0,0-1 0,-1 0 0,-1 19 0,0-25 0,1-1 0,-1 1 0,0 0 0,0-1 0,0 1 0,0-1 0,0 1 0,0-1 0,-1 0 0,1 0 0,-1 1 0,0-1 0,1 0 0,-1 0 0,0-1 0,0 1 0,-1 0 0,1-1 0,0 1 0,0-1 0,-1 1 0,1-1 0,-1 0 0,1 0 0,-1-1 0,0 1 0,1 0 0,-4 0 0,-21 2 0,0-1 0,-1-1 0,1-2 0,-41-5 0,53 5 0,1-2 0,0 0 0,-1 0 0,1-2 0,1 1 0,-19-10 0,28 11-68,1 0 0,0 0-1,1 0 1,-1-1 0,0 1 0,1-1-1,0 1 1,0-1 0,0 0 0,0 0-1,1 0 1,-1 0 0,1 0 0,0 0-1,0 0 1,1-1 0,-1 1 0,1 0-1,0-7 1,-1-13-6758</inkml:trace>
  <inkml:trace contextRef="#ctx0" brushRef="#br0" timeOffset="4584.22">2265 89 24575,'15'-1'0,"0"-1"0,-1 0 0,26-7 0,23-4 0,70-9 0,-90 13 0,10-4 74,15-3-1513,-45 14-5387</inkml:trace>
  <inkml:trace contextRef="#ctx0" brushRef="#br0" timeOffset="5051.16">2529 59 24575,'0'501'-1365,"0"-476"-5461</inkml:trace>
  <inkml:trace contextRef="#ctx0" brushRef="#br0" timeOffset="5514.83">2294 588 24575,'0'-1'0,"0"0"0,1 0 0,-1 0 0,0 0 0,1 0 0,-1 0 0,1 0 0,-1 1 0,1-1 0,0 0 0,-1 0 0,1 0 0,0 0 0,0 1 0,-1-1 0,1 0 0,0 1 0,0-1 0,0 1 0,0-1 0,0 1 0,0-1 0,0 1 0,0-1 0,0 1 0,2 0 0,31-7 0,-31 7 0,175-33 0,-118 20 0,-40 8 0,0 1 0,28-3 0,12 5-65,-32 2-260,1-1 0,-1-2 0,43-9 0,-51 7-6501</inkml:trace>
  <inkml:trace contextRef="#ctx0" brushRef="#br0" timeOffset="6374.41">3088 530 24575,'23'-1'0,"-12"0"0,-1 1 0,0 0 0,1 1 0,-1 0 0,14 4 0,-21-5 0,0 1 0,-1 1 0,1-1 0,0 0 0,-1 1 0,0-1 0,1 1 0,-1 0 0,0-1 0,1 1 0,-1 0 0,0 1 0,-1-1 0,1 0 0,0 0 0,-1 1 0,1-1 0,-1 1 0,0 0 0,1-1 0,-1 1 0,-1 0 0,2 5 0,0-2 0,-1 1 0,0-1 0,0 1 0,-1-1 0,1 1 0,-2 0 0,1-1 0,-1 1 0,0-1 0,0 1 0,-1-1 0,1 1 0,-2-1 0,1 0 0,-1 0 0,1 0 0,-2 0 0,1 0 0,-1-1 0,0 0 0,0 1 0,0-1 0,-1-1 0,1 1 0,-1-1 0,-7 5 0,-8 7 0,-36 33 0,-10 10 0,33-36 0,23-17 0,-1 1 0,1 0 0,1 0 0,-1 1 0,1 0 0,0 1 0,1 0 0,0 1 0,-6 10 0,13-19 0,0 1 0,0-1 0,0 1 0,1-1 0,-1 1 0,1-1 0,-1 1 0,1 0 0,0-1 0,-1 1 0,1 0 0,0-1 0,0 1 0,0 0 0,0-1 0,1 1 0,-1 0 0,0-1 0,1 1 0,-1-1 0,1 1 0,-1 0 0,1-1 0,1 2 0,0-1 0,0 0 0,0 0 0,0 0 0,0 0 0,0-1 0,1 1 0,-1-1 0,1 1 0,-1-1 0,1 0 0,-1 0 0,6 1 0,7 2 0,0-2 0,0 0 0,30 0 0,313-5-1365,-333 3-5461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2:12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1 386 24575,'5'0'0,"6"0"0,7 0 0,6 0 0,2 0 0,3 0 0,1 0 0,1 0 0,0 0 0,-1 0 0,0 0 0,0 0 0,0 0 0,0 0 0,-1 0 0,0 0 0,-4 0-8191</inkml:trace>
  <inkml:trace contextRef="#ctx0" brushRef="#br0" timeOffset="2799.44">853 33 24575,'18'-1'0,"0"-1"0,0-1 0,22-5 0,-19 3 0,41-5 0,-47 9 0,-4 0 0,1 0 0,-1 1 0,1 0 0,-1 1 0,15 3 0,-23-4 0,-1 1 0,1 0 0,0 0 0,-1 0 0,1 0 0,-1 1 0,1-1 0,-1 1 0,1 0 0,-1-1 0,0 1 0,0 0 0,0 0 0,0 0 0,0 1 0,-1-1 0,1 0 0,-1 1 0,1-1 0,-1 1 0,0-1 0,0 1 0,0 0 0,0-1 0,0 1 0,0 4 0,1 4 0,-1 0 0,0 0 0,0 1 0,-1-1 0,-1 0 0,0 0 0,-3 14 0,4-21 0,-1-1 0,0 1 0,0 0 0,-1 0 0,1-1 0,-1 1 0,0-1 0,0 1 0,0-1 0,0 0 0,0 0 0,-1 0 0,0 0 0,1 0 0,-1 0 0,0-1 0,0 1 0,-1-1 0,1 0 0,0 0 0,-1 0 0,1-1 0,-8 3 0,-32 7 0,-77 10 0,139-15 0,0 1 0,35 18 0,-46-20 0,-1 0 0,1 0 0,-1 0 0,0 1 0,0 0 0,-1 1 0,0-1 0,0 1 0,-1 1 0,1-1 0,-2 1 0,1 0 0,-1 0 0,0 0 0,4 14 0,-6-14 0,-1-1 0,1 1 0,-2 0 0,1 0 0,-1 0 0,0 0 0,-1 0 0,0 0 0,0-1 0,-1 1 0,0 0 0,0-1 0,-1 1 0,0-1 0,0 0 0,0 1 0,-1-2 0,-5 8 0,-1-3 0,0-1 0,0-1 0,0 0 0,-1 0 0,-1-1 0,0 0 0,-20 9 0,21-12 0,-1 0 0,1-1 0,-1 0 0,-16 2 0,-10 4 0,21-6-455,1 0 0,-24 2 0,16-4-6371</inkml:trace>
  <inkml:trace contextRef="#ctx0" brushRef="#br0" timeOffset="3786.27">1559 62 24575,'52'1'0,"-27"1"0,1-2 0,0-1 0,0-1 0,43-9 0,-31 3-64,0 2-1,1 2 1,0 2 0,60 3-1,-46 0-978,-28-1-5783</inkml:trace>
  <inkml:trace contextRef="#ctx0" brushRef="#br0" timeOffset="4201.68">1853 33 24575,'0'34'0,"1"0"0,2 0 0,11 51 0,-7-38 0,-2 0 0,-1 0 0,-6 88 0,-1-38 0,3-9-1365,0-63-5461</inkml:trace>
  <inkml:trace contextRef="#ctx0" brushRef="#br0" timeOffset="4596.61">1618 709 24575,'530'0'-1365,"-505"0"-5461</inkml:trace>
  <inkml:trace contextRef="#ctx0" brushRef="#br0" timeOffset="5230.11">2411 709 24575,'10'1'0,"-1"-1"0,0 0 0,1-1 0,-1 0 0,0 0 0,0-1 0,0 0 0,0-1 0,0 0 0,-1 0 0,1-1 0,-1 0 0,0-1 0,0 1 0,0-2 0,-1 1 0,1-1 0,8-9 0,12-17 0,-22 24 0,0 1 0,0 0 0,1 0 0,-1 1 0,1-1 0,1 1 0,-1 1 0,1 0 0,9-5 0,-16 10 0,0-1 0,1 1 0,-1 0 0,0-1 0,1 1 0,-1 0 0,0 0 0,1 0 0,-1 0 0,1 0 0,-1 1 0,0-1 0,1 0 0,-1 0 0,0 1 0,1-1 0,-1 1 0,0 0 0,0-1 0,1 1 0,-1 0 0,0-1 0,0 1 0,0 0 0,0 0 0,0 0 0,0 0 0,0 0 0,0 0 0,-1 0 0,1 1 0,0-1 0,-1 0 0,1 0 0,-1 1 0,1-1 0,-1 0 0,1 1 0,-1-1 0,0 0 0,0 3 0,3 7 0,-1 1 0,-1-1 0,0 21 0,-1-28 0,-3 474-1365,3-453-5461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2:21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206 147 24575,'1'10'0,"0"-1"0,1 0 0,0 1 0,6 16 0,5 27 0,2 35 0,-8-61 0,-3 0 0,3 39 0,-5-41 0,1 1 0,7 25 0,-5-25 0,4 51 0,-8 209 94,-2-131-1553,1-130-5367</inkml:trace>
  <inkml:trace contextRef="#ctx0" brushRef="#br0" timeOffset="539.9">1 676 24575,'6'-4'0,"0"0"0,1 0 0,0 0 0,-1 1 0,1 0 0,1 0 0,-1 1 0,12-2 0,10-5 0,-11 3 0,1 1 0,0 1 0,-1 1 0,35-1 0,80 5 0,-53 2 0,8-3-1365,-63 0-5461</inkml:trace>
  <inkml:trace contextRef="#ctx0" brushRef="#br0" timeOffset="1897.32">1676 0 24575,'2'25'0,"0"0"0,9 36 0,-5-32 0,2 36 0,-5 333 0,-5-205 0,2-47-1365,0-121-5461</inkml:trace>
  <inkml:trace contextRef="#ctx0" brushRef="#br0" timeOffset="2773.07">1676 30 24575,'-1'4'0,"-1"1"0,0-1 0,0 1 0,0-1 0,0 0 0,-1 0 0,0 0 0,0 0 0,-6 6 0,-7 10 0,6-5 0,-2 0 0,1 0 0,-2-2 0,0 0 0,-1 0 0,0-1 0,-19 12 0,-6 15 0,4-3 0,15-21 0,-1-1 0,-29 14 0,28-15 0,-43 29 0,43-27 0,1-1 0,-46 21 0,47-25 0,10-6 0,-1 0 0,-1 0 0,1-1 0,-1 0 0,-21 2 0,76-6 0,-1 2 0,1 2 0,57 11 0,-73-10 0,54 3 0,153-5 0,-107-5 0,-118 3-273,-1 0 0,1-1 0,0 0 0,9-2 0,0-3-6553</inkml:trace>
  <inkml:trace contextRef="#ctx0" brushRef="#br0" timeOffset="4736.31">2264 147 24575,'10'-1'0,"-1"0"0,0 0 0,1-1 0,16-6 0,28-5 0,45-2 0,-54 7 0,76-3 0,-101 10 0,0-2 0,0 0 0,0-1 0,-1-1 0,20-8 0,-18 6 0,0 1 0,1 0 0,41-4 0,-6 9-1365,-32 1-5461</inkml:trace>
  <inkml:trace contextRef="#ctx0" brushRef="#br0" timeOffset="5295.2">2705 118 24575,'1'15'0,"1"0"0,0 0 0,7 24 0,4 25 0,2 23 0,-9-61 0,-1 1 0,2 39 0,-8 198-1365,1-239-5461</inkml:trace>
  <inkml:trace contextRef="#ctx0" brushRef="#br0" timeOffset="5842.17">2470 765 24575,'28'-1'0,"1"0"0,-1-2 0,44-10 0,-25 5 0,0 3 0,0 2 0,88 5 0,-37 0 0,48-2-1365,-121 0-5461</inkml:trace>
  <inkml:trace contextRef="#ctx0" brushRef="#br0" timeOffset="6928.34">3293 794 24575,'16'0'0,"-1"0"0,0-2 0,1 1 0,24-8 0,-36 8 0,0 1 0,0-1 0,-1 1 0,1-1 0,0 1 0,0 0 0,0 1 0,-1-1 0,1 0 0,0 1 0,0 0 0,6 2 0,-9-2 0,0-1 0,0 1 0,0-1 0,-1 1 0,1 0 0,0-1 0,0 1 0,0 0 0,0-1 0,-1 1 0,1 0 0,0 0 0,-1 0 0,1 0 0,-1 0 0,1 0 0,-1 0 0,1 0 0,0 1 0,-1 0 0,0-1 0,0 1 0,0 0 0,0 0 0,-1-1 0,1 1 0,0 0 0,-1-1 0,1 1 0,-1-1 0,0 1 0,1-1 0,-1 1 0,0-1 0,0 1 0,-2 1 0,-7 10 0,-2 0 0,0-1 0,0-1 0,-1 0 0,0-1 0,-27 16 0,-17 13 0,8-7 0,36-25 0,0 1 0,-18 15 0,-11 8 0,31-25 0,2 1 0,-1 1 0,1-1 0,-10 11 0,19-17 0,-1-1 0,1 1 0,0-1 0,-1 1 0,1-1 0,-1 1 0,1-1 0,0 1 0,0 0 0,-1-1 0,1 1 0,0 0 0,0-1 0,0 1 0,0 0 0,-1-1 0,1 1 0,0 0 0,0-1 0,0 1 0,1 0 0,-1-1 0,0 1 0,0 0 0,0-1 0,0 1 0,1 0 0,-1 0 0,2 1 0,-1-1 0,0 1 0,0-1 0,1 0 0,-1 1 0,1-1 0,-1 0 0,1 0 0,0 0 0,2 1 0,54 16 0,-45-15 0,24 10 0,-20-7 0,0-1 0,0-1 0,24 4 0,45 7 0,-59-9 0,1-1 0,34 1 0,-34-6-1365,-3 0-5461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5:59:53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4999 941 24575,'4'-3'0,"0"-1"0,0 1 0,1 1 0,-1-1 0,9-4 0,-8 5 0,0 0 0,0-1 0,-1 0 0,0 1 0,7-7 0,-4 1 0,-1 1 0,0-1 0,-1 0 0,7-14 0,-8 15 0,0-1 0,1 1 0,-1 0 0,1 0 0,7-7 0,-11 14 0,-1 0 0,1 0 0,-1-1 0,1 1 0,-1 0 0,1 0 0,0 0 0,-1 0 0,1 0 0,-1 0 0,1 0 0,-1 0 0,1 0 0,-1 0 0,1 0 0,-1 0 0,1 0 0,0 0 0,-1 0 0,1 1 0,-1-1 0,1 0 0,-1 0 0,1 1 0,-1-1 0,0 0 0,1 1 0,-1-1 0,1 0 0,-1 1 0,0-1 0,1 1 0,-1-1 0,0 1 0,1-1 0,-1 1 0,0-1 0,0 1 0,1-1 0,-1 1 0,0-1 0,0 1 0,10 23 0,-4 7 0,-1-1 0,-2 1 0,-2-1 0,0 1 0,-5 33 0,2 10 0,2 43-1365,0-92-5461</inkml:trace>
  <inkml:trace contextRef="#ctx0" brushRef="#br0" timeOffset="572.93">5911 0 24575,'4'5'0,"-1"1"0,0-1 0,0 1 0,0 0 0,-1 0 0,1 0 0,-2 0 0,1 0 0,0 0 0,-1 0 0,0 1 0,-1-1 0,0 9 0,7 32 0,2-10 0,-2 0 0,-2 1 0,1 41 0,-7 117 0,-1-73 0,2 170-1365,0-268-5461</inkml:trace>
  <inkml:trace contextRef="#ctx0" brushRef="#br0" timeOffset="1019.18">5764 441 24575,'62'2'0,"-34"-1"0,1 0 0,-1-2 0,0-1 0,51-10 0,-19-4 0,86-27 0,-133 38-341,0 2 0,0 0-1,19-2 1,-9 2-6485</inkml:trace>
  <inkml:trace contextRef="#ctx0" brushRef="#br0" timeOffset="81383.81">10291 118 24575,'33'-1'0,"-19"0"0,-1 0 0,0 1 0,1 1 0,21 3 0,-32-3 0,0 0 0,0 0 0,0 0 0,-1 0 0,1 0 0,0 1 0,0-1 0,-1 1 0,1-1 0,-1 1 0,0 0 0,1 0 0,-1 0 0,0 1 0,0-1 0,0 0 0,-1 1 0,1-1 0,0 1 0,-1 0 0,0-1 0,0 1 0,1 0 0,-2 0 0,2 4 0,0 1 0,-1 0 0,-1 0 0,1 0 0,-1-1 0,0 1 0,-1 0 0,0 0 0,0 0 0,-1 0 0,0-1 0,0 1 0,-1-1 0,0 1 0,0-1 0,-1 0 0,0 0 0,0-1 0,-8 11 0,6-10 0,0 0 0,-1 0 0,0 0 0,-1-1 0,1 0 0,-1-1 0,0 0 0,-1 0 0,1 0 0,-1-1 0,0 0 0,0-1 0,0 0 0,-18 3 0,10-5 0,14-1 0,0 0 0,-1 0 0,1 1 0,0-1 0,-1 0 0,1 1 0,0 0 0,-1 0 0,1 0 0,0 0 0,-4 3 0,7-4 0,0 1 0,0-1 0,0 0 0,-1 1 0,1-1 0,0 1 0,0-1 0,0 1 0,0-1 0,0 1 0,0-1 0,0 1 0,0-1 0,0 1 0,0-1 0,0 0 0,1 1 0,-1-1 0,0 1 0,0-1 0,0 1 0,0-1 0,1 0 0,-1 1 0,0-1 0,1 1 0,-1-1 0,0 0 0,1 1 0,-1-1 0,0 0 0,1 0 0,-1 1 0,0-1 0,1 0 0,-1 0 0,1 1 0,18 11 0,-17-11 0,14 9 0,9 3 0,-1 2 0,-1 0 0,0 2 0,-1 0 0,24 26 0,-34-26 0,-2 1 0,0 0 0,-1 0 0,0 1 0,-2 0 0,0 0 0,6 35 0,-7-28 0,2 37 0,-7-54 0,0 0 0,-1 0 0,-1 0 0,1 0 0,-1 0 0,-1 0 0,-4 15 0,4-21 0,1 0 0,-1-1 0,0 1 0,0-1 0,0 1 0,0-1 0,0 0 0,0 0 0,-1 0 0,1 0 0,-1 0 0,1 0 0,-1-1 0,0 1 0,0-1 0,0 0 0,0 0 0,0 0 0,0 0 0,0 0 0,0-1 0,-5 1 0,-9 0 0,0 0 0,-34-3 0,28 0 0,-157-3 0,178 5-44,-1 0 0,0-1 0,1 1 0,-1-1 0,0 0 0,1 0 0,-1 0 0,0 0 0,1 0 0,0 0 0,-1-1 0,1 1 0,0-1 0,0 0 0,-1 1 0,1-1 0,1 0 0,-1 0-1,0-1 1,0 1 0,1 0 0,-1 0 0,1-1 0,0 1 0,0-1 0,0 0 0,0 1 0,0-1 0,1 1 0,-2-5 0,-1-15-6782</inkml:trace>
  <inkml:trace contextRef="#ctx0" brushRef="#br0" timeOffset="78400.61">7557 265 24575,'356'0'0,"-338"-1"0,0-1 0,0-1 0,22-6 0,-19 4 0,40-4 0,-5 7-1365,-31 2-5461</inkml:trace>
  <inkml:trace contextRef="#ctx0" brushRef="#br0" timeOffset="78924.2">7939 206 24575,'0'737'0,"-2"-706"0,-2-1 0,-2 1 0,0-1 0,-18 49 0,12-41 0,4-17-1365,-1-4-5461</inkml:trace>
  <inkml:trace contextRef="#ctx0" brushRef="#br0" timeOffset="79321.2">7675 1176 24575,'471'0'-1365,"-446"0"-5461</inkml:trace>
  <inkml:trace contextRef="#ctx0" brushRef="#br0" timeOffset="79860.5">8468 1147 24575,'24'-10'0,"-7"2"0,16-3 0,0-1 0,0-2 0,50-30 0,-50 22 0,-21 13 0,1 1 0,21-11 0,-33 18 0,0 1 0,0-1 0,0 1 0,0 0 0,0 0 0,1-1 0,-1 1 0,0 0 0,0 0 0,0 0 0,0 0 0,0 0 0,0 0 0,0 1 0,1-1 0,-1 0 0,0 0 0,0 1 0,0-1 0,0 1 0,0-1 0,0 1 0,0-1 0,0 1 0,0 0 0,-1-1 0,1 1 0,0 0 0,0 0 0,0 0 0,-1 0 0,1-1 0,0 1 0,-1 0 0,1 0 0,-1 0 0,1 0 0,-1 1 0,0-1 0,1 0 0,-1 0 0,0 0 0,0 0 0,0 0 0,0 2 0,2 7 0,0 1 0,-1 0 0,-1 18 0,0-22 0,-4 412 0,3-403 12,0-1 0,-2 1 0,-6 22 0,0 1-1425,6-18-5413</inkml:trace>
  <inkml:trace contextRef="#ctx0" brushRef="#br0" timeOffset="80366.92">9203 706 24575,'5'0'0,"7"0"0,6 0 0,5 0 0,4 0 0,2 0 0,-4-5 0,-1-2 0,0 1 0,2 1 0,0 1 0,2 2 0,-5-4 0,0-1 0,0 0 0,-4 2-8191</inkml:trace>
  <inkml:trace contextRef="#ctx0" brushRef="#br0" timeOffset="184951.81">208 1764 24575,'-17'0'0,"0"0"0,1 1 0,-1 0 0,1 1 0,-22 6 0,34-6 0,-1 0 0,0 0 0,0 0 0,1 1 0,0 0 0,-1 0 0,1 0 0,0 0 0,0 0 0,1 1 0,-1 0 0,1 0 0,0 0 0,0 0 0,0 0 0,0 0 0,1 1 0,0 0 0,0-1 0,0 1 0,-2 7 0,2-4 0,0-1 0,0 1 0,1-1 0,0 1 0,0 0 0,1 0 0,0-1 0,1 1 0,-1 0 0,1 0 0,4 13 0,-3-16 0,0 0 0,0 0 0,1 0 0,-1 0 0,1-1 0,1 1 0,-1-1 0,0 0 0,1 1 0,0-2 0,0 1 0,0 0 0,0-1 0,1 0 0,0 0 0,-1 0 0,8 3 0,10 4 0,0-1 0,1 0 0,26 5 0,-41-12 0,0-1 0,0 1 0,0-2 0,1 1 0,-1-1 0,0 0 0,1-1 0,-1 0 0,0 0 0,0-1 0,0 0 0,14-5 0,-17 4 0,0 0 0,-1 0 0,1 0 0,-1-1 0,0 0 0,0 0 0,0 0 0,0 0 0,-1 0 0,1-1 0,-1 1 0,0-1 0,-1 0 0,1 0 0,-1 0 0,0-1 0,0 1 0,-1 0 0,1-1 0,0-7 0,1-12 0,-1-1 0,0 1 0,-4-30 0,2 34 0,-1-3 0,0 41 0,1 37 0,0 515-1365,0-544-5461</inkml:trace>
  <inkml:trace contextRef="#ctx0" brushRef="#br0" timeOffset="185506.06">1001 1911 24575,'5'0'0,"7"0"0,6 0 0,5 0 0,4 0 0,2 0 0,1 0 0,1 0 0,-1 0 0,1 0 0,-1 0 0,0 0 0,0 0 0,-1 0 0,1 0 0,-1 0 0,-5 0-8191</inkml:trace>
  <inkml:trace contextRef="#ctx0" brushRef="#br0" timeOffset="185934.48">1178 1941 24575,'0'530'-1365,"0"-505"-5461</inkml:trace>
  <inkml:trace contextRef="#ctx0" brushRef="#br0" timeOffset="186282.94">1060 2528 24575,'5'1'0,"7"-1"0,6-1 0,5 1 0,4 1 0,2-1 0,1-1 0,0 1 0,1 1 0,0-1 0,-1-1 0,0 1 0,-1 1 0,1-1 0,-1-1 0,-4 1-8191</inkml:trace>
  <inkml:trace contextRef="#ctx0" brushRef="#br0" timeOffset="186854.37">1707 2558 24575,'8'-1'0,"0"-1"0,0 0 0,0 0 0,0-1 0,-1 0 0,1 0 0,-1-1 0,0 0 0,0 0 0,0-1 0,7-5 0,6-4 0,18-17 0,2-2 0,-38 31 0,1 0 0,0 0 0,0 1 0,0-1 0,0 1 0,0 0 0,0 0 0,0 0 0,0 0 0,0 0 0,5 0 0,-7 1 0,-1 0 0,1 0 0,-1 0 0,1 0 0,-1 1 0,1-1 0,-1 0 0,1 0 0,-1 1 0,1-1 0,-1 0 0,1 0 0,-1 1 0,1-1 0,-1 0 0,1 1 0,-1-1 0,0 1 0,1-1 0,-1 1 0,0-1 0,1 1 0,-1-1 0,0 1 0,1-1 0,-1 1 0,0-1 0,0 1 0,0-1 0,0 1 0,0-1 0,0 1 0,0 0 0,0-1 0,0 1 0,0 0 0,-2 26 0,1-20 0,-3 21 0,-2 0 0,-18 51 0,2-7 0,14-20-72,7-40 108,-1 1 0,0-1 0,-1 0 0,-4 13 0,6-22-110,-1 0 1,1 0-1,-1 0 0,1 0 1,-1 0-1,0-1 0,0 1 1,0-1-1,0 1 0,-1-1 1,1 0-1,-1 0 0,1 0 1,-1 0-1,0 0 1,0-1-1,0 1 0,0-1 1,-6 2-1,-11 2-6752</inkml:trace>
  <inkml:trace contextRef="#ctx0" brushRef="#br0" timeOffset="187589.31">237 1823 24575,'5'0'0,"7"0"0,6 0 0,5 0 0,3 0 0,3 0 0,2 0 0,-1 0 0,1 0 0,-1 0 0,1 0 0,-6 0-8191</inkml:trace>
  <inkml:trace contextRef="#ctx0" brushRef="#br0" timeOffset="190412.87">2442 2146 24575,'20'-1'0,"-1"-1"0,1-1 0,29-9 0,-10 3 0,9-2 0,-24 4 0,0 2 0,0 1 0,33-2 0,60 7-1365,-91-1-5461</inkml:trace>
  <inkml:trace contextRef="#ctx0" brushRef="#br0" timeOffset="191406.69">3530 1617 24575,'46'-1'0,"-31"-1"0,0 2 0,0-1 0,1 2 0,-1 0 0,0 1 0,0 1 0,25 7 0,-35-8 0,0 1 0,0 1 0,0-1 0,-1 1 0,1 0 0,-1 0 0,0 0 0,0 0 0,0 1 0,-1 0 0,0-1 0,0 1 0,0 1 0,0-1 0,-1 0 0,0 1 0,0-1 0,0 1 0,-1 0 0,1 6 0,0-7 0,-1 1 0,-1 0 0,1 0 0,-1 0 0,0 0 0,0 0 0,-1 0 0,1 0 0,-1 0 0,-1-1 0,1 1 0,-1 0 0,0-1 0,0 1 0,-1-1 0,1 1 0,-1-1 0,0 0 0,-6 7 0,2-6 0,1 0 0,-1 0 0,0-1 0,-1 0 0,1 0 0,-1-1 0,0 0 0,0 0 0,-1-1 0,1 0 0,-1 0 0,1-1 0,-1 0 0,-18 1 0,24 1 0,10 4 0,15 10 0,-16-14 0,4 7 0,0 0 0,-1 0 0,0 1 0,-1 0 0,0 1 0,-1-1 0,10 26 0,9 13 0,-21-41 0,-1 0 0,1 1 0,-2-1 0,1 1 0,-1 0 0,-1 0 0,2 20 0,-2 7 0,-4 37 0,1-29 0,1-40 0,0 0 0,0 0 0,0 0 0,-1 0 0,0-1 0,0 1 0,0 0 0,-1-1 0,0 1 0,0-1 0,-1 1 0,1-1 0,-1 0 0,0 0 0,0 0 0,-1-1 0,0 1 0,0-1 0,0 0 0,0 0 0,0 0 0,-1 0 0,0-1 0,1 1 0,-1-1 0,-1-1 0,1 1 0,0-1 0,-1 0 0,1 0 0,-1 0 0,0-1 0,-10 1 0,-8 2 0,1-2 0,-1 0 0,1-2 0,-1 0 0,1-2 0,-34-6 0,52 6-72,0 0 1,0 0-1,0 0 0,0-1 0,1 1 0,-1-1 0,1-1 0,0 1 1,0 0-1,0-1 0,0 0 0,0 0 0,1 0 0,0 0 0,0-1 1,0 1-1,0-1 0,-1-5 0,-5-7-6754</inkml:trace>
  <inkml:trace contextRef="#ctx0" brushRef="#br0" timeOffset="191949.14">4118 1764 24575,'34'0'0,"0"1"0,0 2 0,51 11 0,-29-1 0,1-2 0,0-3 0,87 2 0,-107-11-71,-22 0-188,1 0 0,-1 2 1,0-1-1,28 6 0,-24 1-6567</inkml:trace>
  <inkml:trace contextRef="#ctx0" brushRef="#br0" timeOffset="192377.73">4500 1882 24575,'0'443'0,"-2"-418"0,0 0 0,-9 36 0,5-31 0,-2 34 0,8-56-124,0 0 0,-1-1 0,0 1 0,0-1 0,-1 1 0,0-1-1,0 1 1,-1-1 0,0 0 0,-7 12 0,-1-6-6702</inkml:trace>
  <inkml:trace contextRef="#ctx0" brushRef="#br0" timeOffset="192775.24">4265 2587 24575,'5'0'0,"6"0"0,7 0 0,5 0 0,4 0 0,2 0 0,1 0 0,1 0 0,0 0 0,-1 0 0,0 0 0,0 0 0,0 0 0,-1 0 0,1 0 0,-1 0 0,0 0 0,-4 0-8191</inkml:trace>
  <inkml:trace contextRef="#ctx0" brushRef="#br0" timeOffset="193431.54">4999 2470 24575,'11'-1'0,"0"0"0,-1 0 0,19-6 0,6 0 0,-34 6 0,1 1 0,0 0 0,-1-1 0,1 1 0,0 0 0,0 0 0,0 0 0,-1 1 0,1-1 0,0 0 0,0 1 0,-1-1 0,1 1 0,0-1 0,-1 1 0,1 0 0,-1 0 0,1-1 0,-1 1 0,1 0 0,-1 1 0,2 0 0,-1 1 0,-1-1 0,0 0 0,0 0 0,0 0 0,0 1 0,0-1 0,0 0 0,-1 1 0,1-1 0,-1 1 0,1-1 0,-1 0 0,0 1 0,0 2 0,-1 5 0,0-1 0,-1 0 0,0 0 0,0 0 0,-1 0 0,0 0 0,-6 12 0,1-10 0,0 0 0,0-1 0,0 0 0,-2 0 0,1-1 0,-1 0 0,-12 8 0,8-6 0,0 1 0,1 0 0,-14 17 0,18-18 0,4-6 0,0 1 0,0 1 0,1-1 0,0 0 0,-5 12 0,8-17 0,1 1 0,-1-1 0,1 0 0,0 1 0,0-1 0,-1 1 0,1-1 0,0 1 0,0-1 0,0 0 0,0 1 0,1-1 0,-1 1 0,0-1 0,1 1 0,-1-1 0,0 0 0,1 1 0,0-1 0,-1 0 0,1 0 0,0 1 0,0-1 0,0 0 0,-1 0 0,1 0 0,0 0 0,1 0 0,-1 0 0,0 0 0,0 0 0,0-1 0,0 1 0,1 0 0,-1-1 0,2 2 0,5 1 0,-1 0 0,1-1 0,0 0 0,0 0 0,0 0 0,1-1 0,9 0 0,64-3 0,-42 0 0,-30 2-341,-1 0 0,1-1-1,16-4 1,-7-2-6485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3:17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0 414 24575,'501'0'-1365,"-476"0"-5461</inkml:trace>
  <inkml:trace contextRef="#ctx0" brushRef="#br0" timeOffset="796.75">1176 31 24575,'18'-1'0,"0"-1"0,0 0 0,23-8 0,-20 5 0,37-5 0,-51 10 0,0 0 0,0 0 0,1 0 0,-1 1 0,0 0 0,0 0 0,-1 1 0,1 0 0,9 3 0,-13-3 0,0 0 0,0-1 0,0 1 0,0 1 0,0-1 0,-1 0 0,1 1 0,-1-1 0,0 1 0,1 0 0,-1 0 0,0 0 0,-1 0 0,1 0 0,0 0 0,-1 0 0,0 1 0,0-1 0,0 0 0,0 1 0,0-1 0,-1 1 0,0-1 0,1 7 0,-1-5 0,0 1 0,-1-1 0,1 0 0,-1 1 0,0-1 0,-1 0 0,1 0 0,-1 0 0,0 0 0,0 0 0,-1 0 0,1-1 0,-1 1 0,0-1 0,-6 8 0,-2-3 0,0 0 0,0-1 0,-1 0 0,0-1 0,-18 8 0,-31 20 0,60-34 0,-1 1 0,1-1 0,0 1 0,0-1 0,0 1 0,0-1 0,0 1 0,0 0 0,0-1 0,1 1 0,-1 0 0,0 0 0,1 0 0,0-1 0,-1 1 0,1 0 0,0 0 0,0 0 0,0 0 0,0 0 0,0 0 0,0-1 0,1 1 0,-1 0 0,1 0 0,-1 0 0,1-1 0,1 4 0,3 6 0,0 0 0,1 0 0,8 12 0,-10-16 0,4 8 0,-1 1 0,-1 1 0,0-1 0,-1 1 0,-1 0 0,4 27 0,1 2 0,-7-37 0,0 0 0,-1 0 0,0 1 0,0-1 0,-1 0 0,0 0 0,-2 13 0,1-18 0,0-1 0,0 1 0,0-1 0,-1 1 0,1-1 0,-1 0 0,0 1 0,0-1 0,0 0 0,0 0 0,-1-1 0,1 1 0,-1 0 0,0-1 0,1 1 0,-1-1 0,0 0 0,0 0 0,-1 0 0,1-1 0,-4 2 0,-10 5 0,0-1 0,-1-1 0,1 0 0,-1-1 0,0-1 0,-36 3 0,49-7 0,-1 0 0,1 0 0,0-1 0,0 1 0,-1-1 0,1 0 0,0 0 0,0-1 0,0 0 0,0 1 0,0-2 0,0 1 0,1-1 0,-1 1 0,1-1 0,-1 0 0,1-1 0,0 1 0,0-1 0,1 0 0,-1 0 0,1 0 0,0 0 0,0-1 0,0 1 0,1-1 0,-1 0 0,-2-9 0,-3-12-1365,4 1-5461</inkml:trace>
  <inkml:trace contextRef="#ctx0" brushRef="#br0" timeOffset="1276.06">1882 90 24575,'443'0'0,"-427"0"-341,0-2 0,0 0-1,23-5 1,-14 0-6485</inkml:trace>
  <inkml:trace contextRef="#ctx0" brushRef="#br0" timeOffset="1659.81">2117 120 24575,'0'618'-1365,"0"-593"-5461</inkml:trace>
  <inkml:trace contextRef="#ctx0" brushRef="#br0" timeOffset="2040.99">1823 825 24575,'62'1'0,"-34"1"0,1-1 0,-1-2 0,1-1 0,49-10 0,91-25-1365,-149 32-5461</inkml:trace>
  <inkml:trace contextRef="#ctx0" brushRef="#br0" timeOffset="2822.25">2440 796 24575,'6'0'0,"-1"-1"0,0 0 0,0 1 0,0-1 0,-1-1 0,1 1 0,0-1 0,0 0 0,-1 0 0,1 0 0,-1-1 0,1 0 0,-1 0 0,0 0 0,0 0 0,-1 0 0,1-1 0,-1 0 0,1 0 0,4-7 0,2-6 0,0-1 0,0 0 0,11-34 0,-16 39 0,23-41 0,-25 50 0,-1 0 0,1 1 0,0-1 0,0 0 0,0 1 0,1 0 0,-1 0 0,1 0 0,0 0 0,6-3 0,-10 6 0,1 0 0,0 0 0,-1 0 0,1 0 0,-1 0 0,1 1 0,0-1 0,-1 0 0,1 0 0,-1 1 0,1-1 0,0 1 0,-1-1 0,1 0 0,-1 1 0,1-1 0,-1 1 0,0-1 0,1 1 0,-1-1 0,1 1 0,-1-1 0,0 1 0,0 0 0,1-1 0,-1 1 0,0-1 0,0 1 0,0 0 0,1-1 0,-1 1 0,0 0 0,0-1 0,0 1 0,0 0 0,0-1 0,-1 1 0,1 1 0,2 32 0,-2-32 0,-2 594 0,2-587-273,-1-1 0,1 1 0,-1 0 0,-3 8 0,-2 2-6553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3:23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177 194 24575,'0'736'-1365,"0"-711"-5461</inkml:trace>
  <inkml:trace contextRef="#ctx0" brushRef="#br0" timeOffset="363.72">1 635 24575,'5'0'0,"6"0"0,7 0 0,6 0 0,2 0 0,3 0 0,1 0 0,1 0 0,0 0 0,-6-5 0,-1-2 0,-1 1 0,2 1 0,1 1 0,1 2 0,-4-4 0,-1-1 0,-4 0-8191</inkml:trace>
  <inkml:trace contextRef="#ctx0" brushRef="#br0" timeOffset="982.7">912 135 24575,'384'0'0,"-379"0"0,-1 0 0,0 0 0,0 0 0,0 1 0,1-1 0,-1 1 0,0 0 0,0 0 0,0 1 0,0-1 0,0 1 0,-1 0 0,1 0 0,6 4 0,-7-3 0,-1 0 0,1 0 0,-1 1 0,0-1 0,0 1 0,0-1 0,-1 1 0,1-1 0,-1 1 0,0 0 0,0 0 0,0 0 0,0-1 0,-1 1 0,1 0 0,-1 5 0,-2 188 0,-2-65 0,3-106 0,-2 1 0,-1-1 0,-2 0 0,0 0 0,-1 0 0,-2-1 0,-1 0 0,-12 23 0,-37 98 0,50-126-1365,3-1-5461</inkml:trace>
  <inkml:trace contextRef="#ctx0" brushRef="#br0" timeOffset="1395.03">1059 635 24575,'47'-1'0,"-1"-1"0,66-13 0,-26 6 0,-62 8 0,0-2 0,39-8 0,-40 5-341,1 2 0,-1 1-1,35-1 1,-34 3-6485</inkml:trace>
  <inkml:trace contextRef="#ctx0" brushRef="#br0" timeOffset="1919.95">1941 282 24575,'0'-1'0,"1"0"0,-1 0 0,0 0 0,1 0 0,-1 0 0,1 0 0,-1 0 0,1 0 0,-1 1 0,1-1 0,0 0 0,-1 0 0,1 0 0,0 1 0,0-1 0,-1 0 0,1 1 0,0-1 0,0 0 0,0 1 0,0-1 0,0 1 0,0 0 0,0-1 0,0 1 0,2-1 0,31-5 0,-31 6 0,43-3 0,64 3 0,30-1 0,-82-12 123,-21 4-1611,-16 5-5338</inkml:trace>
  <inkml:trace contextRef="#ctx0" brushRef="#br0" timeOffset="2315.88">2235 223 24575,'0'502'0,"-2"-477"0,0-1 0,-12 46 0,2-13 0,-6 12-1365,13-49-5461</inkml:trace>
  <inkml:trace contextRef="#ctx0" brushRef="#br0" timeOffset="2695.43">2029 988 24575,'5'0'0,"7"0"0,6 0 0,5 0 0,4 0 0,2 0 0,1 0 0,1 0 0,-1 0 0,1 0 0,-1 0 0,0 0 0,0 0 0,-1 0 0,-5 0-8191</inkml:trace>
  <inkml:trace contextRef="#ctx0" brushRef="#br0" timeOffset="3457.6">2705 753 24575,'32'-2'0,"-18"1"0,1 1 0,-1 0 0,1 1 0,18 3 0,-30-4 0,-1 1 0,1 0 0,0 0 0,-1-1 0,1 1 0,-1 1 0,1-1 0,-1 0 0,1 1 0,-1-1 0,0 1 0,0-1 0,0 1 0,0 0 0,0 0 0,0 0 0,-1 0 0,1 1 0,0-1 0,-1 0 0,0 1 0,0-1 0,1 1 0,-1-1 0,-1 1 0,1 0 0,0-1 0,0 4 0,-2-1 0,1 0 0,-1 0 0,0 0 0,-1 0 0,1 0 0,-1 0 0,0-1 0,0 1 0,0-1 0,-1 1 0,0-1 0,1 0 0,-7 6 0,-7 16 0,11-18 0,-1 0 0,1-1 0,-1 0 0,0 0 0,-13 11 0,13-13 0,0 1 0,0 0 0,1 0 0,0 0 0,0 1 0,0-1 0,-6 13 0,5-5 0,2-7 0,1 0 0,0-1 0,1 1 0,0 1 0,-3 9 0,5-16 0,0 1 0,0 0 0,0-1 0,0 1 0,0-1 0,0 1 0,1-1 0,-1 1 0,0-1 0,1 1 0,-1-1 0,1 1 0,0-1 0,-1 1 0,1-1 0,0 0 0,0 1 0,0-1 0,0 0 0,0 0 0,0 0 0,0 1 0,0-1 0,0 0 0,1-1 0,-1 1 0,0 0 0,1 0 0,-1 0 0,1-1 0,1 1 0,11 3-25,0-1-1,0-1 1,0 0 0,1-1-1,-1 0 1,1-1-1,20-3 1,-1 1-1137,-7 1-5664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4:07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297 200 24575,'-4'4'0,"0"-1"0,0 0 0,0 0 0,-1-1 0,-8 5 0,8-5 0,1 1 0,-1-1 0,1 1 0,-1 0 0,-6 6 0,-4 7 0,1 1 0,1 1 0,0 0 0,-17 34 0,-6 8 0,29-49 0,0 0 0,1 1 0,0-1 0,1 1 0,0 0 0,-5 20 0,-16 47 0,19-63 0,1 1 0,0 0 0,1 0 0,2 0 0,-4 24 0,6-23 0,1 0 0,0 0 0,1 0 0,5 22 0,-5-35 0,0-1 0,0 1 0,0 0 0,1-1 0,0 1 0,0-1 0,0 0 0,1 1 0,-1-1 0,1 0 0,0-1 0,0 1 0,0 0 0,1-1 0,-1 0 0,1 1 0,0-2 0,0 1 0,0 0 0,8 3 0,33 12 0,78 20 0,-100-33 0,0-1 0,0-1 0,0-1 0,0-1 0,37-3 0,-53 1 0,0 1 0,-1-1 0,1 0 0,-1-1 0,1 0 0,-1 0 0,0 0 0,0-1 0,0 0 0,0 0 0,0 0 0,-1-1 0,1 0 0,-1 0 0,0 0 0,0-1 0,0 0 0,-1 0 0,0 0 0,0 0 0,0-1 0,0 1 0,-1-1 0,0 0 0,0 0 0,-1 0 0,0-1 0,0 1 0,0-1 0,-1 1 0,0-1 0,1-10 0,-1-159 0,-3 87 0,1 80 0,1 0 0,-1 0 0,-1 0 0,0 0 0,0 0 0,0 1 0,-1-1 0,-1 1 0,1-1 0,-2 1 0,-5-9 0,-38-81 0,36 69 0,-2 1 0,-32-50 0,24 45 0,-18-37 0,-20-29 0,59 97 0,-1-1 0,0 1 0,1 0 0,-1 0 0,0 0 0,0 0 0,0 0 0,-1 0 0,1 0 0,0 1 0,-1-1 0,1 1 0,-1 0 0,1 0 0,-1 0 0,0 0 0,0 0 0,1 0 0,-1 1 0,0-1 0,0 1 0,0 0 0,0 0 0,1 0 0,-1 0 0,-5 1 0,4 0 0,1 1 0,0-1 0,-1 1 0,1 0 0,0 0 0,0 0 0,0 0 0,0 0 0,0 1 0,0-1 0,1 1 0,-1 0 0,1 0 0,0 0 0,0 0 0,0 0 0,0 0 0,1 0 0,-1 1 0,-1 4 0,-32 101-1365,24-83-5461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4:06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1 249 24575,'442'0'0,"-431"0"-227,0-1-1,0 0 1,0-1-1,-1 0 1,12-4-1,-3 0-6598</inkml:trace>
  <inkml:trace contextRef="#ctx0" brushRef="#br0" timeOffset="334.07">1 513 24575,'442'0'0,"-425"-1"-246,-1 0 0,0-2 0,0 0 0,17-6 0,-32 9 111,19-6-6691</inkml:trace>
  <inkml:trace contextRef="#ctx0" brushRef="#br0" timeOffset="830.1">941 219 24575,'1'0'0,"-1"-1"0,0 0 0,0 0 0,0 0 0,1 0 0,-1 0 0,1 1 0,-1-1 0,1 0 0,-1 0 0,1 1 0,-1-1 0,1 0 0,-1 0 0,1 1 0,0-1 0,-1 1 0,1-1 0,0 1 0,0-1 0,0 1 0,-1-1 0,2 1 0,25-10 0,-10 4 0,115-75 0,-98 58 0,0 1 0,1 2 0,45-18 0,-79 38 0,0-1 0,0 1 0,1 0 0,-1-1 0,0 1 0,0 0 0,0 0 0,0 0 0,1 0 0,-1 0 0,0 0 0,0 0 0,0 0 0,0 0 0,0 1 0,1-1 0,-1 0 0,0 1 0,0-1 0,0 1 0,0 0 0,0-1 0,0 1 0,0 0 0,0-1 0,0 1 0,-1 0 0,1 0 0,0 0 0,0 0 0,-1 0 0,1 0 0,0 0 0,-1 0 0,1 0 0,-1 0 0,1 0 0,-1 0 0,0 0 0,1 0 0,-1 0 0,0 1 0,0 0 0,2 9 0,-1-1 0,0 0 0,0 20 0,-1-22 0,-4 382 0,3-375 0,-1 1 0,-7 29 0,6-34 0,1 0 0,0 0 0,1 1 0,0-1 0,0 1 0,2 13 0,-1-24-35,-1-1 0,1 1 0,0-1 0,0 0 0,0 1 0,0-1 0,0 1 0,0-1 0,0 1 0,0-1 0,1 1 0,-1-1 0,0 0 0,0 1 0,0-1 0,0 1 0,0-1 0,1 1 0,-1-1 0,0 0 0,0 1 0,1-1 0,-1 0 0,0 1 0,1-1 0,-1 0 0,0 1 0,1-1 0,-1 0 0,1 0 0,-1 1 0,0-1 0,1 0 0,-1 0 0,1 0 0,-1 0 0,1 0 0,0 1 0,3-7-6791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2T16:04:02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1 207 24575,'618'0'-1365,"-593"0"-5461</inkml:trace>
  <inkml:trace contextRef="#ctx0" brushRef="#br0" timeOffset="384.32">236 618 24575,'18'-1'0,"0"-1"0,0 0 0,22-7 0,-19 4 0,40-5 0,143 9 42,-113 2-1449,-65-1-5419</inkml:trace>
  <inkml:trace contextRef="#ctx0" brushRef="#br0" timeOffset="848.28">1618 1 24575,'0'902'-1365,"0"-890"-5461</inkml:trace>
  <inkml:trace contextRef="#ctx0" brushRef="#br0" timeOffset="1537.77">1647 89 24575,'-1'3'0,"0"-1"0,-1 1 0,1-1 0,-1 0 0,0 1 0,1-1 0,-1 0 0,0 0 0,0 0 0,-1 0 0,1-1 0,-3 3 0,-10 9 0,-16 24 0,-81 107 0,66-87 0,30-39 0,-25 39 0,-37 78 0,73-129 0,1-1 0,-1 0 0,0-1 0,0 1 0,-7 3 0,8-5 0,0-1 0,0 1 0,1 0 0,-1 0 0,1 0 0,0 0 0,0 1 0,0-1 0,0 1 0,1 0 0,-1 0 0,-2 7 0,5-11 0,0 1 0,0 0 0,0 0 0,1-1 0,-1 1 0,0 0 0,0-1 0,1 1 0,-1 0 0,0-1 0,1 1 0,-1-1 0,1 1 0,-1-1 0,1 1 0,-1 0 0,1-1 0,-1 0 0,1 1 0,0-1 0,-1 1 0,1-1 0,-1 0 0,1 1 0,0-1 0,-1 0 0,1 0 0,0 1 0,0-1 0,-1 0 0,1 0 0,0 0 0,-1 0 0,1 0 0,0 0 0,0 0 0,34 2 0,-32-2 0,208-7 0,-183 4 0,0-2 0,-1 0 0,1-2 0,-1-2 0,38-16 0,-46 17 42,1 1 0,25-6-1,10-3-1531,-37 10-5336</inkml:trace>
  <inkml:trace contextRef="#ctx0" brushRef="#br0" timeOffset="2241.47">2000 266 24575,'4'-1'0,"0"-1"0,-1 1 0,1 0 0,0-1 0,-1 0 0,1 0 0,-1 0 0,0 0 0,5-4 0,14-8 0,-9 9 0,0 0 0,1 0 0,0 1 0,15-1 0,-22 3 0,0 1 0,1 1 0,0-1 0,-1 1 0,1 1 0,-1-1 0,1 1 0,-1 0 0,10 4 0,-15-4 0,1 0 0,-1 0 0,1 1 0,-1-1 0,0 1 0,0-1 0,0 1 0,0 0 0,0 0 0,0 0 0,0 0 0,-1 1 0,1-1 0,-1 0 0,0 0 0,1 1 0,-1-1 0,0 1 0,0 0 0,-1-1 0,1 1 0,0 0 0,-1-1 0,0 1 0,0 0 0,1-1 0,-2 1 0,1 0 0,0 0 0,0-1 0,-2 5 0,1 0 0,-1-1 0,0 1 0,0-1 0,0 0 0,-1 1 0,1-1 0,-2 0 0,1-1 0,-1 1 0,0 0 0,-8 8 0,-3 0 0,4-5 0,0 1 0,1 1 0,0-1 0,1 2 0,0-1 0,-14 26 0,16-24 0,0 1 0,1 0 0,1 1 0,1-1 0,-6 29 0,10-40 0,-1-1 0,1 1 0,0 0 0,-1 0 0,1 0 0,1 0 0,-1 0 0,0 0 0,1 0 0,-1 0 0,1 0 0,0 0 0,0-1 0,0 1 0,1 0 0,-1-1 0,0 1 0,1 0 0,0-1 0,0 0 0,-1 1 0,1-1 0,1 0 0,-1 0 0,0 0 0,0 0 0,1-1 0,-1 1 0,1-1 0,0 1 0,-1-1 0,1 0 0,0 0 0,0 0 0,-1 0 0,6 0 0,24 3 0,-1-2 0,1-1 0,55-5 0,-1 0 0,-28 4-1365,-32 0-5461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7369A7-C9F4-44EF-AC05-548EFEAE18B9}" name="JUGADORES" displayName="JUGADORES" ref="S8:U18" totalsRowShown="0" headerRowDxfId="40" headerRowBorderDxfId="45" tableBorderDxfId="46" totalsRowBorderDxfId="44" headerRowCellStyle="Normal 2">
  <autoFilter ref="S8:U18" xr:uid="{1B7369A7-C9F4-44EF-AC05-548EFEAE18B9}"/>
  <tableColumns count="3">
    <tableColumn id="1" xr3:uid="{18E921A4-128E-40D8-85F0-F934085B2783}" name="EQUIPO" dataDxfId="43" dataCellStyle="Normal 2"/>
    <tableColumn id="2" xr3:uid="{B50A3510-BB84-4FB1-A0F7-AD67BEC52EFE}" name="JUGADOR" dataDxfId="42" dataCellStyle="Normal 2"/>
    <tableColumn id="3" xr3:uid="{547B858C-956E-469D-B590-129EFA7062E4}" name="ESTADO" dataDxfId="41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C7385B-3420-4D80-A5F3-EFAB8A3A656F}" name="MATERIAS" displayName="MATERIAS" ref="S20:U30" totalsRowShown="0" headerRowDxfId="33" headerRowBorderDxfId="38" tableBorderDxfId="39" totalsRowBorderDxfId="37" headerRowCellStyle="Normal 2">
  <autoFilter ref="S20:U30" xr:uid="{99C7385B-3420-4D80-A5F3-EFAB8A3A656F}"/>
  <tableColumns count="3">
    <tableColumn id="1" xr3:uid="{07739951-2B28-49D1-AC39-AF8996EDAE60}" name="ESTUDIANTE" dataDxfId="36" dataCellStyle="Normal 2"/>
    <tableColumn id="2" xr3:uid="{CEE8A26A-DBB0-4E1E-934C-915C943D5DD2}" name="MATERIA" dataDxfId="35" dataCellStyle="Normal 2"/>
    <tableColumn id="3" xr3:uid="{5082FA1D-FCB0-44F4-AEA5-E34B3073DB5C}" name="CALIFICACION" dataDxfId="34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A2488B-5151-4E80-A330-E2783828642E}" name="CLASIFICADOS" displayName="CLASIFICADOS" ref="S32:U42" totalsRowShown="0" headerRowDxfId="26" headerRowBorderDxfId="31" tableBorderDxfId="32" totalsRowBorderDxfId="30" headerRowCellStyle="Normal 2">
  <autoFilter ref="S32:U42" xr:uid="{7BA2488B-5151-4E80-A330-E2783828642E}"/>
  <tableColumns count="3">
    <tableColumn id="1" xr3:uid="{79C800C5-42C1-40BD-B243-225AE8C3FB21}" name="EQUIPO" dataDxfId="29" dataCellStyle="Normal 2"/>
    <tableColumn id="2" xr3:uid="{F99CC6B2-7BCB-48D2-BEB5-77F0BDB42494}" name="NACIONALIDAD" dataDxfId="28" dataCellStyle="Normal 2"/>
    <tableColumn id="3" xr3:uid="{B4551725-45CB-42BE-B25A-2F71DC6D1BE3}" name="ESTADO" dataDxfId="27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12A2F8-4AD7-4A11-8781-285552236AFE}" name="SALARIOS" displayName="SALARIOS" ref="O5:P9" totalsRowShown="0" headerRowDxfId="20" headerRowBorderDxfId="24" tableBorderDxfId="25" totalsRowBorderDxfId="23" headerRowCellStyle="Normal 2">
  <autoFilter ref="O5:P9" xr:uid="{5612A2F8-4AD7-4A11-8781-285552236AFE}"/>
  <tableColumns count="2">
    <tableColumn id="1" xr3:uid="{CE0BBAFA-43F9-4066-B588-A5BECC627FA0}" name="Departamento" dataDxfId="22" dataCellStyle="Normal 2"/>
    <tableColumn id="2" xr3:uid="{330BBB70-188A-43E2-B335-55222C49CCF8}" name="Salarios" dataDxfId="21" dataCellStyle="Normal 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C2EB21-F347-4CB4-B9DD-33DC988A0FB6}" name="STOCK" displayName="STOCK" ref="O12:P22" totalsRowShown="0" headerRowDxfId="14" headerRowBorderDxfId="18" tableBorderDxfId="19" totalsRowBorderDxfId="17" headerRowCellStyle="Normal 2">
  <autoFilter ref="O12:P22" xr:uid="{90C2EB21-F347-4CB4-B9DD-33DC988A0FB6}"/>
  <tableColumns count="2">
    <tableColumn id="1" xr3:uid="{9814231B-FC05-442E-AD52-B4A2EA72992E}" name="Unidades" dataDxfId="16" dataCellStyle="Normal 2"/>
    <tableColumn id="2" xr3:uid="{35E2160B-F1A2-4671-8A74-85E00EA02352}" name="Stock" dataDxfId="15" dataCellStyle="Normal 2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4B1D61-53F2-46CB-B1CF-CF919164346B}" name="STOCK_FULL" displayName="STOCK_FULL" ref="C5:F20" totalsRowShown="0" headerRowDxfId="8" dataDxfId="9" headerRowCellStyle="Normal 2" dataCellStyle="Normal 2">
  <autoFilter ref="C5:F20" xr:uid="{BF4B1D61-53F2-46CB-B1CF-CF919164346B}"/>
  <tableColumns count="4">
    <tableColumn id="1" xr3:uid="{AEAE7444-76E4-4453-B0B1-3F8A659D8977}" name="Referencia" dataDxfId="13" dataCellStyle="Normal 2"/>
    <tableColumn id="2" xr3:uid="{4D4AF8E9-4F39-434C-A9B1-9507443A7EF1}" name="Unidadades" dataDxfId="12" dataCellStyle="Normal 2"/>
    <tableColumn id="3" xr3:uid="{4036192C-1D62-4AB9-BCC9-E4A99397F653}" name="Stock" dataDxfId="11" dataCellStyle="Normal 2">
      <calculatedColumnFormula>VLOOKUP(D6,STOCK[],2,FALSE)</calculatedColumnFormula>
    </tableColumn>
    <tableColumn id="4" xr3:uid="{C319F055-52E3-4AEC-B810-A20D9012231F}" name="Color" dataDxfId="10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24EE2F-B7F4-468F-BC99-034E9F98E9BC}" name="PRODUCTOS" displayName="PRODUCTOS" ref="H5:I20" totalsRowShown="0" headerRowDxfId="4" tableBorderDxfId="7" headerRowCellStyle="Normal 2">
  <autoFilter ref="H5:I20" xr:uid="{A724EE2F-B7F4-468F-BC99-034E9F98E9BC}"/>
  <tableColumns count="2">
    <tableColumn id="1" xr3:uid="{CEF9D2FE-E8C7-402B-AC3D-B75789F6D1B0}" name="Producto" dataDxfId="6" dataCellStyle="Normal 2"/>
    <tableColumn id="2" xr3:uid="{BB3ED310-F4FF-4934-ACF3-FF00C528B9DF}" name="Proveedor" dataDxfId="5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64F424-ED56-44E1-A1AD-F5B10761B549}" name="SALARIOS_FULL" displayName="SALARIOS_FULL" ref="K5:M20" totalsRowShown="0" headerRowDxfId="0" headerRowCellStyle="Normal 2">
  <autoFilter ref="K5:M20" xr:uid="{DC64F424-ED56-44E1-A1AD-F5B10761B549}"/>
  <tableColumns count="3">
    <tableColumn id="1" xr3:uid="{8952DC99-6684-4196-8941-0A08B020D5E9}" name="Referencia" dataDxfId="3" dataCellStyle="Normal 2"/>
    <tableColumn id="2" xr3:uid="{04DE2AF8-BD26-458E-B191-5715C890EBBC}" name="Departamento" dataDxfId="2" dataCellStyle="Normal 2"/>
    <tableColumn id="3" xr3:uid="{49F88C74-5384-4163-93C7-255A7FBB9DCC}" name="Salarios" dataDxfId="1" dataCellStyle="Moneda">
      <calculatedColumnFormula>VLOOKUP(L6,SALARIOS[],2,FALSE)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2C7428-5D21-4BCE-B22F-AA8560F253BF}" name="FIGURAS" displayName="FIGURAS" ref="U7:U11" totalsRowShown="0">
  <autoFilter ref="U7:U11" xr:uid="{5D2C7428-5D21-4BCE-B22F-AA8560F253BF}"/>
  <tableColumns count="1">
    <tableColumn id="1" xr3:uid="{8E49A243-6CEB-4045-96C0-FC89246BC901}" name="FIGUR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E91C-B12D-4DD7-8DE1-90E1D1A2F770}">
  <dimension ref="A4:J59"/>
  <sheetViews>
    <sheetView topLeftCell="A19" zoomScale="72" workbookViewId="0">
      <selection activeCell="H58" sqref="H58"/>
    </sheetView>
  </sheetViews>
  <sheetFormatPr baseColWidth="10" defaultRowHeight="14.4" x14ac:dyDescent="0.3"/>
  <cols>
    <col min="11" max="11" width="15.33203125" customWidth="1"/>
  </cols>
  <sheetData>
    <row r="4" spans="2:10" x14ac:dyDescent="0.3">
      <c r="E4" s="20"/>
      <c r="F4" s="20"/>
      <c r="H4" s="21"/>
      <c r="I4" s="21"/>
    </row>
    <row r="5" spans="2:10" x14ac:dyDescent="0.3">
      <c r="E5" s="1"/>
      <c r="F5" s="1"/>
      <c r="H5" s="2"/>
      <c r="I5" s="2"/>
    </row>
    <row r="6" spans="2:10" x14ac:dyDescent="0.3">
      <c r="E6" s="1"/>
      <c r="F6" s="1"/>
      <c r="H6" s="2"/>
      <c r="I6" s="2"/>
    </row>
    <row r="9" spans="2:10" x14ac:dyDescent="0.3">
      <c r="G9" s="22"/>
      <c r="H9" s="22"/>
    </row>
    <row r="14" spans="2:10" x14ac:dyDescent="0.3">
      <c r="B14" s="1" t="s">
        <v>112</v>
      </c>
      <c r="C14" s="1" t="s">
        <v>114</v>
      </c>
      <c r="H14" s="1" t="s">
        <v>112</v>
      </c>
      <c r="I14" s="1" t="s">
        <v>114</v>
      </c>
    </row>
    <row r="15" spans="2:10" x14ac:dyDescent="0.3">
      <c r="B15" s="1">
        <v>2</v>
      </c>
      <c r="C15" s="1">
        <v>4</v>
      </c>
      <c r="D15" s="1">
        <v>5</v>
      </c>
      <c r="H15" s="1">
        <v>4</v>
      </c>
      <c r="I15" s="1">
        <v>-2</v>
      </c>
      <c r="J15" s="1">
        <v>8</v>
      </c>
    </row>
    <row r="16" spans="2:10" x14ac:dyDescent="0.3">
      <c r="B16" s="1">
        <v>4</v>
      </c>
      <c r="C16" s="1">
        <v>3</v>
      </c>
      <c r="D16" s="1">
        <v>10</v>
      </c>
      <c r="H16" s="1">
        <v>3</v>
      </c>
      <c r="I16" s="1">
        <v>1</v>
      </c>
      <c r="J16" s="1">
        <v>2</v>
      </c>
    </row>
    <row r="18" spans="1:9" x14ac:dyDescent="0.3">
      <c r="B18" s="20" t="s">
        <v>122</v>
      </c>
      <c r="C18" s="20"/>
      <c r="H18" s="20" t="s">
        <v>122</v>
      </c>
      <c r="I18" s="20"/>
    </row>
    <row r="19" spans="1:9" x14ac:dyDescent="0.3">
      <c r="B19" s="1" cm="1">
        <f t="array" ref="B19:C20">MINVERSE(B15:C16)</f>
        <v>-0.30000000000000004</v>
      </c>
      <c r="C19" s="1">
        <v>0.4</v>
      </c>
      <c r="H19" s="1" cm="1">
        <f t="array" ref="H19:I20">MINVERSE(H15:I16)</f>
        <v>0.1</v>
      </c>
      <c r="I19" s="1">
        <v>0.2</v>
      </c>
    </row>
    <row r="20" spans="1:9" x14ac:dyDescent="0.3">
      <c r="B20" s="1">
        <v>0.4</v>
      </c>
      <c r="C20" s="1">
        <v>-0.2</v>
      </c>
      <c r="H20" s="1">
        <v>-0.3</v>
      </c>
      <c r="I20" s="1">
        <v>0.4</v>
      </c>
    </row>
    <row r="22" spans="1:9" x14ac:dyDescent="0.3">
      <c r="A22" s="16" t="s">
        <v>112</v>
      </c>
      <c r="B22" s="16" cm="1">
        <f t="array" ref="B22:B23">MMULT(_xlfn.ANCHORARRAY(B19),D15:D16)</f>
        <v>2.5</v>
      </c>
      <c r="G22" s="16" t="s">
        <v>112</v>
      </c>
      <c r="H22" s="19" cm="1">
        <f t="array" ref="H22:H23">MMULT(_xlfn.ANCHORARRAY(H19),J15:J16)</f>
        <v>1.2000000000000002</v>
      </c>
    </row>
    <row r="23" spans="1:9" x14ac:dyDescent="0.3">
      <c r="A23" s="16" t="s">
        <v>114</v>
      </c>
      <c r="B23" s="16">
        <v>0</v>
      </c>
      <c r="G23" s="16" t="s">
        <v>114</v>
      </c>
      <c r="H23" s="19">
        <v>-1.5999999999999999</v>
      </c>
    </row>
    <row r="29" spans="1:9" x14ac:dyDescent="0.3">
      <c r="B29" s="23" t="s">
        <v>0</v>
      </c>
      <c r="C29" s="23"/>
      <c r="D29" s="23"/>
      <c r="E29" s="23"/>
      <c r="F29" s="23"/>
      <c r="G29" s="23"/>
      <c r="H29" s="23"/>
    </row>
    <row r="30" spans="1:9" x14ac:dyDescent="0.3">
      <c r="B30" s="23"/>
      <c r="C30" s="23"/>
      <c r="D30" s="23"/>
      <c r="E30" s="23"/>
      <c r="F30" s="23"/>
      <c r="G30" s="23"/>
      <c r="H30" s="23"/>
    </row>
    <row r="31" spans="1:9" x14ac:dyDescent="0.3">
      <c r="B31" s="23"/>
      <c r="C31" s="23"/>
      <c r="D31" s="23"/>
      <c r="E31" s="23"/>
      <c r="F31" s="23"/>
      <c r="G31" s="23"/>
      <c r="H31" s="23"/>
    </row>
    <row r="50" spans="3:6" x14ac:dyDescent="0.3">
      <c r="D50" s="16" t="s">
        <v>133</v>
      </c>
      <c r="E50" s="16" t="s">
        <v>134</v>
      </c>
      <c r="F50" s="1"/>
    </row>
    <row r="51" spans="3:6" x14ac:dyDescent="0.3">
      <c r="D51" s="1">
        <v>9</v>
      </c>
      <c r="E51" s="1">
        <v>-3</v>
      </c>
      <c r="F51" s="1">
        <v>42</v>
      </c>
    </row>
    <row r="52" spans="3:6" x14ac:dyDescent="0.3">
      <c r="D52" s="1">
        <v>-3</v>
      </c>
      <c r="E52" s="1">
        <v>7</v>
      </c>
      <c r="F52" s="1">
        <v>10</v>
      </c>
    </row>
    <row r="54" spans="3:6" x14ac:dyDescent="0.3">
      <c r="D54" t="s">
        <v>132</v>
      </c>
    </row>
    <row r="55" spans="3:6" x14ac:dyDescent="0.3">
      <c r="D55" cm="1">
        <f t="array" ref="D55:E56">MINVERSE(D51:E52)</f>
        <v>0.12962962962962965</v>
      </c>
      <c r="E55">
        <v>5.5555555555555552E-2</v>
      </c>
    </row>
    <row r="56" spans="3:6" x14ac:dyDescent="0.3">
      <c r="D56">
        <v>5.5555555555555552E-2</v>
      </c>
      <c r="E56">
        <v>0.16666666666666666</v>
      </c>
    </row>
    <row r="58" spans="3:6" x14ac:dyDescent="0.3">
      <c r="C58" s="16" t="s">
        <v>133</v>
      </c>
      <c r="D58" s="1" cm="1">
        <f t="array" ref="D58:D59">MMULT(_xlfn.ANCHORARRAY(D55),F51:F52)</f>
        <v>6.0000000000000009</v>
      </c>
    </row>
    <row r="59" spans="3:6" x14ac:dyDescent="0.3">
      <c r="C59" s="16" t="s">
        <v>134</v>
      </c>
      <c r="D59" s="1">
        <v>3.9999999999999996</v>
      </c>
    </row>
  </sheetData>
  <mergeCells count="6">
    <mergeCell ref="E4:F4"/>
    <mergeCell ref="H4:I4"/>
    <mergeCell ref="G9:H9"/>
    <mergeCell ref="B29:H31"/>
    <mergeCell ref="B18:C18"/>
    <mergeCell ref="H18:I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6659-71D4-4905-8EAE-DBA70F6DC5E4}">
  <dimension ref="C3:Q21"/>
  <sheetViews>
    <sheetView zoomScale="72" workbookViewId="0">
      <selection activeCell="M30" sqref="M30"/>
    </sheetView>
  </sheetViews>
  <sheetFormatPr baseColWidth="10" defaultRowHeight="14.4" x14ac:dyDescent="0.3"/>
  <sheetData>
    <row r="3" spans="3:17" x14ac:dyDescent="0.3">
      <c r="D3" t="s">
        <v>112</v>
      </c>
      <c r="E3" t="s">
        <v>114</v>
      </c>
      <c r="F3" t="s">
        <v>113</v>
      </c>
    </row>
    <row r="4" spans="3:17" x14ac:dyDescent="0.3">
      <c r="C4" t="s">
        <v>108</v>
      </c>
      <c r="D4">
        <v>4.5</v>
      </c>
      <c r="E4">
        <v>0</v>
      </c>
      <c r="F4">
        <v>3</v>
      </c>
    </row>
    <row r="5" spans="3:17" x14ac:dyDescent="0.3">
      <c r="C5" t="s">
        <v>109</v>
      </c>
      <c r="D5">
        <v>1.5</v>
      </c>
      <c r="E5">
        <v>0</v>
      </c>
      <c r="F5">
        <v>0</v>
      </c>
      <c r="M5" s="1"/>
      <c r="N5" s="16" t="s">
        <v>119</v>
      </c>
      <c r="O5" s="16" t="s">
        <v>120</v>
      </c>
      <c r="P5" s="16" t="s">
        <v>121</v>
      </c>
      <c r="Q5" s="16" t="s">
        <v>118</v>
      </c>
    </row>
    <row r="6" spans="3:17" x14ac:dyDescent="0.3">
      <c r="C6" t="s">
        <v>110</v>
      </c>
      <c r="D6">
        <v>0</v>
      </c>
      <c r="E6">
        <v>2.5</v>
      </c>
      <c r="F6">
        <v>3</v>
      </c>
      <c r="M6" s="16" t="s">
        <v>112</v>
      </c>
      <c r="N6" s="1">
        <f>D14</f>
        <v>-0.42857142857142855</v>
      </c>
      <c r="O6" s="1">
        <f>D11</f>
        <v>0</v>
      </c>
      <c r="P6" s="1">
        <f>D17</f>
        <v>0.66666666666666663</v>
      </c>
      <c r="Q6" s="1">
        <v>0</v>
      </c>
    </row>
    <row r="7" spans="3:17" x14ac:dyDescent="0.3">
      <c r="C7" t="s">
        <v>111</v>
      </c>
      <c r="D7">
        <v>1.5</v>
      </c>
      <c r="E7">
        <v>1.5</v>
      </c>
      <c r="F7">
        <v>0</v>
      </c>
      <c r="M7" s="16" t="s">
        <v>114</v>
      </c>
      <c r="N7" s="1">
        <f>E14</f>
        <v>0.2857142857142857</v>
      </c>
      <c r="O7" s="1">
        <f>E11</f>
        <v>-1</v>
      </c>
      <c r="P7" s="1">
        <f>E17</f>
        <v>-0.33333333333333331</v>
      </c>
      <c r="Q7" s="1">
        <v>0</v>
      </c>
    </row>
    <row r="8" spans="3:17" x14ac:dyDescent="0.3">
      <c r="M8" s="16" t="s">
        <v>113</v>
      </c>
      <c r="N8" s="1">
        <f>F14</f>
        <v>0.8571428571428571</v>
      </c>
      <c r="O8" s="1">
        <f>F11</f>
        <v>0</v>
      </c>
      <c r="P8" s="1">
        <f>F17</f>
        <v>0.66666666666666663</v>
      </c>
      <c r="Q8" s="1">
        <v>1000</v>
      </c>
    </row>
    <row r="10" spans="3:17" x14ac:dyDescent="0.3">
      <c r="C10" t="s">
        <v>115</v>
      </c>
      <c r="D10">
        <f>D5-D7</f>
        <v>0</v>
      </c>
      <c r="E10">
        <f t="shared" ref="E10:F10" si="0">E5-E7</f>
        <v>-1.5</v>
      </c>
      <c r="F10">
        <f t="shared" si="0"/>
        <v>0</v>
      </c>
      <c r="H10">
        <f>SQRT(D10^2+E10^2+F10^2)</f>
        <v>1.5</v>
      </c>
    </row>
    <row r="11" spans="3:17" x14ac:dyDescent="0.3">
      <c r="C11" t="s">
        <v>115</v>
      </c>
      <c r="D11" s="13">
        <f>D10/$H$10</f>
        <v>0</v>
      </c>
      <c r="E11" s="13">
        <f t="shared" ref="E11:F11" si="1">E10/$H$10</f>
        <v>-1</v>
      </c>
      <c r="F11" s="13">
        <f t="shared" si="1"/>
        <v>0</v>
      </c>
      <c r="N11" s="20" t="s">
        <v>122</v>
      </c>
      <c r="O11" s="20"/>
      <c r="P11" s="20"/>
    </row>
    <row r="13" spans="3:17" x14ac:dyDescent="0.3">
      <c r="C13" t="s">
        <v>116</v>
      </c>
      <c r="D13">
        <f>D6-D7</f>
        <v>-1.5</v>
      </c>
      <c r="E13">
        <f t="shared" ref="E13:F13" si="2">E6-E7</f>
        <v>1</v>
      </c>
      <c r="F13">
        <f t="shared" si="2"/>
        <v>3</v>
      </c>
      <c r="H13">
        <f>SQRT(D13^2+E13^2+F13^2)</f>
        <v>3.5</v>
      </c>
      <c r="M13" s="16" t="s">
        <v>112</v>
      </c>
      <c r="N13" cm="1">
        <f t="array" ref="N13:P15">MINVERSE(N6:P8)</f>
        <v>-0.77777777777777779</v>
      </c>
      <c r="O13">
        <v>0</v>
      </c>
      <c r="P13">
        <v>0.7777777777777779</v>
      </c>
    </row>
    <row r="14" spans="3:17" x14ac:dyDescent="0.3">
      <c r="C14" t="s">
        <v>116</v>
      </c>
      <c r="D14" s="14">
        <f>D13/$H$13</f>
        <v>-0.42857142857142855</v>
      </c>
      <c r="E14" s="14">
        <f t="shared" ref="E14:F14" si="3">E13/$H$13</f>
        <v>0.2857142857142857</v>
      </c>
      <c r="F14" s="14">
        <f t="shared" si="3"/>
        <v>0.8571428571428571</v>
      </c>
      <c r="M14" s="16" t="s">
        <v>114</v>
      </c>
      <c r="N14">
        <v>-0.55555555555555558</v>
      </c>
      <c r="O14">
        <v>-1</v>
      </c>
      <c r="P14">
        <v>5.5555555555555525E-2</v>
      </c>
    </row>
    <row r="15" spans="3:17" x14ac:dyDescent="0.3">
      <c r="M15" s="16" t="s">
        <v>113</v>
      </c>
      <c r="N15">
        <v>1</v>
      </c>
      <c r="O15">
        <v>0</v>
      </c>
      <c r="P15">
        <v>0.5</v>
      </c>
    </row>
    <row r="16" spans="3:17" x14ac:dyDescent="0.3">
      <c r="C16" t="s">
        <v>117</v>
      </c>
      <c r="D16">
        <f>D4-D7</f>
        <v>3</v>
      </c>
      <c r="E16">
        <f t="shared" ref="E16:F16" si="4">E4-E7</f>
        <v>-1.5</v>
      </c>
      <c r="F16">
        <f t="shared" si="4"/>
        <v>3</v>
      </c>
      <c r="H16">
        <f>SQRT(D16^2+E16^2+F16^2)</f>
        <v>4.5</v>
      </c>
    </row>
    <row r="17" spans="3:15" x14ac:dyDescent="0.3">
      <c r="C17" t="s">
        <v>117</v>
      </c>
      <c r="D17" s="14">
        <f>D16/$H$16</f>
        <v>0.66666666666666663</v>
      </c>
      <c r="E17" s="14">
        <f t="shared" ref="E17:F17" si="5">E16/$H$16</f>
        <v>-0.33333333333333331</v>
      </c>
      <c r="F17" s="14">
        <f t="shared" si="5"/>
        <v>0.66666666666666663</v>
      </c>
    </row>
    <row r="19" spans="3:15" x14ac:dyDescent="0.3">
      <c r="C19" t="s">
        <v>118</v>
      </c>
      <c r="D19">
        <v>0</v>
      </c>
      <c r="E19">
        <v>0</v>
      </c>
      <c r="F19">
        <v>-1000</v>
      </c>
      <c r="H19">
        <f>SQRT(D19^2+E19^2+F19^2)</f>
        <v>1000</v>
      </c>
      <c r="M19" s="16" t="s">
        <v>119</v>
      </c>
      <c r="N19" s="15" cm="1">
        <f t="array" ref="N19:N21">MMULT(_xlfn.ANCHORARRAY(N13),Q6:Q8)</f>
        <v>777.77777777777794</v>
      </c>
      <c r="O19" t="s">
        <v>123</v>
      </c>
    </row>
    <row r="20" spans="3:15" x14ac:dyDescent="0.3">
      <c r="M20" s="16" t="s">
        <v>120</v>
      </c>
      <c r="N20" s="15">
        <v>55.555555555555522</v>
      </c>
      <c r="O20" t="s">
        <v>123</v>
      </c>
    </row>
    <row r="21" spans="3:15" x14ac:dyDescent="0.3">
      <c r="M21" s="16" t="s">
        <v>121</v>
      </c>
      <c r="N21" s="15">
        <v>500</v>
      </c>
      <c r="O21" t="s">
        <v>123</v>
      </c>
    </row>
  </sheetData>
  <mergeCells count="1">
    <mergeCell ref="N11:P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A7A5-2ED0-470E-8853-84B05CE6187A}">
  <dimension ref="D16:L37"/>
  <sheetViews>
    <sheetView topLeftCell="A13" zoomScale="91" workbookViewId="0">
      <selection activeCell="L37" sqref="L37"/>
    </sheetView>
  </sheetViews>
  <sheetFormatPr baseColWidth="10" defaultRowHeight="14.4" x14ac:dyDescent="0.3"/>
  <sheetData>
    <row r="16" spans="6:10" x14ac:dyDescent="0.3">
      <c r="F16" t="s">
        <v>131</v>
      </c>
      <c r="J16" t="s">
        <v>131</v>
      </c>
    </row>
    <row r="17" spans="4:12" x14ac:dyDescent="0.3">
      <c r="D17" s="1" t="s">
        <v>124</v>
      </c>
      <c r="E17" s="1">
        <v>20</v>
      </c>
      <c r="F17" s="17">
        <f>95-2*E17+E18+0.9298*(25-E17)+0.00000000244*(298^4-(E17+273)^4)</f>
        <v>80.908283060599999</v>
      </c>
      <c r="G17" s="1"/>
      <c r="H17" s="1" t="s">
        <v>124</v>
      </c>
      <c r="I17" s="1">
        <v>20</v>
      </c>
      <c r="J17" s="17">
        <f>95-2*I17+I18+0.9298*(25-I17)+0.00000000244*(298^4-(I17+273)^4)</f>
        <v>85.908283060599999</v>
      </c>
      <c r="K17" s="1"/>
      <c r="L17" s="1"/>
    </row>
    <row r="18" spans="4:12" x14ac:dyDescent="0.3">
      <c r="D18" s="1" t="s">
        <v>125</v>
      </c>
      <c r="E18" s="1">
        <v>20</v>
      </c>
      <c r="F18" s="1">
        <f>E17-2*E18+E19+0.9298*(25-E18)+0.00000000244*(298^4-(E18+273)^4)</f>
        <v>5.9082830605999996</v>
      </c>
      <c r="G18" s="1"/>
      <c r="H18" s="1" t="s">
        <v>125</v>
      </c>
      <c r="I18" s="1">
        <v>25</v>
      </c>
      <c r="J18" s="1">
        <f>I17-2*I18+I19+0.9298*(25-I18)+0.00000000244*(298^4-(I18+273)^4)</f>
        <v>0</v>
      </c>
      <c r="K18" s="1"/>
      <c r="L18" s="1"/>
    </row>
    <row r="19" spans="4:12" x14ac:dyDescent="0.3">
      <c r="D19" s="1" t="s">
        <v>126</v>
      </c>
      <c r="E19" s="1">
        <v>20</v>
      </c>
      <c r="F19" s="1">
        <f>E18-2*E19+E20+0.9298*(25-E19)+0.00000000244*(298^4-(E19+273)^4)</f>
        <v>5.9082830605999996</v>
      </c>
      <c r="G19" s="1"/>
      <c r="H19" s="1" t="s">
        <v>126</v>
      </c>
      <c r="I19" s="1">
        <v>30</v>
      </c>
      <c r="J19" s="1">
        <f>I18-2*I19+I20+0.9298*(25-I19)+0.00000000244*(298^4-(I19+273)^4)</f>
        <v>-5.9732906386</v>
      </c>
      <c r="K19" s="1"/>
      <c r="L19" s="1"/>
    </row>
    <row r="20" spans="4:12" x14ac:dyDescent="0.3">
      <c r="D20" s="1" t="s">
        <v>127</v>
      </c>
      <c r="E20" s="1">
        <v>20</v>
      </c>
      <c r="F20" s="1">
        <f>E19-2*E20+E21+0.9298*(25-E20)+0.00000000244*(298^4-(E20+273)^4)</f>
        <v>5.9082830605999996</v>
      </c>
      <c r="G20" s="1"/>
      <c r="H20" s="1" t="s">
        <v>127</v>
      </c>
      <c r="I20" s="1">
        <v>35</v>
      </c>
      <c r="J20" s="1">
        <f>I19-2*I20+I21+0.9298*(25-I20)+0.00000000244*(298^4-(I20+273)^4)</f>
        <v>-12.0137885152</v>
      </c>
      <c r="K20" s="1"/>
      <c r="L20" s="1"/>
    </row>
    <row r="21" spans="4:12" x14ac:dyDescent="0.3">
      <c r="D21" s="1" t="s">
        <v>128</v>
      </c>
      <c r="E21" s="1">
        <v>20</v>
      </c>
      <c r="F21" s="1">
        <f>E20-2*E21+E22+0.9298*(25-E21)+0.00000000244*(298^4-(E21+273)^4)</f>
        <v>5.9082830605999996</v>
      </c>
      <c r="G21" s="1"/>
      <c r="H21" s="1" t="s">
        <v>128</v>
      </c>
      <c r="I21" s="1">
        <v>40</v>
      </c>
      <c r="J21" s="1">
        <f>I20-2*I21+I22+0.9298*(25-I21)+0.00000000244*(298^4-(I21+273)^4)</f>
        <v>-18.1237298898</v>
      </c>
      <c r="K21" s="1"/>
      <c r="L21" s="1"/>
    </row>
    <row r="22" spans="4:12" x14ac:dyDescent="0.3">
      <c r="D22" s="1" t="s">
        <v>129</v>
      </c>
      <c r="E22" s="1">
        <v>20</v>
      </c>
      <c r="F22" s="1">
        <f>0.01*(E21-E22)+0.00494*(25-E22)+0.000000000013*(298^4-(E22+273)^4)</f>
        <v>3.1409294995000003E-2</v>
      </c>
      <c r="G22" s="1"/>
      <c r="H22" s="1" t="s">
        <v>129</v>
      </c>
      <c r="I22" s="1">
        <v>45</v>
      </c>
      <c r="J22" s="1">
        <f>0.01*(I21-I22)+0.00494*(25-I22)+0.000000000013*(298^4-(I22+273)^4)</f>
        <v>-0.17921886847999999</v>
      </c>
      <c r="K22" s="1"/>
      <c r="L22" s="1"/>
    </row>
    <row r="23" spans="4:12" x14ac:dyDescent="0.3">
      <c r="D23" s="1"/>
      <c r="E23" s="1"/>
      <c r="F23" s="1"/>
      <c r="G23" s="1"/>
      <c r="H23" s="1"/>
      <c r="I23" s="1"/>
      <c r="J23" s="1"/>
      <c r="K23" s="1"/>
      <c r="L23" s="1"/>
    </row>
    <row r="24" spans="4:12" x14ac:dyDescent="0.3">
      <c r="D24" s="1"/>
      <c r="E24" s="1" t="s">
        <v>130</v>
      </c>
      <c r="F24" s="17">
        <f>SUM(F17:F22)</f>
        <v>104.57282459799499</v>
      </c>
      <c r="G24" s="1"/>
      <c r="H24" s="1"/>
      <c r="I24" s="1" t="s">
        <v>130</v>
      </c>
      <c r="J24" s="17">
        <f>SUM(J17:J22)</f>
        <v>49.618255148519985</v>
      </c>
      <c r="K24" s="1"/>
      <c r="L24" s="1"/>
    </row>
    <row r="25" spans="4:12" x14ac:dyDescent="0.3">
      <c r="D25" s="1"/>
      <c r="E25" s="1"/>
      <c r="F25" s="1"/>
      <c r="G25" s="1"/>
      <c r="H25" s="1"/>
      <c r="I25" s="1"/>
      <c r="J25" s="1"/>
      <c r="K25" s="1"/>
      <c r="L25" s="1"/>
    </row>
    <row r="26" spans="4:12" x14ac:dyDescent="0.3">
      <c r="D26" s="1"/>
      <c r="E26" s="1"/>
      <c r="F26" s="1"/>
      <c r="G26" s="1"/>
      <c r="H26" s="1"/>
      <c r="I26" s="1"/>
      <c r="J26" s="1"/>
      <c r="K26" s="1"/>
      <c r="L26" s="1"/>
    </row>
    <row r="29" spans="4:12" x14ac:dyDescent="0.3">
      <c r="F29" t="s">
        <v>131</v>
      </c>
      <c r="J29" t="s">
        <v>131</v>
      </c>
    </row>
    <row r="30" spans="4:12" x14ac:dyDescent="0.3">
      <c r="D30" s="1" t="s">
        <v>124</v>
      </c>
      <c r="E30" s="1">
        <v>49.387916753217752</v>
      </c>
      <c r="F30" s="17">
        <f>95-2*E30+E31+0.9298*(25-E30)+0.00000000244*(298^4-(E30+273)^4)</f>
        <v>4.3987688158608762E-8</v>
      </c>
      <c r="H30" s="1" t="s">
        <v>124</v>
      </c>
      <c r="I30" s="1">
        <v>49.387916767787843</v>
      </c>
      <c r="J30" s="17">
        <f>95-2*I30+I31+0.9298*(25-I30)+0.00000000244*(298^4-(I30+273)^4)</f>
        <v>4.235353401327302E-9</v>
      </c>
    </row>
    <row r="31" spans="4:12" x14ac:dyDescent="0.3">
      <c r="D31" s="1" t="s">
        <v>125</v>
      </c>
      <c r="E31" s="1">
        <v>33.567050051325047</v>
      </c>
      <c r="F31" s="1">
        <f>E30-2*E31+E32+0.9298*(25-E31)+0.00000000244*(298^4-(E31+273)^4)</f>
        <v>7.8134898551240894E-9</v>
      </c>
      <c r="H31" s="1" t="s">
        <v>125</v>
      </c>
      <c r="I31" s="1">
        <v>33.567050059025014</v>
      </c>
      <c r="J31" s="1">
        <f>I30-2*I31+I32+0.9298*(25-I31)+0.00000000244*(298^4-(I31+273)^4)</f>
        <v>7.3456130067484082E-10</v>
      </c>
    </row>
    <row r="32" spans="4:12" x14ac:dyDescent="0.3">
      <c r="D32" s="1" t="s">
        <v>126</v>
      </c>
      <c r="E32" s="1">
        <v>28.021825301441119</v>
      </c>
      <c r="F32" s="1">
        <f>E31-2*E32+E33+0.9298*(25-E32)+0.00000000244*(298^4-(E32+273)^4)</f>
        <v>1.083911849164565E-9</v>
      </c>
      <c r="H32" s="1" t="s">
        <v>126</v>
      </c>
      <c r="I32" s="1">
        <v>28.021825304516746</v>
      </c>
      <c r="J32" s="1">
        <f>I31-2*I32+I33+0.9298*(25-I32)+0.00000000244*(298^4-(I32+273)^4)</f>
        <v>1.0101697256459374E-10</v>
      </c>
    </row>
    <row r="33" spans="4:10" x14ac:dyDescent="0.3">
      <c r="D33" s="1" t="s">
        <v>127</v>
      </c>
      <c r="E33" s="1">
        <v>26.078736974569932</v>
      </c>
      <c r="F33" s="1">
        <f>E32-2*E33+E34+0.9298*(25-E33)+0.00000000244*(298^4-(E33+273)^4)</f>
        <v>1.4348766619320941E-10</v>
      </c>
      <c r="H33" s="1" t="s">
        <v>127</v>
      </c>
      <c r="I33" s="1">
        <v>26.07873697571684</v>
      </c>
      <c r="J33" s="1">
        <f>I32-2*I33+I34+0.9298*(25-I33)+0.00000000244*(298^4-(I33+273)^4)</f>
        <v>1.3316403535412746E-11</v>
      </c>
    </row>
    <row r="34" spans="4:10" x14ac:dyDescent="0.3">
      <c r="D34" s="1" t="s">
        <v>128</v>
      </c>
      <c r="E34" s="1">
        <v>25.418796032452491</v>
      </c>
      <c r="F34" s="1">
        <f>E33-2*E34+E35+0.9298*(25-E34)+0.00000000244*(298^4-(E34+273)^4)</f>
        <v>2.2011947820033129E-11</v>
      </c>
      <c r="H34" s="1" t="s">
        <v>128</v>
      </c>
      <c r="I34" s="1">
        <v>25.418796032906357</v>
      </c>
      <c r="J34" s="1">
        <f>I33-2*I34+I35+0.9298*(25-I34)+0.00000000244*(298^4-(I34+273)^4)</f>
        <v>2.0406731859878846E-12</v>
      </c>
    </row>
    <row r="35" spans="4:10" x14ac:dyDescent="0.3">
      <c r="D35" s="1" t="s">
        <v>129</v>
      </c>
      <c r="E35" s="1">
        <v>25.256648468057531</v>
      </c>
      <c r="F35" s="1">
        <f>0.01*(E34-E35)+0.00494*(25-E35)+0.000000000013*(298^4-(E35+273)^4)</f>
        <v>4.4305000206773526E-14</v>
      </c>
      <c r="H35" s="1" t="s">
        <v>129</v>
      </c>
      <c r="I35" s="1">
        <v>25.256648468338103</v>
      </c>
      <c r="J35" s="1">
        <f>0.01*(I34-I35)+0.00494*(25-I35)+0.000000000013*(298^4-(I35+273)^4)</f>
        <v>4.1388875833547889E-15</v>
      </c>
    </row>
    <row r="36" spans="4:10" x14ac:dyDescent="0.3">
      <c r="D36" s="1"/>
      <c r="E36" s="1"/>
      <c r="F36" s="1"/>
      <c r="H36" s="1"/>
      <c r="I36" s="1"/>
      <c r="J36" s="1"/>
    </row>
    <row r="37" spans="4:10" x14ac:dyDescent="0.3">
      <c r="D37" s="1"/>
      <c r="E37" s="1" t="s">
        <v>130</v>
      </c>
      <c r="F37" s="18">
        <f>SUM(F30:F35)</f>
        <v>5.3050633781910866E-8</v>
      </c>
      <c r="H37" s="1"/>
      <c r="I37" s="1" t="s">
        <v>130</v>
      </c>
      <c r="J37" s="18">
        <f>SUM(J30:J35)</f>
        <v>5.0862928901757205E-9</v>
      </c>
    </row>
  </sheetData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75BA-1076-4F0D-BF07-0960B6F740B0}">
  <dimension ref="B2:Y42"/>
  <sheetViews>
    <sheetView topLeftCell="A5" zoomScale="115" zoomScaleNormal="115" workbookViewId="0">
      <selection activeCell="H27" sqref="H27"/>
    </sheetView>
  </sheetViews>
  <sheetFormatPr baseColWidth="10" defaultRowHeight="14.4" x14ac:dyDescent="0.3"/>
  <cols>
    <col min="4" max="4" width="12.44140625" customWidth="1"/>
    <col min="8" max="8" width="13" bestFit="1" customWidth="1"/>
    <col min="12" max="12" width="14.6640625" customWidth="1"/>
    <col min="13" max="13" width="13" bestFit="1" customWidth="1"/>
    <col min="15" max="15" width="14.6640625" customWidth="1"/>
    <col min="19" max="19" width="15.77734375" customWidth="1"/>
    <col min="20" max="20" width="15.88671875" customWidth="1"/>
    <col min="21" max="21" width="14.88671875" customWidth="1"/>
    <col min="24" max="24" width="14.6640625" customWidth="1"/>
    <col min="25" max="25" width="13.88671875" bestFit="1" customWidth="1"/>
  </cols>
  <sheetData>
    <row r="2" spans="2:25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</row>
    <row r="3" spans="2:25" x14ac:dyDescent="0.3">
      <c r="B3" s="3"/>
      <c r="C3" s="5"/>
      <c r="D3" s="24" t="s">
        <v>1</v>
      </c>
      <c r="E3" s="24"/>
      <c r="F3" s="24"/>
      <c r="G3" s="24"/>
      <c r="H3" s="24"/>
      <c r="I3" s="24"/>
      <c r="J3" s="24"/>
      <c r="K3" s="24"/>
      <c r="L3" s="24"/>
      <c r="M3" s="25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</row>
    <row r="4" spans="2:25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</row>
    <row r="5" spans="2:25" x14ac:dyDescent="0.3">
      <c r="B5" s="3"/>
      <c r="C5" s="6" t="s">
        <v>2</v>
      </c>
      <c r="D5" s="6" t="s">
        <v>3</v>
      </c>
      <c r="E5" s="6" t="s">
        <v>4</v>
      </c>
      <c r="F5" s="6" t="s">
        <v>5</v>
      </c>
      <c r="G5" s="3"/>
      <c r="H5" s="6" t="s">
        <v>6</v>
      </c>
      <c r="I5" s="6" t="s">
        <v>7</v>
      </c>
      <c r="J5" s="3"/>
      <c r="K5" s="6" t="s">
        <v>2</v>
      </c>
      <c r="L5" s="6" t="s">
        <v>8</v>
      </c>
      <c r="M5" s="6" t="s">
        <v>9</v>
      </c>
      <c r="N5" s="3"/>
      <c r="O5" s="39" t="s">
        <v>8</v>
      </c>
      <c r="P5" s="40" t="s">
        <v>9</v>
      </c>
      <c r="Q5" s="3"/>
      <c r="R5" s="4"/>
      <c r="S5" s="4"/>
      <c r="T5" s="4"/>
      <c r="U5" s="4"/>
      <c r="V5" s="4"/>
      <c r="W5" s="4"/>
      <c r="X5" s="4"/>
      <c r="Y5" s="4"/>
    </row>
    <row r="6" spans="2:25" x14ac:dyDescent="0.3">
      <c r="B6" s="3"/>
      <c r="C6" s="7" t="s">
        <v>10</v>
      </c>
      <c r="D6" s="7">
        <v>300</v>
      </c>
      <c r="E6" s="8" t="str">
        <f>VLOOKUP(D6,STOCK[],2,FALSE)</f>
        <v>Bajo</v>
      </c>
      <c r="F6" s="7" t="s">
        <v>11</v>
      </c>
      <c r="G6" s="9"/>
      <c r="H6" s="10" t="s">
        <v>12</v>
      </c>
      <c r="I6" s="7" t="s">
        <v>13</v>
      </c>
      <c r="J6" s="3"/>
      <c r="K6" s="7" t="s">
        <v>14</v>
      </c>
      <c r="L6" s="10" t="s">
        <v>15</v>
      </c>
      <c r="M6" s="43">
        <f>VLOOKUP(L6,SALARIOS[],2,FALSE)</f>
        <v>100000</v>
      </c>
      <c r="N6" s="3"/>
      <c r="O6" s="37" t="s">
        <v>15</v>
      </c>
      <c r="P6" s="38">
        <v>100000</v>
      </c>
      <c r="Q6" s="3"/>
      <c r="R6" s="4"/>
      <c r="S6" s="4"/>
      <c r="T6" s="4"/>
      <c r="U6" s="4"/>
      <c r="V6" s="4"/>
      <c r="W6" s="4"/>
      <c r="X6" s="4"/>
      <c r="Y6" s="4"/>
    </row>
    <row r="7" spans="2:25" x14ac:dyDescent="0.3">
      <c r="B7" s="3"/>
      <c r="C7" s="7" t="s">
        <v>16</v>
      </c>
      <c r="D7" s="7">
        <v>900</v>
      </c>
      <c r="E7" s="8" t="str">
        <f>VLOOKUP(D7,STOCK[],2,FALSE)</f>
        <v>Alto</v>
      </c>
      <c r="F7" s="7" t="s">
        <v>11</v>
      </c>
      <c r="G7" s="9"/>
      <c r="H7" s="10" t="s">
        <v>17</v>
      </c>
      <c r="I7" s="7" t="s">
        <v>18</v>
      </c>
      <c r="J7" s="3"/>
      <c r="K7" s="7" t="s">
        <v>19</v>
      </c>
      <c r="L7" s="10" t="s">
        <v>20</v>
      </c>
      <c r="M7" s="43">
        <f>VLOOKUP(L7,SALARIOS[],2,FALSE)</f>
        <v>50000</v>
      </c>
      <c r="N7" s="3"/>
      <c r="O7" s="37" t="s">
        <v>20</v>
      </c>
      <c r="P7" s="38">
        <v>50000</v>
      </c>
      <c r="Q7" s="3"/>
      <c r="R7" s="4"/>
      <c r="S7" s="4"/>
      <c r="T7" s="4"/>
      <c r="U7" s="4"/>
      <c r="V7" s="4"/>
      <c r="W7" s="4"/>
      <c r="X7" s="4"/>
      <c r="Y7" s="4"/>
    </row>
    <row r="8" spans="2:25" x14ac:dyDescent="0.3">
      <c r="B8" s="3"/>
      <c r="C8" s="7" t="s">
        <v>21</v>
      </c>
      <c r="D8" s="7">
        <v>600</v>
      </c>
      <c r="E8" s="8" t="str">
        <f>VLOOKUP(D8,STOCK[],2,FALSE)</f>
        <v>Medio</v>
      </c>
      <c r="F8" s="7" t="s">
        <v>22</v>
      </c>
      <c r="G8" s="9"/>
      <c r="H8" s="10" t="s">
        <v>23</v>
      </c>
      <c r="I8" s="7" t="s">
        <v>13</v>
      </c>
      <c r="J8" s="3"/>
      <c r="K8" s="7" t="s">
        <v>10</v>
      </c>
      <c r="L8" s="10" t="s">
        <v>24</v>
      </c>
      <c r="M8" s="43">
        <f>VLOOKUP(L8,SALARIOS[],2,FALSE)</f>
        <v>75000</v>
      </c>
      <c r="N8" s="3"/>
      <c r="O8" s="37" t="s">
        <v>24</v>
      </c>
      <c r="P8" s="38">
        <v>75000</v>
      </c>
      <c r="Q8" s="3"/>
      <c r="R8" s="4"/>
      <c r="S8" s="31" t="s">
        <v>25</v>
      </c>
      <c r="T8" s="32" t="s">
        <v>26</v>
      </c>
      <c r="U8" s="33" t="s">
        <v>27</v>
      </c>
      <c r="V8" s="4"/>
      <c r="W8" s="4"/>
      <c r="X8" s="4"/>
      <c r="Y8" s="4"/>
    </row>
    <row r="9" spans="2:25" x14ac:dyDescent="0.3">
      <c r="B9" s="3"/>
      <c r="C9" s="7" t="s">
        <v>28</v>
      </c>
      <c r="D9" s="7">
        <v>500</v>
      </c>
      <c r="E9" s="8" t="str">
        <f>VLOOKUP(D9,STOCK[],2,FALSE)</f>
        <v>Medio</v>
      </c>
      <c r="F9" s="7" t="s">
        <v>29</v>
      </c>
      <c r="G9" s="9"/>
      <c r="H9" s="10" t="s">
        <v>30</v>
      </c>
      <c r="I9" s="7" t="s">
        <v>18</v>
      </c>
      <c r="J9" s="3"/>
      <c r="K9" s="7" t="s">
        <v>28</v>
      </c>
      <c r="L9" s="10" t="s">
        <v>31</v>
      </c>
      <c r="M9" s="43">
        <f>VLOOKUP(L9,SALARIOS[],2,FALSE)</f>
        <v>20000</v>
      </c>
      <c r="N9" s="3"/>
      <c r="O9" s="41" t="s">
        <v>31</v>
      </c>
      <c r="P9" s="42">
        <v>20000</v>
      </c>
      <c r="Q9" s="3"/>
      <c r="R9" s="4"/>
      <c r="S9" s="29" t="s">
        <v>32</v>
      </c>
      <c r="T9" s="12" t="s">
        <v>33</v>
      </c>
      <c r="U9" s="30" t="s">
        <v>34</v>
      </c>
      <c r="V9" s="4"/>
      <c r="W9" s="11" t="s">
        <v>25</v>
      </c>
      <c r="X9" s="11" t="s">
        <v>26</v>
      </c>
      <c r="Y9" s="11" t="s">
        <v>27</v>
      </c>
    </row>
    <row r="10" spans="2:25" x14ac:dyDescent="0.3">
      <c r="B10" s="3"/>
      <c r="C10" s="7" t="s">
        <v>35</v>
      </c>
      <c r="D10" s="7">
        <v>500</v>
      </c>
      <c r="E10" s="8" t="str">
        <f>VLOOKUP(D10,STOCK[],2,FALSE)</f>
        <v>Medio</v>
      </c>
      <c r="F10" s="7" t="s">
        <v>29</v>
      </c>
      <c r="G10" s="9"/>
      <c r="H10" s="10" t="s">
        <v>36</v>
      </c>
      <c r="I10" s="7" t="s">
        <v>18</v>
      </c>
      <c r="J10" s="3"/>
      <c r="K10" s="7" t="s">
        <v>37</v>
      </c>
      <c r="L10" s="10" t="s">
        <v>15</v>
      </c>
      <c r="M10" s="43">
        <f>VLOOKUP(L10,SALARIOS[],2,FALSE)</f>
        <v>100000</v>
      </c>
      <c r="N10" s="3"/>
      <c r="O10" s="3"/>
      <c r="P10" s="3"/>
      <c r="Q10" s="3"/>
      <c r="R10" s="4"/>
      <c r="S10" s="29" t="s">
        <v>38</v>
      </c>
      <c r="T10" s="12" t="s">
        <v>39</v>
      </c>
      <c r="U10" s="30" t="s">
        <v>40</v>
      </c>
      <c r="V10" s="4"/>
      <c r="W10" s="27" t="s">
        <v>50</v>
      </c>
      <c r="X10" s="28" t="str">
        <f>VLOOKUP($W$10,JUGADORES[],2,FALSE)</f>
        <v>DORLAN</v>
      </c>
      <c r="Y10" s="28" t="str">
        <f>VLOOKUP($W$10,JUGADORES[],3,FALSE)</f>
        <v>LESIONADO</v>
      </c>
    </row>
    <row r="11" spans="2:25" x14ac:dyDescent="0.3">
      <c r="B11" s="3"/>
      <c r="C11" s="7" t="s">
        <v>37</v>
      </c>
      <c r="D11" s="7">
        <v>600</v>
      </c>
      <c r="E11" s="8" t="str">
        <f>VLOOKUP(D11,STOCK[],2,FALSE)</f>
        <v>Medio</v>
      </c>
      <c r="F11" s="7" t="s">
        <v>41</v>
      </c>
      <c r="G11" s="9"/>
      <c r="H11" s="10" t="s">
        <v>42</v>
      </c>
      <c r="I11" s="7" t="s">
        <v>18</v>
      </c>
      <c r="J11" s="3"/>
      <c r="K11" s="7" t="s">
        <v>43</v>
      </c>
      <c r="L11" s="10" t="s">
        <v>20</v>
      </c>
      <c r="M11" s="43">
        <f>VLOOKUP(L11,SALARIOS[],2,FALSE)</f>
        <v>50000</v>
      </c>
      <c r="N11" s="3"/>
      <c r="O11" s="3"/>
      <c r="P11" s="3"/>
      <c r="Q11" s="3"/>
      <c r="R11" s="4"/>
      <c r="S11" s="29" t="s">
        <v>44</v>
      </c>
      <c r="T11" s="12" t="s">
        <v>45</v>
      </c>
      <c r="U11" s="30" t="s">
        <v>34</v>
      </c>
      <c r="V11" s="4"/>
      <c r="W11" s="4"/>
      <c r="X11" s="4"/>
      <c r="Y11" s="4"/>
    </row>
    <row r="12" spans="2:25" x14ac:dyDescent="0.3">
      <c r="B12" s="3"/>
      <c r="C12" s="7" t="s">
        <v>46</v>
      </c>
      <c r="D12" s="7">
        <v>1000</v>
      </c>
      <c r="E12" s="8" t="str">
        <f>VLOOKUP(D12,STOCK[],2,FALSE)</f>
        <v>Alto</v>
      </c>
      <c r="F12" s="7" t="s">
        <v>41</v>
      </c>
      <c r="G12" s="9"/>
      <c r="H12" s="10" t="s">
        <v>47</v>
      </c>
      <c r="I12" s="7" t="s">
        <v>13</v>
      </c>
      <c r="J12" s="3"/>
      <c r="K12" s="7" t="s">
        <v>48</v>
      </c>
      <c r="L12" s="10" t="s">
        <v>15</v>
      </c>
      <c r="M12" s="43">
        <f>VLOOKUP(L12,SALARIOS[],2,FALSE)</f>
        <v>100000</v>
      </c>
      <c r="N12" s="3"/>
      <c r="O12" s="39" t="s">
        <v>49</v>
      </c>
      <c r="P12" s="40" t="s">
        <v>4</v>
      </c>
      <c r="Q12" s="3"/>
      <c r="R12" s="4"/>
      <c r="S12" s="29" t="s">
        <v>50</v>
      </c>
      <c r="T12" s="12" t="s">
        <v>45</v>
      </c>
      <c r="U12" s="30" t="s">
        <v>34</v>
      </c>
      <c r="V12" s="4"/>
      <c r="W12" s="4"/>
      <c r="X12" s="4"/>
      <c r="Y12" s="4"/>
    </row>
    <row r="13" spans="2:25" x14ac:dyDescent="0.3">
      <c r="B13" s="3"/>
      <c r="C13" s="7" t="s">
        <v>14</v>
      </c>
      <c r="D13" s="7">
        <v>900</v>
      </c>
      <c r="E13" s="8" t="str">
        <f>VLOOKUP(D13,STOCK[],2,FALSE)</f>
        <v>Alto</v>
      </c>
      <c r="F13" s="7" t="s">
        <v>51</v>
      </c>
      <c r="G13" s="9"/>
      <c r="H13" s="10" t="s">
        <v>52</v>
      </c>
      <c r="I13" s="7" t="s">
        <v>13</v>
      </c>
      <c r="J13" s="3"/>
      <c r="K13" s="7" t="s">
        <v>46</v>
      </c>
      <c r="L13" s="10" t="s">
        <v>15</v>
      </c>
      <c r="M13" s="43">
        <f>VLOOKUP(L13,SALARIOS[],2,FALSE)</f>
        <v>100000</v>
      </c>
      <c r="N13" s="3"/>
      <c r="O13" s="37">
        <v>100</v>
      </c>
      <c r="P13" s="44" t="s">
        <v>53</v>
      </c>
      <c r="Q13" s="3"/>
      <c r="R13" s="4"/>
      <c r="S13" s="29" t="s">
        <v>54</v>
      </c>
      <c r="T13" s="12" t="s">
        <v>33</v>
      </c>
      <c r="U13" s="30" t="s">
        <v>34</v>
      </c>
      <c r="V13" s="4"/>
      <c r="W13" s="4"/>
      <c r="X13" s="4"/>
      <c r="Y13" s="4"/>
    </row>
    <row r="14" spans="2:25" x14ac:dyDescent="0.3">
      <c r="B14" s="3"/>
      <c r="C14" s="7" t="s">
        <v>43</v>
      </c>
      <c r="D14" s="7">
        <v>800</v>
      </c>
      <c r="E14" s="8" t="str">
        <f>VLOOKUP(D14,STOCK[],2,FALSE)</f>
        <v>Alto</v>
      </c>
      <c r="F14" s="7" t="s">
        <v>51</v>
      </c>
      <c r="G14" s="9"/>
      <c r="H14" s="10" t="s">
        <v>55</v>
      </c>
      <c r="I14" s="7" t="s">
        <v>13</v>
      </c>
      <c r="J14" s="3"/>
      <c r="K14" s="7" t="s">
        <v>56</v>
      </c>
      <c r="L14" s="10" t="s">
        <v>24</v>
      </c>
      <c r="M14" s="43">
        <f>VLOOKUP(L14,SALARIOS[],2,FALSE)</f>
        <v>75000</v>
      </c>
      <c r="N14" s="3"/>
      <c r="O14" s="37">
        <v>200</v>
      </c>
      <c r="P14" s="44" t="s">
        <v>53</v>
      </c>
      <c r="Q14" s="3"/>
      <c r="R14" s="4"/>
      <c r="S14" s="29" t="s">
        <v>57</v>
      </c>
      <c r="T14" s="12" t="s">
        <v>39</v>
      </c>
      <c r="U14" s="30" t="s">
        <v>40</v>
      </c>
      <c r="V14" s="4"/>
      <c r="W14" s="4"/>
      <c r="X14" s="4"/>
      <c r="Y14" s="4"/>
    </row>
    <row r="15" spans="2:25" x14ac:dyDescent="0.3">
      <c r="B15" s="3"/>
      <c r="C15" s="7" t="s">
        <v>56</v>
      </c>
      <c r="D15" s="7">
        <v>700</v>
      </c>
      <c r="E15" s="8" t="str">
        <f>VLOOKUP(D15,STOCK[],2,FALSE)</f>
        <v>Medio</v>
      </c>
      <c r="F15" s="7" t="s">
        <v>51</v>
      </c>
      <c r="G15" s="9"/>
      <c r="H15" s="10" t="s">
        <v>58</v>
      </c>
      <c r="I15" s="7" t="s">
        <v>13</v>
      </c>
      <c r="J15" s="3"/>
      <c r="K15" s="7" t="s">
        <v>16</v>
      </c>
      <c r="L15" s="10" t="s">
        <v>31</v>
      </c>
      <c r="M15" s="43">
        <f>VLOOKUP(L15,SALARIOS[],2,FALSE)</f>
        <v>20000</v>
      </c>
      <c r="N15" s="3"/>
      <c r="O15" s="37">
        <v>300</v>
      </c>
      <c r="P15" s="44" t="s">
        <v>53</v>
      </c>
      <c r="Q15" s="3"/>
      <c r="R15" s="4"/>
      <c r="S15" s="29" t="s">
        <v>59</v>
      </c>
      <c r="T15" s="12" t="s">
        <v>39</v>
      </c>
      <c r="U15" s="30" t="s">
        <v>40</v>
      </c>
      <c r="V15" s="4"/>
      <c r="W15" s="4"/>
      <c r="X15" s="4"/>
      <c r="Y15" s="4"/>
    </row>
    <row r="16" spans="2:25" x14ac:dyDescent="0.3">
      <c r="B16" s="3"/>
      <c r="C16" s="7" t="s">
        <v>60</v>
      </c>
      <c r="D16" s="7">
        <v>100</v>
      </c>
      <c r="E16" s="8" t="str">
        <f>VLOOKUP(D16,STOCK[],2,FALSE)</f>
        <v>Bajo</v>
      </c>
      <c r="F16" s="7" t="s">
        <v>51</v>
      </c>
      <c r="G16" s="9"/>
      <c r="H16" s="10" t="s">
        <v>61</v>
      </c>
      <c r="I16" s="7" t="s">
        <v>18</v>
      </c>
      <c r="J16" s="3"/>
      <c r="K16" s="7" t="s">
        <v>62</v>
      </c>
      <c r="L16" s="10" t="s">
        <v>31</v>
      </c>
      <c r="M16" s="43">
        <f>VLOOKUP(L16,SALARIOS[],2,FALSE)</f>
        <v>20000</v>
      </c>
      <c r="N16" s="3"/>
      <c r="O16" s="37">
        <v>400</v>
      </c>
      <c r="P16" s="44" t="s">
        <v>63</v>
      </c>
      <c r="Q16" s="3"/>
      <c r="R16" s="4"/>
      <c r="S16" s="29" t="s">
        <v>64</v>
      </c>
      <c r="T16" s="12" t="s">
        <v>33</v>
      </c>
      <c r="U16" s="30" t="s">
        <v>34</v>
      </c>
      <c r="V16" s="4"/>
      <c r="W16" s="4"/>
      <c r="X16" s="4"/>
      <c r="Y16" s="4"/>
    </row>
    <row r="17" spans="2:25" x14ac:dyDescent="0.3">
      <c r="B17" s="3"/>
      <c r="C17" s="7" t="s">
        <v>19</v>
      </c>
      <c r="D17" s="7">
        <v>100</v>
      </c>
      <c r="E17" s="8" t="str">
        <f>VLOOKUP(D17,STOCK[],2,FALSE)</f>
        <v>Bajo</v>
      </c>
      <c r="F17" s="7" t="s">
        <v>65</v>
      </c>
      <c r="G17" s="9"/>
      <c r="H17" s="10" t="s">
        <v>66</v>
      </c>
      <c r="I17" s="7" t="s">
        <v>13</v>
      </c>
      <c r="J17" s="3"/>
      <c r="K17" s="7" t="s">
        <v>21</v>
      </c>
      <c r="L17" s="10" t="s">
        <v>24</v>
      </c>
      <c r="M17" s="43">
        <f>VLOOKUP(L17,SALARIOS[],2,FALSE)</f>
        <v>75000</v>
      </c>
      <c r="N17" s="3"/>
      <c r="O17" s="37">
        <v>500</v>
      </c>
      <c r="P17" s="44" t="s">
        <v>63</v>
      </c>
      <c r="Q17" s="3"/>
      <c r="R17" s="4"/>
      <c r="S17" s="29" t="s">
        <v>67</v>
      </c>
      <c r="T17" s="12" t="s">
        <v>45</v>
      </c>
      <c r="U17" s="30" t="s">
        <v>34</v>
      </c>
      <c r="V17" s="4"/>
      <c r="W17" s="4"/>
      <c r="X17" s="4"/>
      <c r="Y17" s="4"/>
    </row>
    <row r="18" spans="2:25" x14ac:dyDescent="0.3">
      <c r="B18" s="3"/>
      <c r="C18" s="7" t="s">
        <v>48</v>
      </c>
      <c r="D18" s="7">
        <v>800</v>
      </c>
      <c r="E18" s="8" t="str">
        <f>VLOOKUP(D18,STOCK[],2,FALSE)</f>
        <v>Alto</v>
      </c>
      <c r="F18" s="7" t="s">
        <v>65</v>
      </c>
      <c r="G18" s="9"/>
      <c r="H18" s="10" t="s">
        <v>68</v>
      </c>
      <c r="I18" s="7" t="s">
        <v>18</v>
      </c>
      <c r="J18" s="3"/>
      <c r="K18" s="7" t="s">
        <v>60</v>
      </c>
      <c r="L18" s="10" t="s">
        <v>20</v>
      </c>
      <c r="M18" s="43">
        <f>VLOOKUP(L18,SALARIOS[],2,FALSE)</f>
        <v>50000</v>
      </c>
      <c r="N18" s="3"/>
      <c r="O18" s="37">
        <v>600</v>
      </c>
      <c r="P18" s="44" t="s">
        <v>63</v>
      </c>
      <c r="Q18" s="3"/>
      <c r="R18" s="4"/>
      <c r="S18" s="34" t="s">
        <v>69</v>
      </c>
      <c r="T18" s="35" t="s">
        <v>33</v>
      </c>
      <c r="U18" s="36" t="s">
        <v>34</v>
      </c>
      <c r="V18" s="4"/>
      <c r="W18" s="4"/>
      <c r="X18" s="4"/>
      <c r="Y18" s="4"/>
    </row>
    <row r="19" spans="2:25" x14ac:dyDescent="0.3">
      <c r="B19" s="3"/>
      <c r="C19" s="7" t="s">
        <v>62</v>
      </c>
      <c r="D19" s="7">
        <v>700</v>
      </c>
      <c r="E19" s="8" t="str">
        <f>VLOOKUP(D19,STOCK[],2,FALSE)</f>
        <v>Medio</v>
      </c>
      <c r="F19" s="7" t="s">
        <v>65</v>
      </c>
      <c r="G19" s="9"/>
      <c r="H19" s="10" t="s">
        <v>70</v>
      </c>
      <c r="I19" s="7" t="s">
        <v>18</v>
      </c>
      <c r="J19" s="3"/>
      <c r="K19" s="7" t="s">
        <v>35</v>
      </c>
      <c r="L19" s="10" t="s">
        <v>20</v>
      </c>
      <c r="M19" s="43">
        <f>VLOOKUP(L19,SALARIOS[],2,FALSE)</f>
        <v>50000</v>
      </c>
      <c r="N19" s="3"/>
      <c r="O19" s="37">
        <v>700</v>
      </c>
      <c r="P19" s="44" t="s">
        <v>63</v>
      </c>
      <c r="Q19" s="3"/>
      <c r="R19" s="4"/>
      <c r="S19" s="4"/>
      <c r="T19" s="4"/>
      <c r="U19" s="4"/>
      <c r="V19" s="4"/>
      <c r="W19" s="4"/>
      <c r="X19" s="4"/>
      <c r="Y19" s="4"/>
    </row>
    <row r="20" spans="2:25" x14ac:dyDescent="0.3">
      <c r="B20" s="3"/>
      <c r="C20" s="7" t="s">
        <v>71</v>
      </c>
      <c r="D20" s="7">
        <v>700</v>
      </c>
      <c r="E20" s="8" t="str">
        <f>VLOOKUP(D20,STOCK[],2,FALSE)</f>
        <v>Medio</v>
      </c>
      <c r="F20" s="7" t="s">
        <v>65</v>
      </c>
      <c r="G20" s="9"/>
      <c r="H20" s="46" t="s">
        <v>72</v>
      </c>
      <c r="I20" s="47" t="s">
        <v>13</v>
      </c>
      <c r="J20" s="3"/>
      <c r="K20" s="7" t="s">
        <v>71</v>
      </c>
      <c r="L20" s="10" t="s">
        <v>15</v>
      </c>
      <c r="M20" s="43">
        <f>VLOOKUP(L20,SALARIOS[],2,FALSE)</f>
        <v>100000</v>
      </c>
      <c r="N20" s="3"/>
      <c r="O20" s="37">
        <v>800</v>
      </c>
      <c r="P20" s="44" t="s">
        <v>73</v>
      </c>
      <c r="Q20" s="3"/>
      <c r="R20" s="4"/>
      <c r="S20" s="31" t="s">
        <v>74</v>
      </c>
      <c r="T20" s="32" t="s">
        <v>75</v>
      </c>
      <c r="U20" s="33" t="s">
        <v>76</v>
      </c>
      <c r="V20" s="4"/>
      <c r="W20" s="11" t="s">
        <v>74</v>
      </c>
      <c r="X20" s="11" t="s">
        <v>75</v>
      </c>
      <c r="Y20" s="11" t="s">
        <v>76</v>
      </c>
    </row>
    <row r="21" spans="2:25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7">
        <v>900</v>
      </c>
      <c r="P21" s="44" t="s">
        <v>73</v>
      </c>
      <c r="Q21" s="3"/>
      <c r="R21" s="4"/>
      <c r="S21" s="29" t="s">
        <v>77</v>
      </c>
      <c r="T21" s="12" t="s">
        <v>78</v>
      </c>
      <c r="U21" s="30" t="s">
        <v>79</v>
      </c>
      <c r="V21" s="4"/>
      <c r="W21" s="4" t="s">
        <v>89</v>
      </c>
      <c r="X21" s="4" t="str">
        <f>VLOOKUP($W$21,MATERIAS[],2,FALSE)</f>
        <v>MATEMATICAS</v>
      </c>
      <c r="Y21" s="4" t="str">
        <f>VLOOKUP($W$21,MATERIAS[],3,FALSE)</f>
        <v>NO APROBO</v>
      </c>
    </row>
    <row r="22" spans="2:25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1">
        <v>1000</v>
      </c>
      <c r="P22" s="45" t="s">
        <v>73</v>
      </c>
      <c r="Q22" s="3"/>
      <c r="R22" s="4"/>
      <c r="S22" s="29" t="s">
        <v>80</v>
      </c>
      <c r="T22" s="12" t="s">
        <v>81</v>
      </c>
      <c r="U22" s="30" t="s">
        <v>79</v>
      </c>
      <c r="V22" s="4"/>
      <c r="W22" s="4"/>
      <c r="X22" s="4"/>
      <c r="Y22" s="4"/>
    </row>
    <row r="23" spans="2:25" x14ac:dyDescent="0.3">
      <c r="B23" s="6" t="s">
        <v>2</v>
      </c>
      <c r="C23" s="6" t="s">
        <v>6</v>
      </c>
      <c r="D23" s="6" t="s">
        <v>49</v>
      </c>
      <c r="E23" s="6" t="s">
        <v>4</v>
      </c>
      <c r="F23" s="6" t="s">
        <v>5</v>
      </c>
      <c r="G23" s="6" t="s">
        <v>7</v>
      </c>
      <c r="H23" s="6" t="s">
        <v>9</v>
      </c>
      <c r="I23" s="3"/>
      <c r="J23" s="3"/>
      <c r="K23" s="3"/>
      <c r="L23" s="3"/>
      <c r="M23" s="3"/>
      <c r="N23" s="3"/>
      <c r="O23" s="3"/>
      <c r="P23" s="3"/>
      <c r="Q23" s="3"/>
      <c r="R23" s="4"/>
      <c r="S23" s="29" t="s">
        <v>82</v>
      </c>
      <c r="T23" s="12" t="s">
        <v>83</v>
      </c>
      <c r="U23" s="30" t="s">
        <v>84</v>
      </c>
      <c r="V23" s="4"/>
      <c r="W23" s="4"/>
      <c r="X23" s="4"/>
      <c r="Y23" s="4"/>
    </row>
    <row r="24" spans="2:25" x14ac:dyDescent="0.3">
      <c r="B24" s="49" t="s">
        <v>48</v>
      </c>
      <c r="C24" s="8" t="e">
        <f>VLOOKUP($B$24,STOCK_FULL[],6,FALSE)</f>
        <v>#REF!</v>
      </c>
      <c r="D24" s="8">
        <f>VLOOKUP($B$24,STOCK_FULL[],2,FALSE)</f>
        <v>800</v>
      </c>
      <c r="E24" s="8" t="str">
        <f>VLOOKUP($B$24,STOCK_FULL[],3,FALSE)</f>
        <v>Alto</v>
      </c>
      <c r="F24" s="8" t="str">
        <f>VLOOKUP($B$24,STOCK_FULL[],4,FALSE)</f>
        <v>Verde</v>
      </c>
      <c r="G24" s="8" t="e">
        <f>VLOOKUP(C24,PRODUCTOS[],2,FALSE)</f>
        <v>#REF!</v>
      </c>
      <c r="H24" s="48">
        <f>VLOOKUP($B$24,SALARIOS_FULL[],3,FALSE)</f>
        <v>100000</v>
      </c>
      <c r="I24" s="3"/>
      <c r="J24" s="3"/>
      <c r="K24" s="3"/>
      <c r="L24" s="3"/>
      <c r="M24" s="3"/>
      <c r="N24" s="3"/>
      <c r="O24" s="3"/>
      <c r="P24" s="3"/>
      <c r="Q24" s="3"/>
      <c r="R24" s="4"/>
      <c r="S24" s="29" t="s">
        <v>85</v>
      </c>
      <c r="T24" s="12" t="s">
        <v>83</v>
      </c>
      <c r="U24" s="30" t="s">
        <v>84</v>
      </c>
      <c r="V24" s="4"/>
      <c r="W24" s="4"/>
      <c r="X24" s="4"/>
      <c r="Y24" s="4"/>
    </row>
    <row r="25" spans="2:25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4"/>
      <c r="S25" s="29" t="s">
        <v>86</v>
      </c>
      <c r="T25" s="12" t="s">
        <v>81</v>
      </c>
      <c r="U25" s="30" t="s">
        <v>84</v>
      </c>
      <c r="V25" s="4"/>
      <c r="W25" s="4"/>
      <c r="X25" s="4"/>
      <c r="Y25" s="4"/>
    </row>
    <row r="26" spans="2:25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29" t="s">
        <v>87</v>
      </c>
      <c r="T26" s="12" t="s">
        <v>78</v>
      </c>
      <c r="U26" s="30" t="s">
        <v>79</v>
      </c>
      <c r="V26" s="4"/>
      <c r="W26" s="4"/>
      <c r="X26" s="4"/>
      <c r="Y26" s="4"/>
    </row>
    <row r="27" spans="2:25" x14ac:dyDescent="0.3">
      <c r="B27" s="3"/>
      <c r="C27" s="3"/>
      <c r="D27" s="3"/>
      <c r="E27" s="3"/>
      <c r="F27" s="3"/>
      <c r="G27" s="3"/>
      <c r="H27" s="3"/>
      <c r="I27" s="3"/>
      <c r="J27" s="3"/>
      <c r="K27" s="26" t="s">
        <v>88</v>
      </c>
      <c r="L27" s="26"/>
      <c r="M27" s="26"/>
      <c r="N27" s="26"/>
      <c r="O27" s="26"/>
      <c r="P27" s="3"/>
      <c r="Q27" s="3"/>
      <c r="R27" s="4"/>
      <c r="S27" s="29" t="s">
        <v>89</v>
      </c>
      <c r="T27" s="12" t="s">
        <v>78</v>
      </c>
      <c r="U27" s="30" t="s">
        <v>79</v>
      </c>
      <c r="V27" s="4"/>
      <c r="W27" s="4"/>
      <c r="X27" s="4"/>
      <c r="Y27" s="4"/>
    </row>
    <row r="28" spans="2:25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4"/>
      <c r="S28" s="29" t="s">
        <v>90</v>
      </c>
      <c r="T28" s="12" t="s">
        <v>81</v>
      </c>
      <c r="U28" s="30" t="s">
        <v>84</v>
      </c>
      <c r="V28" s="4"/>
      <c r="W28" s="4"/>
      <c r="X28" s="4"/>
      <c r="Y28" s="4"/>
    </row>
    <row r="29" spans="2:25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9" t="s">
        <v>91</v>
      </c>
      <c r="T29" s="12" t="s">
        <v>83</v>
      </c>
      <c r="U29" s="30" t="s">
        <v>79</v>
      </c>
      <c r="V29" s="4"/>
      <c r="W29" s="4"/>
      <c r="X29" s="4"/>
      <c r="Y29" s="4"/>
    </row>
    <row r="30" spans="2:25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34" t="s">
        <v>92</v>
      </c>
      <c r="T30" s="35" t="s">
        <v>78</v>
      </c>
      <c r="U30" s="36" t="s">
        <v>84</v>
      </c>
      <c r="V30" s="4"/>
      <c r="W30" s="4"/>
      <c r="X30" s="4"/>
      <c r="Y30" s="4"/>
    </row>
    <row r="31" spans="2:25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2:25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31" t="s">
        <v>25</v>
      </c>
      <c r="T32" s="32" t="s">
        <v>93</v>
      </c>
      <c r="U32" s="33" t="s">
        <v>27</v>
      </c>
      <c r="V32" s="4"/>
      <c r="W32" s="11" t="s">
        <v>25</v>
      </c>
      <c r="X32" s="11" t="s">
        <v>93</v>
      </c>
      <c r="Y32" s="11" t="s">
        <v>27</v>
      </c>
    </row>
    <row r="33" spans="19:25" x14ac:dyDescent="0.3">
      <c r="S33" s="29" t="s">
        <v>94</v>
      </c>
      <c r="T33" s="12" t="s">
        <v>81</v>
      </c>
      <c r="U33" s="30" t="s">
        <v>95</v>
      </c>
      <c r="V33" s="4"/>
      <c r="W33" s="4" t="s">
        <v>102</v>
      </c>
      <c r="X33" s="4" t="str">
        <f>VLOOKUP($W$33,CLASIFICADOS[],2,FALSE)</f>
        <v>ITALIANO</v>
      </c>
      <c r="Y33" s="4" t="str">
        <f>VLOOKUP($W$33,CLASIFICADOS[],3,FALSE)</f>
        <v>ELIMINADO</v>
      </c>
    </row>
    <row r="34" spans="19:25" x14ac:dyDescent="0.3">
      <c r="S34" s="29" t="s">
        <v>96</v>
      </c>
      <c r="T34" s="12" t="s">
        <v>81</v>
      </c>
      <c r="U34" s="30" t="s">
        <v>97</v>
      </c>
      <c r="V34" s="4"/>
      <c r="W34" s="4"/>
      <c r="X34" s="4"/>
      <c r="Y34" s="4"/>
    </row>
    <row r="35" spans="19:25" x14ac:dyDescent="0.3">
      <c r="S35" s="29" t="s">
        <v>98</v>
      </c>
      <c r="T35" s="12" t="s">
        <v>83</v>
      </c>
      <c r="U35" s="30" t="s">
        <v>95</v>
      </c>
      <c r="V35" s="4"/>
      <c r="W35" s="4"/>
      <c r="X35" s="4"/>
      <c r="Y35" s="4"/>
    </row>
    <row r="36" spans="19:25" x14ac:dyDescent="0.3">
      <c r="S36" s="29" t="s">
        <v>99</v>
      </c>
      <c r="T36" s="12" t="s">
        <v>83</v>
      </c>
      <c r="U36" s="30" t="s">
        <v>95</v>
      </c>
      <c r="V36" s="4"/>
      <c r="W36" s="4"/>
      <c r="X36" s="4"/>
      <c r="Y36" s="4"/>
    </row>
    <row r="37" spans="19:25" x14ac:dyDescent="0.3">
      <c r="S37" s="29" t="s">
        <v>100</v>
      </c>
      <c r="T37" s="12" t="s">
        <v>101</v>
      </c>
      <c r="U37" s="30" t="s">
        <v>97</v>
      </c>
      <c r="V37" s="4"/>
      <c r="W37" s="4"/>
      <c r="X37" s="4"/>
      <c r="Y37" s="4"/>
    </row>
    <row r="38" spans="19:25" x14ac:dyDescent="0.3">
      <c r="S38" s="29" t="s">
        <v>102</v>
      </c>
      <c r="T38" s="12" t="s">
        <v>101</v>
      </c>
      <c r="U38" s="30" t="s">
        <v>97</v>
      </c>
      <c r="V38" s="4"/>
      <c r="W38" s="4"/>
      <c r="X38" s="4"/>
      <c r="Y38" s="4"/>
    </row>
    <row r="39" spans="19:25" x14ac:dyDescent="0.3">
      <c r="S39" s="29" t="s">
        <v>103</v>
      </c>
      <c r="T39" s="12" t="s">
        <v>81</v>
      </c>
      <c r="U39" s="30" t="s">
        <v>95</v>
      </c>
      <c r="V39" s="4"/>
      <c r="W39" s="4"/>
      <c r="X39" s="4"/>
      <c r="Y39" s="4"/>
    </row>
    <row r="40" spans="19:25" x14ac:dyDescent="0.3">
      <c r="S40" s="29" t="s">
        <v>104</v>
      </c>
      <c r="T40" s="12" t="s">
        <v>101</v>
      </c>
      <c r="U40" s="30" t="s">
        <v>97</v>
      </c>
      <c r="V40" s="4"/>
      <c r="W40" s="4"/>
      <c r="X40" s="4"/>
      <c r="Y40" s="4"/>
    </row>
    <row r="41" spans="19:25" x14ac:dyDescent="0.3">
      <c r="S41" s="29" t="s">
        <v>105</v>
      </c>
      <c r="T41" s="12" t="s">
        <v>83</v>
      </c>
      <c r="U41" s="30" t="s">
        <v>95</v>
      </c>
      <c r="V41" s="4"/>
      <c r="W41" s="4"/>
      <c r="X41" s="4"/>
      <c r="Y41" s="4"/>
    </row>
    <row r="42" spans="19:25" x14ac:dyDescent="0.3">
      <c r="S42" s="34" t="s">
        <v>106</v>
      </c>
      <c r="T42" s="35" t="s">
        <v>107</v>
      </c>
      <c r="U42" s="36" t="s">
        <v>95</v>
      </c>
      <c r="V42" s="4"/>
      <c r="W42" s="4"/>
      <c r="X42" s="4"/>
      <c r="Y42" s="4"/>
    </row>
  </sheetData>
  <mergeCells count="2">
    <mergeCell ref="D3:M3"/>
    <mergeCell ref="K27:O27"/>
  </mergeCells>
  <dataValidations disablePrompts="1" count="4">
    <dataValidation type="list" allowBlank="1" showInputMessage="1" showErrorMessage="1" sqref="W10" xr:uid="{AD031D11-56A9-4397-8D3A-8D281CFA8353}">
      <formula1>$S$9:$S$18</formula1>
    </dataValidation>
    <dataValidation type="list" allowBlank="1" showInputMessage="1" showErrorMessage="1" sqref="W21" xr:uid="{2F400B10-8F5F-4784-9DAD-2C59FF994773}">
      <formula1>$S$21:$S$30</formula1>
    </dataValidation>
    <dataValidation type="list" allowBlank="1" showInputMessage="1" showErrorMessage="1" sqref="W33" xr:uid="{2B20AA74-2146-4948-BE68-3A3F7681687F}">
      <formula1>$S$33:$S$42</formula1>
    </dataValidation>
    <dataValidation type="list" allowBlank="1" showInputMessage="1" showErrorMessage="1" sqref="B24" xr:uid="{C6FA8AA0-A058-4689-9A7B-3D6D7FC63321}">
      <formula1>$C$6:$C$20</formula1>
    </dataValidation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4C2A-725F-464F-92CF-E567C79F16B2}">
  <dimension ref="G6:U35"/>
  <sheetViews>
    <sheetView tabSelected="1" topLeftCell="F10" zoomScaleNormal="100" workbookViewId="0">
      <selection activeCell="S15" sqref="S15"/>
    </sheetView>
  </sheetViews>
  <sheetFormatPr baseColWidth="10" defaultColWidth="11.5546875" defaultRowHeight="14.4" x14ac:dyDescent="0.3"/>
  <cols>
    <col min="8" max="9" width="12.44140625" bestFit="1" customWidth="1"/>
    <col min="11" max="11" width="12.44140625" bestFit="1" customWidth="1"/>
    <col min="21" max="21" width="11.5546875" customWidth="1"/>
  </cols>
  <sheetData>
    <row r="6" spans="7:21" x14ac:dyDescent="0.3">
      <c r="L6" s="50" t="s">
        <v>135</v>
      </c>
      <c r="M6" s="50"/>
      <c r="N6" s="50"/>
      <c r="O6" s="50"/>
      <c r="P6" s="50"/>
      <c r="Q6" s="50"/>
      <c r="R6" s="50"/>
    </row>
    <row r="7" spans="7:21" x14ac:dyDescent="0.3">
      <c r="L7" s="50"/>
      <c r="M7" s="50"/>
      <c r="N7" s="50"/>
      <c r="O7" s="50"/>
      <c r="P7" s="50"/>
      <c r="Q7" s="50"/>
      <c r="R7" s="50"/>
      <c r="U7" t="s">
        <v>140</v>
      </c>
    </row>
    <row r="8" spans="7:21" x14ac:dyDescent="0.3">
      <c r="U8" t="s">
        <v>136</v>
      </c>
    </row>
    <row r="9" spans="7:21" x14ac:dyDescent="0.3">
      <c r="U9" t="s">
        <v>137</v>
      </c>
    </row>
    <row r="10" spans="7:21" x14ac:dyDescent="0.3">
      <c r="U10" t="s">
        <v>138</v>
      </c>
    </row>
    <row r="11" spans="7:21" x14ac:dyDescent="0.3">
      <c r="U11" t="s">
        <v>139</v>
      </c>
    </row>
    <row r="14" spans="7:21" x14ac:dyDescent="0.3">
      <c r="H14" t="s">
        <v>154</v>
      </c>
      <c r="I14" t="s">
        <v>155</v>
      </c>
      <c r="J14" t="s">
        <v>150</v>
      </c>
      <c r="K14" t="s">
        <v>151</v>
      </c>
      <c r="L14" s="1" t="s">
        <v>144</v>
      </c>
      <c r="M14" s="1" t="s">
        <v>141</v>
      </c>
      <c r="N14" s="1" t="s">
        <v>112</v>
      </c>
      <c r="O14" s="1" t="s">
        <v>114</v>
      </c>
      <c r="P14" s="1" t="s">
        <v>108</v>
      </c>
      <c r="Q14" s="1" t="s">
        <v>142</v>
      </c>
      <c r="R14" s="1" t="s">
        <v>143</v>
      </c>
      <c r="S14" s="1" t="s">
        <v>147</v>
      </c>
      <c r="T14" s="1" t="s">
        <v>149</v>
      </c>
      <c r="U14" s="1" t="s">
        <v>148</v>
      </c>
    </row>
    <row r="15" spans="7:21" x14ac:dyDescent="0.3">
      <c r="G15" t="s">
        <v>136</v>
      </c>
      <c r="H15" t="s">
        <v>152</v>
      </c>
      <c r="I15" t="s">
        <v>152</v>
      </c>
      <c r="J15">
        <v>8</v>
      </c>
      <c r="K15">
        <v>5</v>
      </c>
      <c r="L15" s="1">
        <v>5</v>
      </c>
      <c r="M15" s="1">
        <v>2</v>
      </c>
      <c r="N15" s="1" cm="1">
        <f t="array" ref="N15">_xlfn.IFS(G15="rectangulo",L15/2,G15="triangulo",L15/3,G15="CIRCULO",L15)</f>
        <v>2.5</v>
      </c>
      <c r="O15" s="1" cm="1">
        <f t="array" ref="O15">_xlfn.IFS(G15="rectangulo",M15/2,G15="triangulo",M15/3,G15="CIRCULO",M15)</f>
        <v>1</v>
      </c>
      <c r="P15" s="1" cm="1">
        <f t="array" ref="P15">_xlfn.IFS(G15="RECTANGULO",L15*M15,G15="TRIANGULO",(L15*M15)/2,G15="CIRCULO",PI()*L15^2,G15="SEMICIRCULO",(PI()*L15^2)/2)</f>
        <v>10</v>
      </c>
      <c r="Q15" s="1">
        <f>$P15*N15</f>
        <v>25</v>
      </c>
      <c r="R15" s="1">
        <f>$P15*O15</f>
        <v>10</v>
      </c>
      <c r="S15" cm="1">
        <f t="array" ref="S15">_xlfn.IFS(G15="rectangulo",(L15*M15^3)/12,G15="triangulo",(L15*M15^3)/36,G15="circulo",(PI()*L15^4)/4)</f>
        <v>3.3333333333333335</v>
      </c>
      <c r="T15">
        <f>$Q$23-O15</f>
        <v>1.3846153846153846</v>
      </c>
      <c r="U15">
        <f>S15+P15*T15^2</f>
        <v>22.504930966469423</v>
      </c>
    </row>
    <row r="16" spans="7:21" x14ac:dyDescent="0.3">
      <c r="G16" t="s">
        <v>136</v>
      </c>
      <c r="H16" t="s">
        <v>152</v>
      </c>
      <c r="I16" t="s">
        <v>153</v>
      </c>
      <c r="J16">
        <v>8</v>
      </c>
      <c r="K16">
        <v>5</v>
      </c>
      <c r="L16" s="1">
        <v>3</v>
      </c>
      <c r="M16" s="1">
        <v>6</v>
      </c>
      <c r="N16" s="1" cm="1">
        <f t="array" ref="N16">_xlfn.IFS(G16="rectangulo",L16/2,G16="triangulo",L16/3,G16="CIRCULO",L16) +5</f>
        <v>6.5</v>
      </c>
      <c r="O16" s="1" cm="1">
        <f t="array" ref="O16">_xlfn.IFS(G16="rectangulo",M16/2,G16="triangulo",M16/3,G16="CIRCULO",M16)</f>
        <v>3</v>
      </c>
      <c r="P16" s="1" cm="1">
        <f t="array" ref="P16">_xlfn.IFS(G16="RECTANGULO",L16*M16,G16="TRIANGULO",(L16*M16)/2,G16="CIRCULO",PI()*L16^2,G16="SEMICIRCULO",(PI()*L16^2)/2)</f>
        <v>18</v>
      </c>
      <c r="Q16" s="1">
        <f t="shared" ref="Q16:R17" si="0">$P16*N16</f>
        <v>117</v>
      </c>
      <c r="R16" s="1">
        <f t="shared" si="0"/>
        <v>54</v>
      </c>
      <c r="S16" cm="1">
        <f t="array" ref="S16">_xlfn.IFS(G16="rectangulo",(L16*M16^3)/12,G16="triangulo",(L16*M16^3)/36,G16="circulo",(PI()*L16^4)/4)</f>
        <v>54</v>
      </c>
      <c r="T16">
        <f t="shared" ref="T16:T17" si="1">$Q$23-O16</f>
        <v>-0.61538461538461542</v>
      </c>
      <c r="U16">
        <f t="shared" ref="U16:U17" si="2">S16+P16*T16^2</f>
        <v>60.816568047337277</v>
      </c>
    </row>
    <row r="17" spans="7:21" x14ac:dyDescent="0.3">
      <c r="G17" t="s">
        <v>137</v>
      </c>
      <c r="H17" t="s">
        <v>153</v>
      </c>
      <c r="I17" t="s">
        <v>152</v>
      </c>
      <c r="J17">
        <v>8</v>
      </c>
      <c r="K17">
        <v>5</v>
      </c>
      <c r="L17" s="1">
        <v>3</v>
      </c>
      <c r="M17" s="1">
        <v>3</v>
      </c>
      <c r="N17" s="1" cm="1">
        <f t="array" ref="N17">_xlfn.IFS(G17="rectangulo",L17/2,G17="triangulo",L17/3,G17="CIRCULO",L17)</f>
        <v>1</v>
      </c>
      <c r="O17" s="1" cm="1">
        <f t="array" ref="O17">_xlfn.IFS(G17="rectangulo",M17/2,G17="triangulo",M17/3,G17="CIRCULO",M17) +2</f>
        <v>3</v>
      </c>
      <c r="P17" s="1" cm="1">
        <f t="array" ref="P17">_xlfn.IFS(G17="RECTANGULO",L17*M17,G17="TRIANGULO",(L17*M17)/2,G17="CIRCULO",PI()*L17^2,G17="SEMICIRCULO",(PI()*L17^2)/2)</f>
        <v>4.5</v>
      </c>
      <c r="Q17" s="1">
        <f t="shared" si="0"/>
        <v>4.5</v>
      </c>
      <c r="R17" s="1">
        <f t="shared" si="0"/>
        <v>13.5</v>
      </c>
      <c r="S17" cm="1">
        <f t="array" ref="S17">_xlfn.IFS(G17="rectangulo",(L17*M17^3)/12,G17="triangulo",(L17*M17^3)/36,G17="circulo",(PI()*L17^4)/4)</f>
        <v>2.25</v>
      </c>
      <c r="T17">
        <f t="shared" si="1"/>
        <v>-0.61538461538461542</v>
      </c>
      <c r="U17">
        <f t="shared" si="2"/>
        <v>3.9541420118343198</v>
      </c>
    </row>
    <row r="18" spans="7:21" x14ac:dyDescent="0.3">
      <c r="L18" s="1"/>
      <c r="M18" s="1"/>
      <c r="N18" s="1"/>
      <c r="O18" s="1"/>
      <c r="P18" s="1">
        <f>SUM(P15:P17)</f>
        <v>32.5</v>
      </c>
      <c r="Q18" s="1">
        <f>SUM(Q15:Q17)</f>
        <v>146.5</v>
      </c>
      <c r="R18" s="1">
        <f>SUM(R15:R17)</f>
        <v>77.5</v>
      </c>
      <c r="U18" s="19">
        <f>SUM(U15:U17)</f>
        <v>87.275641025641022</v>
      </c>
    </row>
    <row r="19" spans="7:21" x14ac:dyDescent="0.3">
      <c r="L19" s="1"/>
      <c r="M19" s="1"/>
      <c r="N19" s="1"/>
      <c r="O19" s="1"/>
      <c r="P19" s="1"/>
      <c r="Q19" s="1"/>
      <c r="R19" s="1"/>
    </row>
    <row r="20" spans="7:21" x14ac:dyDescent="0.3">
      <c r="L20" s="1"/>
      <c r="M20" s="1"/>
      <c r="N20" s="1"/>
      <c r="O20" s="1"/>
      <c r="P20" s="1"/>
      <c r="Q20" s="1"/>
      <c r="R20" s="1"/>
    </row>
    <row r="21" spans="7:21" x14ac:dyDescent="0.3">
      <c r="L21" s="1"/>
      <c r="M21" s="1"/>
      <c r="N21" s="1"/>
      <c r="O21" s="1"/>
      <c r="P21" s="1" t="s">
        <v>145</v>
      </c>
      <c r="Q21" s="1">
        <f>$Q$18/$P$18</f>
        <v>4.5076923076923077</v>
      </c>
      <c r="R21" s="1"/>
    </row>
    <row r="22" spans="7:21" x14ac:dyDescent="0.3">
      <c r="L22" s="1"/>
      <c r="M22" s="1"/>
      <c r="N22" s="1"/>
      <c r="O22" s="1"/>
      <c r="P22" s="1"/>
      <c r="Q22" s="1"/>
      <c r="R22" s="1"/>
    </row>
    <row r="23" spans="7:21" x14ac:dyDescent="0.3">
      <c r="L23" s="1"/>
      <c r="M23" s="1"/>
      <c r="N23" s="1"/>
      <c r="O23" s="1"/>
      <c r="P23" s="1" t="s">
        <v>146</v>
      </c>
      <c r="Q23" s="1">
        <f>$R$18/$P$18</f>
        <v>2.3846153846153846</v>
      </c>
      <c r="R23" s="1"/>
    </row>
    <row r="24" spans="7:21" x14ac:dyDescent="0.3">
      <c r="L24" s="1"/>
      <c r="M24" s="1"/>
      <c r="N24" s="1"/>
      <c r="O24" s="1"/>
      <c r="P24" s="1"/>
      <c r="Q24" s="1"/>
      <c r="R24" s="1"/>
    </row>
    <row r="26" spans="7:21" x14ac:dyDescent="0.3">
      <c r="L26" s="1" t="s">
        <v>144</v>
      </c>
      <c r="M26" s="1" t="s">
        <v>141</v>
      </c>
      <c r="N26" s="1" t="s">
        <v>112</v>
      </c>
      <c r="O26" s="1" t="s">
        <v>114</v>
      </c>
      <c r="P26" s="1" t="s">
        <v>108</v>
      </c>
      <c r="Q26" s="1" t="s">
        <v>142</v>
      </c>
      <c r="R26" s="1" t="s">
        <v>143</v>
      </c>
      <c r="S26" s="1" t="s">
        <v>147</v>
      </c>
      <c r="T26" s="1" t="s">
        <v>149</v>
      </c>
      <c r="U26" s="1" t="s">
        <v>148</v>
      </c>
    </row>
    <row r="27" spans="7:21" x14ac:dyDescent="0.3">
      <c r="K27" t="s">
        <v>136</v>
      </c>
      <c r="L27" s="1">
        <v>5</v>
      </c>
      <c r="M27" s="1">
        <v>1</v>
      </c>
      <c r="N27" s="1" cm="1">
        <f t="array" ref="N27">_xlfn.IFS(K27="rectangulo",L27/2,K27="triangulo",L27/3,K27="CIRCULO",L27)</f>
        <v>2.5</v>
      </c>
      <c r="O27" s="1" cm="1">
        <f t="array" ref="O27">_xlfn.IFS(K27="rectangulo",M27/2,K27="triangulo",M27/3,K27="CIRCULO",M27)</f>
        <v>0.5</v>
      </c>
      <c r="P27" s="1" cm="1">
        <f t="array" ref="P27">_xlfn.IFS(K27="RECTANGULO",L27*M27,K27="TRIANGULO",(L27*M27)/2,K27="CIRCULO",PI()*L27^2,K27="SEMICIRCULO",(PI()*L27^2)/2)</f>
        <v>5</v>
      </c>
      <c r="Q27" s="1">
        <f>$P27*N27</f>
        <v>12.5</v>
      </c>
      <c r="R27" s="1">
        <f>$P27*O27</f>
        <v>2.5</v>
      </c>
      <c r="S27" cm="1">
        <f t="array" ref="S27">_xlfn.IFS(K27="rectangulo",(L27*M27^3)/12,K27="triangulo",(L27*M27^3)/36,K27="circulo",(PI()*L27^4)/4)</f>
        <v>0.41666666666666669</v>
      </c>
      <c r="T27">
        <f>$Q$35-O27</f>
        <v>1.5</v>
      </c>
      <c r="U27">
        <f>S27+P27*T27^2</f>
        <v>11.666666666666666</v>
      </c>
    </row>
    <row r="28" spans="7:21" x14ac:dyDescent="0.3">
      <c r="K28" t="s">
        <v>136</v>
      </c>
      <c r="L28" s="1">
        <v>1</v>
      </c>
      <c r="M28" s="1">
        <v>5</v>
      </c>
      <c r="N28" s="1" cm="1">
        <f t="array" ref="N28">_xlfn.IFS(K28="rectangulo",L28/2,K28="triangulo",L28/3,K28="CIRCULO",L28)</f>
        <v>0.5</v>
      </c>
      <c r="O28" s="1" cm="1">
        <f t="array" ref="O28">_xlfn.IFS(K28="rectangulo",M28/2,K28="triangulo",M28/3,K28="CIRCULO",M28) +1</f>
        <v>3.5</v>
      </c>
      <c r="P28" s="1" cm="1">
        <f t="array" ref="P28">_xlfn.IFS(K28="RECTANGULO",L28*M28,K28="TRIANGULO",(L28*M28)/2,K28="CIRCULO",PI()*L28^2,K28="SEMICIRCULO",(PI()*L28^2)/2)</f>
        <v>5</v>
      </c>
      <c r="Q28" s="1">
        <f t="shared" ref="Q28:Q29" si="3">$P28*N28</f>
        <v>2.5</v>
      </c>
      <c r="R28" s="1">
        <f t="shared" ref="R28:R29" si="4">$P28*O28</f>
        <v>17.5</v>
      </c>
      <c r="S28" cm="1">
        <f t="array" ref="S28">_xlfn.IFS(K28="rectangulo",(L28*M28^3)/12,K28="triangulo",(L28*M28^3)/36,K28="circulo",(PI()*L28^4)/4)</f>
        <v>10.416666666666666</v>
      </c>
      <c r="T28">
        <f>$Q$35-O28</f>
        <v>-1.5</v>
      </c>
      <c r="U28">
        <f t="shared" ref="U28:U29" si="5">S28+P28*T28^2</f>
        <v>21.666666666666664</v>
      </c>
    </row>
    <row r="29" spans="7:21" x14ac:dyDescent="0.3">
      <c r="L29" s="1"/>
      <c r="M29" s="1"/>
      <c r="N29" s="1"/>
      <c r="O29" s="1"/>
      <c r="P29" s="1"/>
      <c r="Q29" s="1"/>
      <c r="R29" s="1"/>
    </row>
    <row r="30" spans="7:21" x14ac:dyDescent="0.3">
      <c r="L30" s="1"/>
      <c r="M30" s="1"/>
      <c r="N30" s="1"/>
      <c r="O30" s="1"/>
      <c r="P30" s="1">
        <f>SUM(P27:P29)</f>
        <v>10</v>
      </c>
      <c r="Q30" s="1">
        <f>SUM(Q27:Q29)</f>
        <v>15</v>
      </c>
      <c r="R30" s="1">
        <f>SUM(R27:R29)</f>
        <v>20</v>
      </c>
      <c r="U30" s="19">
        <f>SUM(U27:U29)</f>
        <v>33.333333333333329</v>
      </c>
    </row>
    <row r="31" spans="7:21" x14ac:dyDescent="0.3">
      <c r="L31" s="1"/>
      <c r="M31" s="1"/>
      <c r="N31" s="1"/>
      <c r="O31" s="1"/>
      <c r="P31" s="1"/>
      <c r="Q31" s="1"/>
      <c r="R31" s="1"/>
    </row>
    <row r="32" spans="7:21" x14ac:dyDescent="0.3">
      <c r="L32" s="1"/>
      <c r="M32" s="1"/>
      <c r="N32" s="1"/>
      <c r="O32" s="1"/>
      <c r="P32" s="1"/>
      <c r="Q32" s="1"/>
      <c r="R32" s="1"/>
    </row>
    <row r="33" spans="12:18" x14ac:dyDescent="0.3">
      <c r="L33" s="1"/>
      <c r="M33" s="1"/>
      <c r="N33" s="1"/>
      <c r="O33" s="1"/>
      <c r="P33" s="1" t="s">
        <v>145</v>
      </c>
      <c r="Q33" s="1">
        <f>$Q$30/$P$30</f>
        <v>1.5</v>
      </c>
      <c r="R33" s="1"/>
    </row>
    <row r="34" spans="12:18" x14ac:dyDescent="0.3">
      <c r="L34" s="1"/>
      <c r="M34" s="1"/>
      <c r="N34" s="1"/>
      <c r="O34" s="1"/>
      <c r="P34" s="1"/>
      <c r="Q34" s="1"/>
      <c r="R34" s="1"/>
    </row>
    <row r="35" spans="12:18" x14ac:dyDescent="0.3">
      <c r="L35" s="1"/>
      <c r="M35" s="1"/>
      <c r="N35" s="1"/>
      <c r="O35" s="1"/>
      <c r="P35" s="1" t="s">
        <v>146</v>
      </c>
      <c r="Q35" s="1">
        <f>$R$30/$P$30</f>
        <v>2</v>
      </c>
      <c r="R35" s="1"/>
    </row>
  </sheetData>
  <mergeCells count="1">
    <mergeCell ref="L6:R7"/>
  </mergeCells>
  <dataValidations count="1">
    <dataValidation type="list" allowBlank="1" showInputMessage="1" showErrorMessage="1" sqref="G15:G17 K27:K29" xr:uid="{9F8EB82A-9D04-4C5E-8380-36C29424979C}">
      <formula1>$U$8:$U$11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S.Ecuaciones</vt:lpstr>
      <vt:lpstr>3X3</vt:lpstr>
      <vt:lpstr>Solver</vt:lpstr>
      <vt:lpstr>Buscar V</vt:lpstr>
      <vt:lpstr>Calculo de Centroide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Quintero</dc:creator>
  <cp:lastModifiedBy>HARBEY EMIR CELY MENDOZA</cp:lastModifiedBy>
  <dcterms:created xsi:type="dcterms:W3CDTF">2026-04-20T14:03:37Z</dcterms:created>
  <dcterms:modified xsi:type="dcterms:W3CDTF">2026-08-25T01:49:27Z</dcterms:modified>
</cp:coreProperties>
</file>