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ecm-\Desktop\"/>
    </mc:Choice>
  </mc:AlternateContent>
  <xr:revisionPtr revIDLastSave="0" documentId="13_ncr:1_{E4E59A5F-8AB9-4DD2-91D9-DE64EB5D792A}" xr6:coauthVersionLast="47" xr6:coauthVersionMax="47" xr10:uidLastSave="{00000000-0000-0000-0000-000000000000}"/>
  <bookViews>
    <workbookView xWindow="-108" yWindow="-108" windowWidth="23256" windowHeight="13176" activeTab="5" xr2:uid="{00000000-000D-0000-FFFF-FFFF00000000}"/>
  </bookViews>
  <sheets>
    <sheet name="anclar datos y porcentajes" sheetId="8" r:id="rId1"/>
    <sheet name="Suma si y suma conjunto" sheetId="3" r:id="rId2"/>
    <sheet name="F1" sheetId="14" r:id="rId3"/>
    <sheet name="contar, contar si" sheetId="4" r:id="rId4"/>
    <sheet name="FUSIÓN 1" sheetId="12" r:id="rId5"/>
    <sheet name="FUSION 2" sheetId="13" r:id="rId6"/>
  </sheets>
  <definedNames>
    <definedName name="_xlnm._FilterDatabase" localSheetId="1" hidden="1">'Suma si y suma conjunto'!$F$31:$F$45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15" roundtripDataSignature="AMtx7mgjJgAW+4nO3TAzGP7u5FP3y0Lbtg=="/>
    </ext>
  </extLst>
</workbook>
</file>

<file path=xl/calcChain.xml><?xml version="1.0" encoding="utf-8"?>
<calcChain xmlns="http://schemas.openxmlformats.org/spreadsheetml/2006/main">
  <c r="O26" i="13" l="1"/>
  <c r="O25" i="13"/>
  <c r="O24" i="13"/>
  <c r="O23" i="13"/>
  <c r="O22" i="13"/>
  <c r="O21" i="13"/>
  <c r="O20" i="13"/>
  <c r="O19" i="13"/>
  <c r="O18" i="13"/>
  <c r="O6" i="13"/>
  <c r="O14" i="13"/>
  <c r="O13" i="13"/>
  <c r="O12" i="13"/>
  <c r="O17" i="13"/>
  <c r="O16" i="13"/>
  <c r="O11" i="13"/>
  <c r="O10" i="13"/>
  <c r="O9" i="13"/>
  <c r="O15" i="13"/>
  <c r="O8" i="13"/>
  <c r="O7" i="13"/>
  <c r="K8" i="12"/>
  <c r="K7" i="12"/>
  <c r="K6" i="12"/>
  <c r="K5" i="12"/>
  <c r="K4" i="12"/>
  <c r="E4" i="12"/>
  <c r="H5" i="12"/>
  <c r="H4" i="12"/>
  <c r="E7" i="12"/>
  <c r="E6" i="12"/>
  <c r="E5" i="12"/>
  <c r="K67" i="4"/>
  <c r="K66" i="4"/>
  <c r="K61" i="4"/>
  <c r="K60" i="4"/>
  <c r="K52" i="4"/>
  <c r="K51" i="4"/>
  <c r="K46" i="4"/>
  <c r="K45" i="4"/>
  <c r="K36" i="4"/>
  <c r="K35" i="4"/>
  <c r="K30" i="4"/>
  <c r="K29" i="4"/>
  <c r="K15" i="4"/>
  <c r="K14" i="4"/>
  <c r="K10" i="4"/>
  <c r="K9" i="4"/>
  <c r="L11" i="14"/>
  <c r="L10" i="14"/>
  <c r="L9" i="14"/>
  <c r="L8" i="14"/>
  <c r="L7" i="14"/>
  <c r="L6" i="14"/>
  <c r="L5" i="14"/>
  <c r="L77" i="3"/>
  <c r="L76" i="3"/>
  <c r="L75" i="3" a="1"/>
  <c r="L75" i="3" s="1"/>
  <c r="L61" i="3"/>
  <c r="L60" i="3" l="1"/>
  <c r="L59" i="3"/>
  <c r="Q46" i="3"/>
  <c r="Q44" i="3"/>
  <c r="Q45" i="3"/>
  <c r="L46" i="3"/>
  <c r="L45" i="3"/>
  <c r="L44" i="3"/>
  <c r="J38" i="8"/>
  <c r="J37" i="8"/>
  <c r="J36" i="8"/>
  <c r="J35" i="8"/>
  <c r="J31" i="8"/>
  <c r="J30" i="8"/>
  <c r="J29" i="8"/>
  <c r="J28" i="8"/>
  <c r="D16" i="8"/>
  <c r="E16" i="8" s="1"/>
  <c r="D15" i="8"/>
  <c r="E15" i="8" s="1"/>
  <c r="D14" i="8"/>
  <c r="E14" i="8" s="1"/>
  <c r="D12" i="8"/>
  <c r="E12" i="8" s="1"/>
  <c r="D11" i="8"/>
  <c r="E11" i="8" s="1"/>
</calcChain>
</file>

<file path=xl/sharedStrings.xml><?xml version="1.0" encoding="utf-8"?>
<sst xmlns="http://schemas.openxmlformats.org/spreadsheetml/2006/main" count="2279" uniqueCount="719">
  <si>
    <t>NOMBRE</t>
  </si>
  <si>
    <t>Saber salario real restando retencion de seguridad social menos salario bruto</t>
  </si>
  <si>
    <t>Nombre</t>
  </si>
  <si>
    <t>Salario Bruto</t>
  </si>
  <si>
    <t>Retencion seguridad Social</t>
  </si>
  <si>
    <t>Salario real</t>
  </si>
  <si>
    <r>
      <rPr>
        <sz val="14"/>
        <color rgb="FF000000"/>
        <rFont val="Calibri"/>
        <family val="2"/>
      </rPr>
      <t xml:space="preserve">Para saber el salerio real del empleado se debe </t>
    </r>
    <r>
      <rPr>
        <b/>
        <sz val="14"/>
        <color rgb="FF000000"/>
        <rFont val="Calibri"/>
        <family val="2"/>
      </rPr>
      <t>sacar primero el porcentaje de su 
salario en bruto</t>
    </r>
    <r>
      <rPr>
        <sz val="14"/>
        <color rgb="FF000000"/>
        <rFont val="Calibri"/>
        <family val="2"/>
      </rPr>
      <t xml:space="preserve">, luego valor (retencion seguridad social) </t>
    </r>
    <r>
      <rPr>
        <b/>
        <sz val="14"/>
        <color rgb="FF000000"/>
        <rFont val="Calibri"/>
        <family val="2"/>
      </rPr>
      <t>restarlo con el salario en bruto</t>
    </r>
    <r>
      <rPr>
        <sz val="14"/>
        <color rgb="FF000000"/>
        <rFont val="Calibri"/>
        <family val="2"/>
      </rPr>
      <t xml:space="preserve"> 
para que nos de el </t>
    </r>
    <r>
      <rPr>
        <b/>
        <sz val="14"/>
        <color rgb="FF000000"/>
        <rFont val="Calibri"/>
        <family val="2"/>
      </rPr>
      <t>salario real</t>
    </r>
    <r>
      <rPr>
        <sz val="14"/>
        <color rgb="FF000000"/>
        <rFont val="Calibri"/>
        <family val="2"/>
      </rPr>
      <t>.</t>
    </r>
  </si>
  <si>
    <t>ivan</t>
  </si>
  <si>
    <t>monica</t>
  </si>
  <si>
    <t>jessica</t>
  </si>
  <si>
    <r>
      <rPr>
        <b/>
        <sz val="14"/>
        <color rgb="FFFFFFFF"/>
        <rFont val="Calibri"/>
        <family val="2"/>
      </rPr>
      <t>/</t>
    </r>
    <r>
      <rPr>
        <b/>
        <sz val="14"/>
        <color theme="1"/>
        <rFont val="Calibri"/>
        <family val="2"/>
      </rPr>
      <t>=</t>
    </r>
    <r>
      <rPr>
        <b/>
        <sz val="14"/>
        <color rgb="FFFF9900"/>
        <rFont val="Calibri"/>
        <family val="2"/>
      </rPr>
      <t>C13</t>
    </r>
    <r>
      <rPr>
        <b/>
        <sz val="14"/>
        <color theme="1"/>
        <rFont val="Calibri"/>
        <family val="2"/>
      </rPr>
      <t>*</t>
    </r>
    <r>
      <rPr>
        <b/>
        <sz val="14"/>
        <color rgb="FF0000FF"/>
        <rFont val="Calibri"/>
        <family val="2"/>
      </rPr>
      <t>C18</t>
    </r>
  </si>
  <si>
    <r>
      <rPr>
        <b/>
        <sz val="14"/>
        <color theme="0"/>
        <rFont val="Calibri"/>
        <family val="2"/>
      </rPr>
      <t>/</t>
    </r>
    <r>
      <rPr>
        <b/>
        <sz val="14"/>
        <color theme="1"/>
        <rFont val="Calibri"/>
        <family val="2"/>
      </rPr>
      <t>=</t>
    </r>
    <r>
      <rPr>
        <b/>
        <sz val="14"/>
        <color rgb="FFFF9900"/>
        <rFont val="Calibri"/>
        <family val="2"/>
      </rPr>
      <t>C13</t>
    </r>
    <r>
      <rPr>
        <b/>
        <sz val="14"/>
        <color theme="1"/>
        <rFont val="Calibri"/>
        <family val="2"/>
      </rPr>
      <t>-</t>
    </r>
    <r>
      <rPr>
        <b/>
        <sz val="14"/>
        <color rgb="FF00FF00"/>
        <rFont val="Calibri"/>
        <family val="2"/>
      </rPr>
      <t>D13</t>
    </r>
  </si>
  <si>
    <t>samuel</t>
  </si>
  <si>
    <r>
      <rPr>
        <i/>
        <sz val="14"/>
        <color theme="1"/>
        <rFont val="Calibri"/>
        <family val="2"/>
      </rPr>
      <t>Celda "Retencion seguridad Social</t>
    </r>
    <r>
      <rPr>
        <sz val="14"/>
        <color rgb="FFFFFFFF"/>
        <rFont val="Calibri"/>
        <family val="2"/>
      </rPr>
      <t xml:space="preserve">
//</t>
    </r>
    <r>
      <rPr>
        <sz val="14"/>
        <color theme="1"/>
        <rFont val="Calibri"/>
        <family val="2"/>
      </rPr>
      <t>=(</t>
    </r>
    <r>
      <rPr>
        <b/>
        <sz val="14"/>
        <color rgb="FFFF9900"/>
        <rFont val="Calibri"/>
        <family val="2"/>
      </rPr>
      <t>celda del valor al cual le vamos a sacar el porcentaje</t>
    </r>
    <r>
      <rPr>
        <sz val="14"/>
        <color theme="1"/>
        <rFont val="Calibri"/>
        <family val="2"/>
      </rPr>
      <t>)*(</t>
    </r>
    <r>
      <rPr>
        <b/>
        <sz val="14"/>
        <color rgb="FF0000FF"/>
        <rFont val="Calibri"/>
        <family val="2"/>
      </rPr>
      <t>celda del porcentaje</t>
    </r>
    <r>
      <rPr>
        <sz val="14"/>
        <color theme="1"/>
        <rFont val="Calibri"/>
        <family val="2"/>
      </rPr>
      <t>)</t>
    </r>
  </si>
  <si>
    <t>denis</t>
  </si>
  <si>
    <t>laura</t>
  </si>
  <si>
    <r>
      <rPr>
        <i/>
        <sz val="14"/>
        <color theme="1"/>
        <rFont val="Calibri"/>
        <family val="2"/>
      </rPr>
      <t>Celda "Salario real"</t>
    </r>
    <r>
      <rPr>
        <sz val="14"/>
        <color theme="1"/>
        <rFont val="Calibri"/>
        <family val="2"/>
      </rPr>
      <t xml:space="preserve">
</t>
    </r>
    <r>
      <rPr>
        <sz val="14"/>
        <color rgb="FFFFFFFF"/>
        <rFont val="Calibri"/>
        <family val="2"/>
      </rPr>
      <t>/</t>
    </r>
    <r>
      <rPr>
        <sz val="14"/>
        <color theme="1"/>
        <rFont val="Calibri"/>
        <family val="2"/>
      </rPr>
      <t>=(</t>
    </r>
    <r>
      <rPr>
        <b/>
        <sz val="14"/>
        <color rgb="FF00FF00"/>
        <rFont val="Calibri"/>
        <family val="2"/>
      </rPr>
      <t>Retencion seguridad Social</t>
    </r>
    <r>
      <rPr>
        <sz val="14"/>
        <color theme="1"/>
        <rFont val="Calibri"/>
        <family val="2"/>
      </rPr>
      <t>)-(</t>
    </r>
    <r>
      <rPr>
        <b/>
        <sz val="14"/>
        <color rgb="FFFF9900"/>
        <rFont val="Calibri"/>
        <family val="2"/>
      </rPr>
      <t>salario bruto</t>
    </r>
    <r>
      <rPr>
        <sz val="14"/>
        <color theme="1"/>
        <rFont val="Calibri"/>
        <family val="2"/>
      </rPr>
      <t>)</t>
    </r>
  </si>
  <si>
    <t>Impuesto</t>
  </si>
  <si>
    <t>Para anclar una celda y evitar que se mueva al hacer secuencia por ejemplo; se hace de la siguente manera:</t>
  </si>
  <si>
    <t>se selecciona la cenda que queremos anclar asi:</t>
  </si>
  <si>
    <t>sin anclaje haciendo secuencia en resualtado:</t>
  </si>
  <si>
    <t>valor 1</t>
  </si>
  <si>
    <t>valor 2</t>
  </si>
  <si>
    <t>resultado</t>
  </si>
  <si>
    <t>se presiona F4 y cambiara a esto:</t>
  </si>
  <si>
    <t>con anclaje haciendo secuencia en resualtado:</t>
  </si>
  <si>
    <r>
      <rPr>
        <sz val="14"/>
        <color theme="1"/>
        <rFont val="Calibri"/>
        <family val="2"/>
      </rPr>
      <t xml:space="preserve">automaticamente se agregan los signos: </t>
    </r>
    <r>
      <rPr>
        <b/>
        <sz val="14"/>
        <color theme="1"/>
        <rFont val="Calibri"/>
        <family val="2"/>
      </rPr>
      <t xml:space="preserve">$
</t>
    </r>
    <r>
      <rPr>
        <sz val="14"/>
        <color theme="1"/>
        <rFont val="Calibri"/>
        <family val="2"/>
      </rPr>
      <t>con esto la celda escrita se ancló</t>
    </r>
  </si>
  <si>
    <t>EJEMPLO 1</t>
  </si>
  <si>
    <t>Vendedor</t>
  </si>
  <si>
    <t>Total</t>
  </si>
  <si>
    <t>FORMULA</t>
  </si>
  <si>
    <t xml:space="preserve">COMO SUMAR: </t>
  </si>
  <si>
    <t>Meses</t>
  </si>
  <si>
    <t>Gasto</t>
  </si>
  <si>
    <t>Ahorro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</si>
  <si>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</si>
  <si>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</si>
  <si>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</si>
  <si>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</si>
  <si>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</si>
  <si>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</si>
  <si>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</si>
  <si>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</si>
  <si>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</si>
  <si>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</si>
  <si>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</si>
  <si>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</si>
  <si>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1) Para iniciar una suma siempre se debe colocar el simbolo de de igualdad(=).</t>
  </si>
  <si>
    <t>2) Se eligen las columnas o columna  que vas a sumar.</t>
  </si>
  <si>
    <t>3) Escribes la formula. Ejemplo: =suma(E5:E16) le das enter y obtendras tu resultado.</t>
  </si>
  <si>
    <t>DATO</t>
  </si>
  <si>
    <t>* Se utiliza(;) si vas a sumar por celdas. Ejemplo: =suma(E10;F7) le das enter y obtendras tu resultado.</t>
  </si>
  <si>
    <t>COMO SUMAR.SI:</t>
  </si>
  <si>
    <t>Mes</t>
  </si>
  <si>
    <t>Ventas</t>
  </si>
  <si>
    <t>Almacen</t>
  </si>
  <si>
    <t>Juan Miguel</t>
  </si>
  <si>
    <t>Almacen A</t>
  </si>
  <si>
    <t>Valor total de ventas de Juan Miguel</t>
  </si>
  <si>
    <t>Julio Cesar</t>
  </si>
  <si>
    <t>Maria Chavez</t>
  </si>
  <si>
    <t>Almacen B</t>
  </si>
  <si>
    <r>
      <rPr>
        <sz val="11"/>
        <color theme="1"/>
        <rFont val="Calibri"/>
        <family val="2"/>
      </rPr>
      <t xml:space="preserve">1) Al escribir sumar aparece una pestaña en donde vamos a elegir la funcion </t>
    </r>
    <r>
      <rPr>
        <sz val="11"/>
        <color theme="4"/>
        <rFont val="Calibri"/>
        <family val="2"/>
      </rPr>
      <t>sumar.si</t>
    </r>
  </si>
  <si>
    <t>Martha Iberico</t>
  </si>
  <si>
    <r>
      <rPr>
        <sz val="11"/>
        <color theme="1"/>
        <rFont val="Calibri"/>
        <family val="2"/>
      </rPr>
      <t>2) Se escribe la formula, y en la parte posterior de la barrera hay un simbolo (</t>
    </r>
    <r>
      <rPr>
        <sz val="11"/>
        <color theme="4"/>
        <rFont val="Calibri"/>
        <family val="2"/>
      </rPr>
      <t xml:space="preserve">Fx) </t>
    </r>
    <r>
      <rPr>
        <sz val="11"/>
        <color theme="1"/>
        <rFont val="Calibri"/>
        <family val="2"/>
      </rPr>
      <t xml:space="preserve">que significa insertar funcion. </t>
    </r>
  </si>
  <si>
    <t>Damos clik en Fx y nos aparece una pequeña tabla donde nos piden unos datos:</t>
  </si>
  <si>
    <t>Almacen C</t>
  </si>
  <si>
    <t>*rango;criterio:(rango-suma). Ejemplo:</t>
  </si>
  <si>
    <t>rango</t>
  </si>
  <si>
    <t>es el rango de celdas que se van a sumar.</t>
  </si>
  <si>
    <t>(D32:D46)</t>
  </si>
  <si>
    <t>criterio</t>
  </si>
  <si>
    <t>es el criterio o el conjunto que determina que celda debe sumarse.</t>
  </si>
  <si>
    <t>rango-suma</t>
  </si>
  <si>
    <t>son las celdas que se van a sumar</t>
  </si>
  <si>
    <t>(E32:E46)</t>
  </si>
  <si>
    <t>Sumar.Si.Conjunto:</t>
  </si>
  <si>
    <t>Valor total de Juan Miguel por almacen.</t>
  </si>
  <si>
    <r>
      <rPr>
        <sz val="11"/>
        <color theme="1"/>
        <rFont val="Calibri"/>
        <family val="2"/>
      </rPr>
      <t xml:space="preserve">1) Al escribir sumar aparece una pestaña en donde vamos a elegir la funcion </t>
    </r>
    <r>
      <rPr>
        <sz val="11"/>
        <color theme="4"/>
        <rFont val="Calibri"/>
        <family val="2"/>
      </rPr>
      <t>sumar.si.conjunto</t>
    </r>
  </si>
  <si>
    <r>
      <rPr>
        <sz val="11"/>
        <color theme="1"/>
        <rFont val="Calibri"/>
        <family val="2"/>
      </rPr>
      <t>2) Se escribe la formula, y en la parte posterior de la barrera hay un simbolo (</t>
    </r>
    <r>
      <rPr>
        <sz val="11"/>
        <color theme="4"/>
        <rFont val="Calibri"/>
        <family val="2"/>
      </rPr>
      <t xml:space="preserve">Fx) </t>
    </r>
  </si>
  <si>
    <t>Nombre de producto</t>
  </si>
  <si>
    <t>Proveedor</t>
  </si>
  <si>
    <t>Categoría</t>
  </si>
  <si>
    <t>Valor total de bebidas</t>
  </si>
  <si>
    <t>Té Dharamsala</t>
  </si>
  <si>
    <t>Exotic Liquids</t>
  </si>
  <si>
    <t>Bebidas</t>
  </si>
  <si>
    <t>valor total de lácteos</t>
  </si>
  <si>
    <t>Cerveza tibetana Barley</t>
  </si>
  <si>
    <t>valor total de pescados/mariscos</t>
  </si>
  <si>
    <t>Sirope de regaliz</t>
  </si>
  <si>
    <t>Salsas dulces y picantes</t>
  </si>
  <si>
    <t>Especias Cajun del chef Anton</t>
  </si>
  <si>
    <t>New Orleans Cajun Delights</t>
  </si>
  <si>
    <t>Sin filtrar sume determine el valor que cumple con las siguientes condiciones</t>
  </si>
  <si>
    <t>Mezcla Gumbo del chef Anton</t>
  </si>
  <si>
    <t>Mermelada de grosellas de la abuela</t>
  </si>
  <si>
    <t>Grandma Kelly's Homestead</t>
  </si>
  <si>
    <t>Formaggi Fortini s.r.l.</t>
  </si>
  <si>
    <t>Lácteos</t>
  </si>
  <si>
    <t>Peras secas orgánicas del tío Bob</t>
  </si>
  <si>
    <t>Frutas/Verduras</t>
  </si>
  <si>
    <t>Salsa de arándanos Northwoods</t>
  </si>
  <si>
    <t>PB Knäckebröd AB</t>
  </si>
  <si>
    <t>Granos/Cereales</t>
  </si>
  <si>
    <t>Buey Mishi Kobe</t>
  </si>
  <si>
    <t>Tokyo Traders</t>
  </si>
  <si>
    <t>Carnes</t>
  </si>
  <si>
    <t>Pez espada</t>
  </si>
  <si>
    <t>Pescado/Marisco</t>
  </si>
  <si>
    <t>Queso Cabrales</t>
  </si>
  <si>
    <t>Cooperativa de Quesos 'Las Cabras'</t>
  </si>
  <si>
    <t>Queso Manchego La Pastora</t>
  </si>
  <si>
    <t>Algas Konbu</t>
  </si>
  <si>
    <t>Mayumi's</t>
  </si>
  <si>
    <t>Cuajada de judías</t>
  </si>
  <si>
    <t>Salsa de soja baja en sodio</t>
  </si>
  <si>
    <t>Postre de merengue Pavlova</t>
  </si>
  <si>
    <t>Pavlova, Ltd.</t>
  </si>
  <si>
    <t>Repostería</t>
  </si>
  <si>
    <t>Cordero Alice Springs</t>
  </si>
  <si>
    <t>Langostinos tigre Carnarvon</t>
  </si>
  <si>
    <t>Pastas de té de chocolate</t>
  </si>
  <si>
    <t>Specialty Biscuits, Ltd.</t>
  </si>
  <si>
    <t>Mermelada de Sir Rodney's</t>
  </si>
  <si>
    <t>Bollos de Sir Rodney's</t>
  </si>
  <si>
    <t>Pan de centeno crujiente estilo Gustaf's</t>
  </si>
  <si>
    <t>Pan fino</t>
  </si>
  <si>
    <t>Refresco Guaraná Fantástica</t>
  </si>
  <si>
    <t>Refrescos Americanas LTDA</t>
  </si>
  <si>
    <t>Crema de chocolate y nueces NuNuCa</t>
  </si>
  <si>
    <t>Heli Süßwaren GmbH &amp; Co. KG</t>
  </si>
  <si>
    <t>Ositos de goma Gumbär</t>
  </si>
  <si>
    <t>Chocolate Schoggi</t>
  </si>
  <si>
    <t>Col fermentada Rössle</t>
  </si>
  <si>
    <t>Plutzer Lebensmittelgroßmärkte AG</t>
  </si>
  <si>
    <t>Salchicha Thüringer</t>
  </si>
  <si>
    <t>Arenque blanco del noroeste</t>
  </si>
  <si>
    <t>Nord-Ost-Fisch Handelsgesellschaft</t>
  </si>
  <si>
    <t>Queso gorgonzola Telino</t>
  </si>
  <si>
    <t>Queso Mascarpone Fabioli</t>
  </si>
  <si>
    <t>Queso de cabra</t>
  </si>
  <si>
    <t>Norske Meierier</t>
  </si>
  <si>
    <t>Cerveza Sasquatch</t>
  </si>
  <si>
    <t>Bigfoot Breweries</t>
  </si>
  <si>
    <t>Cerveza negra Steeleye</t>
  </si>
  <si>
    <t>Escabeche de arenque</t>
  </si>
  <si>
    <t>Svensk Sjöföda AB</t>
  </si>
  <si>
    <t>Salmón ahumado Gravad</t>
  </si>
  <si>
    <t>Vino Côte de Blaye</t>
  </si>
  <si>
    <t>Aux joyeux ecclésiastiques</t>
  </si>
  <si>
    <t>Licor verde Chartreuse</t>
  </si>
  <si>
    <t>Carne de cangrejo de Boston</t>
  </si>
  <si>
    <t>New England Seafood Cannery</t>
  </si>
  <si>
    <t>Crema de almejas estilo Nueva Inglaterra</t>
  </si>
  <si>
    <t>Tallarines de Singapur</t>
  </si>
  <si>
    <t>Leka Trading</t>
  </si>
  <si>
    <t>Café de Malasia</t>
  </si>
  <si>
    <t>Azúcar negra Malacca</t>
  </si>
  <si>
    <t>Arenque ahumado</t>
  </si>
  <si>
    <t>Lyngbysild</t>
  </si>
  <si>
    <t>Arenque salado</t>
  </si>
  <si>
    <t>Galletas Zaanse</t>
  </si>
  <si>
    <t>Zaanse Snoepfabriek</t>
  </si>
  <si>
    <t>Chocolate holandés</t>
  </si>
  <si>
    <t>Regaliz</t>
  </si>
  <si>
    <t>Karkki Oy</t>
  </si>
  <si>
    <t>Chocolate blanco</t>
  </si>
  <si>
    <t>Manzanas secas Manjimup</t>
  </si>
  <si>
    <t>G'day, Mate</t>
  </si>
  <si>
    <t>Cereales para Filo</t>
  </si>
  <si>
    <t>Empanada de carne</t>
  </si>
  <si>
    <t>Empanada de cerdo</t>
  </si>
  <si>
    <t>Ma Maison</t>
  </si>
  <si>
    <t>Paté chino</t>
  </si>
  <si>
    <t>Gnocchi de la abuela Alicia</t>
  </si>
  <si>
    <t>Pasta Buttini s.r.l.</t>
  </si>
  <si>
    <t>Raviolis Angelo</t>
  </si>
  <si>
    <t>Caracoles de Borgoña</t>
  </si>
  <si>
    <t>Escargots Nouveaux</t>
  </si>
  <si>
    <t>Raclet de queso Courdavault</t>
  </si>
  <si>
    <t>Gai pâturage</t>
  </si>
  <si>
    <t>Camembert Pierrot</t>
  </si>
  <si>
    <t>Sirope de arce</t>
  </si>
  <si>
    <t>Forêts d'érables</t>
  </si>
  <si>
    <t>Tarta de azúcar</t>
  </si>
  <si>
    <t>Sandwich de vegetales</t>
  </si>
  <si>
    <t>Bollos de pan de Wimmer</t>
  </si>
  <si>
    <t>Salsa de pimiento picante de Luisiana</t>
  </si>
  <si>
    <t>Especias picantes de Luisiana</t>
  </si>
  <si>
    <t>Cerveza Laughing Lumberjack</t>
  </si>
  <si>
    <t>Barras de pan de Escocia</t>
  </si>
  <si>
    <t>Queso Gudbrandsdals</t>
  </si>
  <si>
    <t>Cerveza Outback</t>
  </si>
  <si>
    <t>Crema de queso Fløtemys</t>
  </si>
  <si>
    <t>Queso Mozzarella Giovanni</t>
  </si>
  <si>
    <t>Caviar rojo</t>
  </si>
  <si>
    <t>Queso de soja Longlife</t>
  </si>
  <si>
    <t>Cerveza Klosterbier Rhönbräu</t>
  </si>
  <si>
    <t>EJEMPLO DE CONTAR SI Y CONTAR SI CONJUNTO</t>
  </si>
  <si>
    <t>VENDEDOR</t>
  </si>
  <si>
    <t>TIENDA</t>
  </si>
  <si>
    <t>PRODUCTO</t>
  </si>
  <si>
    <t>CANTIDAD</t>
  </si>
  <si>
    <t>CARLOS VASQUEZ</t>
  </si>
  <si>
    <t>TIENDA A</t>
  </si>
  <si>
    <t xml:space="preserve">LAPTOP </t>
  </si>
  <si>
    <t>¿ CUANTAS LAPTOS HAY EN LAS TIENDAS?</t>
  </si>
  <si>
    <t>JUAN CARLOS</t>
  </si>
  <si>
    <t>TIENDA B</t>
  </si>
  <si>
    <t>IMPRESORA</t>
  </si>
  <si>
    <t>¿ CUANTAS IMPRESORAS HAY EN LAS TIENDAS?</t>
  </si>
  <si>
    <t>PEDRO NORIEGA</t>
  </si>
  <si>
    <t>JOSE ALMANARES</t>
  </si>
  <si>
    <t>TIENDA C</t>
  </si>
  <si>
    <t>¿ CUANTAS LAPTOS HAY EN LA TIENDA A?</t>
  </si>
  <si>
    <t>¿ CUNTAS IMPRESORAS HAY EN LA TIENDA C ?</t>
  </si>
  <si>
    <t>REALIZAR LOS SIGUIENTES EJERCICIOS UTILIZANDO LOS COMANDOS "CONTAR SI, CUANDO EXISTA UN SOLO CRITERIO, O "CONTAR SI CONJUNTO CUANDO SE NECESITE MAS DE UN CRITERIO A BUSCAR.</t>
  </si>
  <si>
    <t>EJERCICIO # 1</t>
  </si>
  <si>
    <t>EQUIPO</t>
  </si>
  <si>
    <t>JUGADOR</t>
  </si>
  <si>
    <t>ESTADO</t>
  </si>
  <si>
    <t>JUNIOR</t>
  </si>
  <si>
    <t>BORJA</t>
  </si>
  <si>
    <t>LESIONADO</t>
  </si>
  <si>
    <t>¿ CUANTOS JUGADORES LESIONADOS HAY?</t>
  </si>
  <si>
    <t>BUCARAMANGA</t>
  </si>
  <si>
    <t>SHERMAN</t>
  </si>
  <si>
    <t>NO LESIONADO</t>
  </si>
  <si>
    <t>¿ CUANTOS JUGADORES NO LESIONADOS HAY?</t>
  </si>
  <si>
    <t>NACIONAL</t>
  </si>
  <si>
    <t>DORLAN</t>
  </si>
  <si>
    <t>¿ CUANTOS JUGADORES DE NACIONAL ESTAN LESIONADOS?</t>
  </si>
  <si>
    <t>¿ CUANTOS JUGADORES DE JUNIOR ESTAN LESIONADOS?</t>
  </si>
  <si>
    <t>EJERCICIO # 2</t>
  </si>
  <si>
    <t>ESTUDIANTE</t>
  </si>
  <si>
    <t>MATERIA</t>
  </si>
  <si>
    <t>CALIFICACION</t>
  </si>
  <si>
    <t>ANNY</t>
  </si>
  <si>
    <t>MATEMATICAS</t>
  </si>
  <si>
    <t>NO APROBO</t>
  </si>
  <si>
    <t>¿ CUANTOS ESTUDIANTES APROBARON?</t>
  </si>
  <si>
    <t>JOHANNA</t>
  </si>
  <si>
    <t>ESPAÑOL</t>
  </si>
  <si>
    <t>¿ CUANTOS ESTUDIANTES NO APROBARON?</t>
  </si>
  <si>
    <t>SEBASTIAN</t>
  </si>
  <si>
    <t>INGLES</t>
  </si>
  <si>
    <t>APROBO</t>
  </si>
  <si>
    <t>JOHAN</t>
  </si>
  <si>
    <t>CAMILO</t>
  </si>
  <si>
    <t>ANDRES</t>
  </si>
  <si>
    <t>ELIAN</t>
  </si>
  <si>
    <t>¿ CUANTOS ESTUDIANTES NO APROBARON LA MATERIA DE MATEMATICAS?</t>
  </si>
  <si>
    <t>STIVEN</t>
  </si>
  <si>
    <t>¿ CUANTOS ESTUDIANTES APROBARON LA MATERIA DE INGLES?</t>
  </si>
  <si>
    <t>ARIEL</t>
  </si>
  <si>
    <t>GUSTAVO</t>
  </si>
  <si>
    <t>EJERCICIO # 3</t>
  </si>
  <si>
    <t>NACIONALIDAD</t>
  </si>
  <si>
    <t>REAL MADRID</t>
  </si>
  <si>
    <t>CLASIFICADO</t>
  </si>
  <si>
    <t>¿ CUANTOS EQUIPOS ESTAN CLASIFICADOS?</t>
  </si>
  <si>
    <t>BARCELONA</t>
  </si>
  <si>
    <t>ELIMINADO</t>
  </si>
  <si>
    <t>¿ CUANTOS EQUIPOS ESTAN ELIMINADOS?</t>
  </si>
  <si>
    <t>CHELSEA</t>
  </si>
  <si>
    <t>LIVERPOOL</t>
  </si>
  <si>
    <t>INTER</t>
  </si>
  <si>
    <t>ITALIANO</t>
  </si>
  <si>
    <t>JUVENTUS</t>
  </si>
  <si>
    <t>VILLAREAL</t>
  </si>
  <si>
    <t>¿ CUANTOS EQUIPOS ITALIANOS ESTAN ELIMINADOS?</t>
  </si>
  <si>
    <t>NAPOLES</t>
  </si>
  <si>
    <t>¿ CUANTOS EQUIPOS ESPAÑOLES ESTAN CLASIFICADOS?</t>
  </si>
  <si>
    <t>MANCHESTER</t>
  </si>
  <si>
    <t xml:space="preserve">BAYER </t>
  </si>
  <si>
    <t>ALEMAN</t>
  </si>
  <si>
    <t xml:space="preserve">Elementos de Búsqueda </t>
  </si>
  <si>
    <t>Cantidad de registros</t>
  </si>
  <si>
    <t xml:space="preserve"> Cantidad de registros</t>
  </si>
  <si>
    <t>beneficiario</t>
  </si>
  <si>
    <t>Urbano</t>
  </si>
  <si>
    <t>Atlantico</t>
  </si>
  <si>
    <t>cotizante</t>
  </si>
  <si>
    <t>Rural</t>
  </si>
  <si>
    <t>Meta</t>
  </si>
  <si>
    <t>NO USAR NI FILTRAR, NI ORDENAR.</t>
  </si>
  <si>
    <t>Adicional</t>
  </si>
  <si>
    <t>Boyaca</t>
  </si>
  <si>
    <t>Total:</t>
  </si>
  <si>
    <t>Valle</t>
  </si>
  <si>
    <t>Santander</t>
  </si>
  <si>
    <t>Genero </t>
  </si>
  <si>
    <t>Grupo etario </t>
  </si>
  <si>
    <t>Código de la entidad </t>
  </si>
  <si>
    <t>Nombre de la entidad </t>
  </si>
  <si>
    <t>Régimen </t>
  </si>
  <si>
    <t>Tipo de afiliado </t>
  </si>
  <si>
    <t>Estado del afiliado </t>
  </si>
  <si>
    <t>Condición del beneficiario </t>
  </si>
  <si>
    <t>Zona de Afiliación </t>
  </si>
  <si>
    <t>Departamento </t>
  </si>
  <si>
    <t>Municipio </t>
  </si>
  <si>
    <t>tps_nvl_ssb_id </t>
  </si>
  <si>
    <t>Nivel del Sisbén </t>
  </si>
  <si>
    <t>Cantidad de registros </t>
  </si>
  <si>
    <t>Femenino</t>
  </si>
  <si>
    <t>19 a 45</t>
  </si>
  <si>
    <t>EPS002</t>
  </si>
  <si>
    <t>SALUD TOTAL ENTIDAD PROMOTORA DE SALUD DEL REGIMEN CONTRIBUTIVO Y DEL REGIMEN SUBSIDIADO S.A.</t>
  </si>
  <si>
    <t>Contributivo</t>
  </si>
  <si>
    <t>BENEFICIARIO</t>
  </si>
  <si>
    <t>Protección Laboral C</t>
  </si>
  <si>
    <t>NO APLICA</t>
  </si>
  <si>
    <t>Urbana</t>
  </si>
  <si>
    <t>ATLANTICO</t>
  </si>
  <si>
    <t>MALAMBO</t>
  </si>
  <si>
    <t>NULL</t>
  </si>
  <si>
    <t>15 a 19</t>
  </si>
  <si>
    <t>EPS042</t>
  </si>
  <si>
    <t>COOSALUD EPS S.A.</t>
  </si>
  <si>
    <t>Activo</t>
  </si>
  <si>
    <t>MAGDALENA</t>
  </si>
  <si>
    <t>SALAMINA</t>
  </si>
  <si>
    <t>55 a 60</t>
  </si>
  <si>
    <t>CCFC55</t>
  </si>
  <si>
    <t>CAJA DE COMPENSACIÓN FAMILIARCAJACOPI ATLÁNTICO -CM</t>
  </si>
  <si>
    <t>COTIZANTE</t>
  </si>
  <si>
    <t>Activo por Emergencia</t>
  </si>
  <si>
    <t>META</t>
  </si>
  <si>
    <t>VILLAVICENCIO</t>
  </si>
  <si>
    <t>50 a 55</t>
  </si>
  <si>
    <t>EPS017</t>
  </si>
  <si>
    <t>EPS FAMISANAR S.A.S.</t>
  </si>
  <si>
    <t>BOYACA</t>
  </si>
  <si>
    <t>TUNJA</t>
  </si>
  <si>
    <t>EPS037</t>
  </si>
  <si>
    <t>NUEVA EPS S.A.</t>
  </si>
  <si>
    <t>LA GUAJIRA</t>
  </si>
  <si>
    <t>ALBANIA</t>
  </si>
  <si>
    <t>70 a 75</t>
  </si>
  <si>
    <t>EAS027</t>
  </si>
  <si>
    <t>FONDO PASIVO SOCIAL DE LOS FERROCARRILES NACIONALES</t>
  </si>
  <si>
    <t>CAUCA</t>
  </si>
  <si>
    <t>POPAYAN</t>
  </si>
  <si>
    <t>ADICIONAL</t>
  </si>
  <si>
    <t>VALLE</t>
  </si>
  <si>
    <t>PALMIRA</t>
  </si>
  <si>
    <t>EPS044</t>
  </si>
  <si>
    <t>MEDIMAS EPS S.A.S.</t>
  </si>
  <si>
    <t>HUILA</t>
  </si>
  <si>
    <t>PAICOL</t>
  </si>
  <si>
    <t>CUNDINAMARCA</t>
  </si>
  <si>
    <t>PARATEBUENO</t>
  </si>
  <si>
    <t>60 a 65</t>
  </si>
  <si>
    <t>ESSC62</t>
  </si>
  <si>
    <t>ASMET SALUD EPS S.A.S. -CM</t>
  </si>
  <si>
    <t>YUMBO</t>
  </si>
  <si>
    <t>DISCAPACIDAD</t>
  </si>
  <si>
    <t>BARANOA</t>
  </si>
  <si>
    <t>ANTIOQUIA</t>
  </si>
  <si>
    <t>ZARAGOZA</t>
  </si>
  <si>
    <t>NORTE DE SANTANDER</t>
  </si>
  <si>
    <t>LA ESPERANZA</t>
  </si>
  <si>
    <t>1 a 5</t>
  </si>
  <si>
    <t>EPSC22</t>
  </si>
  <si>
    <t>ENTIDAD PROMOTORA DE SALUD DEL REGIMEN SUBSIDIADO EPS CONVIDA -CM</t>
  </si>
  <si>
    <t>ZIPAQUIRA</t>
  </si>
  <si>
    <t>&gt; 75</t>
  </si>
  <si>
    <t>TOLIMA</t>
  </si>
  <si>
    <t>LERIDA</t>
  </si>
  <si>
    <t>CHIQUINQUIRA</t>
  </si>
  <si>
    <t>CCFC24</t>
  </si>
  <si>
    <t>CAJA DE COMPENSACIÓN FAMILIAR DEL HUILA "COMFAMILIAR" -CM</t>
  </si>
  <si>
    <t>UMBITA</t>
  </si>
  <si>
    <t>&lt; 1</t>
  </si>
  <si>
    <t>SANTANDER</t>
  </si>
  <si>
    <t>FLORIDABLANCA</t>
  </si>
  <si>
    <t>RISARALDA</t>
  </si>
  <si>
    <t>SANTUARIO</t>
  </si>
  <si>
    <t>ESSC07</t>
  </si>
  <si>
    <t>ASOCIACION MUTUAL SER EMPRESA SOLIDARIA DE SALUD ENTIDAD PROMOTORA DE SALUD - MUTUAL SER EPS -CM</t>
  </si>
  <si>
    <t>BOLIVAR</t>
  </si>
  <si>
    <t>HATILLO DE LOBA</t>
  </si>
  <si>
    <t>TURBANA</t>
  </si>
  <si>
    <t>CORDOBA</t>
  </si>
  <si>
    <t>SAHAGUN</t>
  </si>
  <si>
    <t>45 a 50</t>
  </si>
  <si>
    <t>EPS048</t>
  </si>
  <si>
    <t>ASOCIACION MUTUAL SER EMPRESA SOLIDARIA DE SALUD ENTIDAD PROMOTORA DE SALUD - MUTUAL SER EPS</t>
  </si>
  <si>
    <t>MONTERIA</t>
  </si>
  <si>
    <t>SATIVASUR</t>
  </si>
  <si>
    <t>CCFC23</t>
  </si>
  <si>
    <t>CAJA DE COMPENSACIÓN FAMILIAR DE LA GUAJIRA "COMFAGUAJIRA" -CM</t>
  </si>
  <si>
    <t>URUMITA</t>
  </si>
  <si>
    <t>5 a 15</t>
  </si>
  <si>
    <t>FOSCA</t>
  </si>
  <si>
    <t>65 a 70</t>
  </si>
  <si>
    <t>IBAGUE</t>
  </si>
  <si>
    <t>EPSIC6</t>
  </si>
  <si>
    <t>PIJAOS SALUD EPSI -CM</t>
  </si>
  <si>
    <t>PEREIRA</t>
  </si>
  <si>
    <t>SUCRE</t>
  </si>
  <si>
    <t>SINCELEJO</t>
  </si>
  <si>
    <t>CAQUETA</t>
  </si>
  <si>
    <t>EL PAUJIL</t>
  </si>
  <si>
    <t>EL DOVIO</t>
  </si>
  <si>
    <t>ESSC24</t>
  </si>
  <si>
    <t>COOSALUD EPS S.A. -CM</t>
  </si>
  <si>
    <t>TOCAIMA</t>
  </si>
  <si>
    <t>EL MOLINO</t>
  </si>
  <si>
    <t>SAN VICENTE DEL CAGUAN</t>
  </si>
  <si>
    <t>EPS045</t>
  </si>
  <si>
    <t>MEDIMAS EPS S.A.S. -CM</t>
  </si>
  <si>
    <t>MARIQUITA</t>
  </si>
  <si>
    <t>GUADALUPE</t>
  </si>
  <si>
    <t>SAN ONOFRE</t>
  </si>
  <si>
    <t>EPS010</t>
  </si>
  <si>
    <t>EPS SURAMERICANA S.A.</t>
  </si>
  <si>
    <t>PUTUMAYO</t>
  </si>
  <si>
    <t>PUERTO ASIS</t>
  </si>
  <si>
    <t>PAMPLONA</t>
  </si>
  <si>
    <t>EPS005</t>
  </si>
  <si>
    <t>ENTIDAD PROMOTORA DE SALUD SANITAS S.A.S.</t>
  </si>
  <si>
    <t>FLORENCIA</t>
  </si>
  <si>
    <t>TELLO</t>
  </si>
  <si>
    <t>SAN JOSE DE LA MONTANA</t>
  </si>
  <si>
    <t>EPS018</t>
  </si>
  <si>
    <t>ENTIDAD PROMOTORA DE SALUD SERVICIO OCCIDENTAL DE SALUD S.A. S.O.S.</t>
  </si>
  <si>
    <t>SAN ANTONIO</t>
  </si>
  <si>
    <t>CASANARE</t>
  </si>
  <si>
    <t>NUNCHIA</t>
  </si>
  <si>
    <t>ARJONA</t>
  </si>
  <si>
    <t>CERETE</t>
  </si>
  <si>
    <t>EPS008</t>
  </si>
  <si>
    <t>CAJA DE COMPENSACIÓN FAMILIAR COMPENSAR</t>
  </si>
  <si>
    <t>JAMUNDI</t>
  </si>
  <si>
    <t>MIRAFLORES</t>
  </si>
  <si>
    <t>BOJACA</t>
  </si>
  <si>
    <t>TULUA</t>
  </si>
  <si>
    <t>GUAVIARE</t>
  </si>
  <si>
    <t>SAN JOSE DEL GUAVIARE</t>
  </si>
  <si>
    <t>URRAO</t>
  </si>
  <si>
    <t>PAIME</t>
  </si>
  <si>
    <t>HONDA</t>
  </si>
  <si>
    <t>REPELON</t>
  </si>
  <si>
    <t>EPS041</t>
  </si>
  <si>
    <t>NUEVA EPS S.A. -CM</t>
  </si>
  <si>
    <t>SAN LUIS DE PALENQUE</t>
  </si>
  <si>
    <t>EPSIC3</t>
  </si>
  <si>
    <t>ASOCIACIÓN INDÍGENA DEL CAUCA A.I.C. EPSI -CM</t>
  </si>
  <si>
    <t>CHOCO</t>
  </si>
  <si>
    <t>RIOSUCIO</t>
  </si>
  <si>
    <t>QUINDIO</t>
  </si>
  <si>
    <t>CIRCASIA</t>
  </si>
  <si>
    <t>PURIFICACION</t>
  </si>
  <si>
    <t>MEDELLIN</t>
  </si>
  <si>
    <t>BOGOTA D.C.</t>
  </si>
  <si>
    <t>CESAR</t>
  </si>
  <si>
    <t>VALLEDUPAR</t>
  </si>
  <si>
    <t>YARUMAL</t>
  </si>
  <si>
    <t>MELGAR</t>
  </si>
  <si>
    <t>CUCUTA</t>
  </si>
  <si>
    <t>EPS040</t>
  </si>
  <si>
    <t>ALIANZA MEDELLIN ANTIOQUIA EPS S.A.S. "SAVIA SALUD EPS" -CM</t>
  </si>
  <si>
    <t>TURBO</t>
  </si>
  <si>
    <t>GIRON</t>
  </si>
  <si>
    <t>AIPE</t>
  </si>
  <si>
    <t>PUEBLO NUEVO</t>
  </si>
  <si>
    <t>SIBUNDOY</t>
  </si>
  <si>
    <t>ESSC18</t>
  </si>
  <si>
    <t>EMSSANAR S.A.S. -CM</t>
  </si>
  <si>
    <t>GINEBRA</t>
  </si>
  <si>
    <t>SUESCA</t>
  </si>
  <si>
    <t>SANTA MARTA</t>
  </si>
  <si>
    <t>CACERES</t>
  </si>
  <si>
    <t>EL RETEN</t>
  </si>
  <si>
    <t>ORTEGA</t>
  </si>
  <si>
    <t>SIBATE</t>
  </si>
  <si>
    <t>BARRANQUILLA</t>
  </si>
  <si>
    <t>PUERTO LOPEZ</t>
  </si>
  <si>
    <t>MADRID</t>
  </si>
  <si>
    <t>DUITAMA</t>
  </si>
  <si>
    <t>BARBOSA</t>
  </si>
  <si>
    <t>SITIONUEVO</t>
  </si>
  <si>
    <t>TOCANCIPA</t>
  </si>
  <si>
    <t>PALMAR DE VARELA</t>
  </si>
  <si>
    <t>EL CASTILLO</t>
  </si>
  <si>
    <t>TENJO</t>
  </si>
  <si>
    <t>EL CARMEN DE BOLIVAR</t>
  </si>
  <si>
    <t>RESTREPO</t>
  </si>
  <si>
    <t>ESSC91</t>
  </si>
  <si>
    <t>ECOOPSOS EPS SAS -CM</t>
  </si>
  <si>
    <t>TESALIA</t>
  </si>
  <si>
    <t>TARSO</t>
  </si>
  <si>
    <t>CUADRO DE VENTAS POR VENDEDOR</t>
  </si>
  <si>
    <t>MEDIANTE FUNCIONES HALLAR</t>
  </si>
  <si>
    <t>CODIGO VENDEDOR</t>
  </si>
  <si>
    <t>FECHA</t>
  </si>
  <si>
    <t>FACTURA</t>
  </si>
  <si>
    <t>VALOR VENTA</t>
  </si>
  <si>
    <t>CODIGO CLIENTE</t>
  </si>
  <si>
    <t>ZONA</t>
  </si>
  <si>
    <t>FUNCION</t>
  </si>
  <si>
    <t>REALIZAR</t>
  </si>
  <si>
    <t>RESULTADO</t>
  </si>
  <si>
    <t xml:space="preserve">RESUELVA LOS ITEMS DE ESTE CUADRO, RECUERDE ANEXAR AL LADO IZQUIERO LA FUNCIÓN QUE UTILIZO Y LA FÓRMULA EN LA COLUMNA RESULTADO </t>
  </si>
  <si>
    <t>Pepito</t>
  </si>
  <si>
    <t>Numero total de ventas</t>
  </si>
  <si>
    <t>Numero total de Productos vendidos</t>
  </si>
  <si>
    <t>Luis</t>
  </si>
  <si>
    <t>Numero total de facturas</t>
  </si>
  <si>
    <t>Zoila</t>
  </si>
  <si>
    <t>Numero de ventas del vendedor 01</t>
  </si>
  <si>
    <t>Numero de ventas del vendedor 02</t>
  </si>
  <si>
    <t>Troilo</t>
  </si>
  <si>
    <t>Numero de ventas del vendedor 03</t>
  </si>
  <si>
    <t xml:space="preserve">Apoyo                                                               1. Seleccione cualquier celda.                                        2. Oprima control + B                                                              3.  Cambie a reemplazar y en la casilla buscar coloque (,) y en reemplazar (.)    4. Genial, ¡¡¡resuelve!!!                                               </t>
  </si>
  <si>
    <t>Numero de compras del cliente 5090</t>
  </si>
  <si>
    <t>Troila</t>
  </si>
  <si>
    <t>Numero de Ventas del Producto 1040</t>
  </si>
  <si>
    <t>Zeus</t>
  </si>
  <si>
    <t>Numero de Ventas del 1 de Marzo</t>
  </si>
  <si>
    <t>Mier</t>
  </si>
  <si>
    <t>Total de Ventas del Vendedor 01</t>
  </si>
  <si>
    <t>Zacarias</t>
  </si>
  <si>
    <t>Total de Compras del Cliente 4010</t>
  </si>
  <si>
    <t>Total de Ventas del 3 de Marzo</t>
  </si>
  <si>
    <t>Total de Ventas</t>
  </si>
  <si>
    <t>Promedio de Total de Ventas</t>
  </si>
  <si>
    <t>Promedio de Ventas del Vendedor 01</t>
  </si>
  <si>
    <t>Promedio de Ventas del Vendedor 02</t>
  </si>
  <si>
    <t>Promedio de Ventas del Vendedor 03</t>
  </si>
  <si>
    <t>Mayor Venta del Vendedor 03</t>
  </si>
  <si>
    <t>Menor Venta del Vendedor 01</t>
  </si>
  <si>
    <t>valor venta mayor a 2,000.000 y de nombre Troilo</t>
  </si>
  <si>
    <t>valor venta menor a 5,000.000 y de zona 2</t>
  </si>
  <si>
    <t>Fecha,CÃ³digo de Producto,Producto,CategorÃ­a,Cantidad de unidades,Precio unitario,Monto total</t>
  </si>
  <si>
    <t>07/04/24,5001,Bicicleta de montaÃ±a,Deportes y actividades al aire libre,25,1000,25000</t>
  </si>
  <si>
    <t>10/04/24,3002,Aspiradora robot,Hogar y jardÃ­n,15,300,4500</t>
  </si>
  <si>
    <t>12/04/24,1003,Auriculares inalÃ¡mbricos,ElectrÃ³nica y tecnologÃ­a,10,200,2000</t>
  </si>
  <si>
    <t>14/04/24,2005,Gafas de sol,Moda y accesorios,20,200,4000</t>
  </si>
  <si>
    <t>17/04/24,1001,TelÃ©fono inteligente,ElectrÃ³nica y tecnologÃ­a,30,800,24000</t>
  </si>
  <si>
    <t>19/04/24,2004,Reloj de pulsera,Moda y accesorios,5,500,2500</t>
  </si>
  <si>
    <t>22/04/24,4003,Perfume para mujer,Belleza y cuidado personal,8,80,640</t>
  </si>
  <si>
    <t>25/04/24,1002,Computadora portÃ¡til,ElectrÃ³nica y tecnologÃ­a,12,1200,14400</t>
  </si>
  <si>
    <t>28/04/24,3004,LÃ¡mpara de pie,Hogar y jardÃ­n,7,80,560</t>
  </si>
  <si>
    <t>01/05/24,2003,Bolso de cuero,Moda y accesorios,3,250,750</t>
  </si>
  <si>
    <t>03/05/24,4005,Cepillo de dientes elÃ©ctrico,Belleza y cuidado personal,6,70,420</t>
  </si>
  <si>
    <t>06/05/24,5003,Kayak inflable,Deportes y actividades al aire libre,4,300,1200</t>
  </si>
  <si>
    <t>09/05/24,3001,SofÃ¡ seccional,Hogar y jardÃ­n,2,1000,2000</t>
  </si>
  <si>
    <t>12/05/24,1004,Smart TV,ElectrÃ³nica y tecnologÃ­a,9,1500,13500</t>
  </si>
  <si>
    <t>15/05/24,2002,Zapatillas deportivas,Moda y accesorios,18,120,2160</t>
  </si>
  <si>
    <t>18/05/24,5005,Tabla de surf,Deportes y actividades al aire libre,3,500,1500</t>
  </si>
  <si>
    <t>02/04/24,2001,Vestido de noche,Moda y accesorios,4,150,600</t>
  </si>
  <si>
    <t>04/04/24,1005,Consola de videojuegos,ElectrÃ³nica y tecnologÃ­a,18,500,9000</t>
  </si>
  <si>
    <t>06/04/24,4002,Paleta de sombras de ojos,Belleza y cuidado personal,9,50,450</t>
  </si>
  <si>
    <t>08/04/24,3003,Juego de cuchillos de cocina,Hogar y jardÃ­n,6,150,900</t>
  </si>
  <si>
    <t>11/04/24,5002,Tienda de campaÃ±a,Deportes y actividades al aire libre,10,150,1500</t>
  </si>
  <si>
    <t>13/04/24,4004,Secador de cabello profesional,Belleza y cuidado personal,12,100,1200</t>
  </si>
  <si>
    <t>15/04/24,2002,Zapatillas deportivas,Moda y accesorios,15,120,1800</t>
  </si>
  <si>
    <t>18/04/24,3005,Conjunto de muebles de jardÃ­n,Hogar y jardÃ­n,3,800,2400</t>
  </si>
  <si>
    <t>20/04/24,5004,Raqueta de tenis,Deportes y actividades al aire libre,7,100,700</t>
  </si>
  <si>
    <t>23/04/24,1003,Auriculares inalÃ¡mbricos,ElectrÃ³nica y tecnologÃ­a,22,200,4400</t>
  </si>
  <si>
    <t>26/04/24,2004,Reloj de pulsera,Moda y accesorios,8,500,4000</t>
  </si>
  <si>
    <t>29/04/24,4001,Crema hidratante facial,Belleza y cuidado personal,14,40,560</t>
  </si>
  <si>
    <t>02/05/24,1001,TelÃ©fono inteligente,ElectrÃ³nica y tecnologÃ­a,28,800,22400</t>
  </si>
  <si>
    <t>05/05/24,3004,LÃ¡mpara de pie,Hogar y jardÃ­n,5,80,400</t>
  </si>
  <si>
    <t>08/05/24,5001,Bicicleta de montaÃ±a,Deportes y actividades al aire libre,35,1000,35000</t>
  </si>
  <si>
    <t>11/05/24,4003,Perfume para mujer,Belleza y cuidado personal,10,80,800</t>
  </si>
  <si>
    <t>14/05/24,1002,Computadora portÃ¡til,ElectrÃ³nica y tecnologÃ­a,16,1200,19200</t>
  </si>
  <si>
    <t>17/05/24,2005,Gafas de sol,Moda y accesorios,25,200,5000</t>
  </si>
  <si>
    <t>20/05/24,3002,Aspiradora robot,Hogar y jardÃ­n,20,300,6000</t>
  </si>
  <si>
    <t>23/05/24,5003,Kayak inflable,Deportes y actividades al aire libre,6,300,1800</t>
  </si>
  <si>
    <t>26/05/24,2001,Vestido de noche,Moda y accesorios,3,150,450</t>
  </si>
  <si>
    <t>29/05/24,1005,Consola de videojuegos,ElectrÃ³nica y tecnologÃ­a,15,500,7500</t>
  </si>
  <si>
    <t>01/06/24,4002,Paleta de sombras de ojos,Belleza y cuidado personal,8,50,400</t>
  </si>
  <si>
    <t>04/06/24,3003,Juego de cuchillos de cocina,Hogar y jardÃ­n,7,150,1050</t>
  </si>
  <si>
    <t>07/06/24,5002,Tienda de campaÃ±a,Deportes y actividades al aire libre,12,150,1800</t>
  </si>
  <si>
    <t>10/06/24,4004,Secador de cabello profesional,Belleza y cuidado personal,10,100,1000</t>
  </si>
  <si>
    <t>13/06/24,2002,Zapatillas deportivas,Moda y accesorios,20,120,2400</t>
  </si>
  <si>
    <t>16/06/24,3005,Conjunto de muebles de jardÃ­n,Hogar y jardÃ­n,4,800,3200</t>
  </si>
  <si>
    <t>19/06/24,5004,Raqueta de tenis,Deportes y actividades al aire libre,6,100,600</t>
  </si>
  <si>
    <t>22/06/24,1003,Auriculares inalÃ¡mbricos,ElectrÃ³nica y tecnologÃ­a,25,200,5000</t>
  </si>
  <si>
    <t>25/06/24,2004,Reloj de pulsera,Moda y accesorios,6,500,3000</t>
  </si>
  <si>
    <t>28/06/24,4001,Crema hidratante facial,Belleza y cuidado personal,12,40,480</t>
  </si>
  <si>
    <t>02/07/24,1001,TelÃ©fono inteligente,ElectrÃ³nica y tecnologÃ­a,30,800,24000</t>
  </si>
  <si>
    <t>05/07/24,3004,LÃ¡mpara de pie,Hogar y jardÃ­n,5,80,400</t>
  </si>
  <si>
    <t>08/07/24,5001,Bicicleta de montaÃ±a,Deportes y actividades al aire libre,28,1000,28000</t>
  </si>
  <si>
    <t>11/07/24,4003,Perfume para mujer,Belleza y cuidado personal,8,80,640</t>
  </si>
  <si>
    <t>14/07/24,1002,Computadora portÃ¡til,ElectrÃ³nica y tecnologÃ­a,20,1200,24000</t>
  </si>
  <si>
    <t>17/07/24,2005,Gafas de sol,Moda y accesorios,30,200,6000</t>
  </si>
  <si>
    <t>20/07/24,3002,Aspiradora robot,Hogar y jardÃ­n,18,300,5400</t>
  </si>
  <si>
    <t>23/07/24,5003,Kayak inflable,Deportes y actividades al aire libre,4,300,1200</t>
  </si>
  <si>
    <t>26/07/24,2003,Bolso de cuero,Moda y accesorios,5,250,1250</t>
  </si>
  <si>
    <t>29/07/24,1005,Consola de videojuegos,ElectrÃ³nica y tecnologÃ­a,20,500,10000</t>
  </si>
  <si>
    <t>01/08/24,4002,Paleta de sombras de ojos,Belleza y cuidado personal,10,50,500</t>
  </si>
  <si>
    <t>04/08/24,3003,Juego de cuchillos de cocina,Hogar y jardÃ­n,8,150,1200</t>
  </si>
  <si>
    <t>07/08/24,5002,Tienda de campaÃ±a,Deportes y actividades al aire libre,15,150,2250</t>
  </si>
  <si>
    <t>10/08/24,4004,Secador de cabello profesional,Belleza y cuidado personal,15,100,1500</t>
  </si>
  <si>
    <t>13/08/24,2002,Zapatillas deportivas,Moda y accesorios,25,120,3000</t>
  </si>
  <si>
    <t>16/08/24,3005,Conjunto de muebles de jardÃ­n,Hogar y jardÃ­n,5,800,4000</t>
  </si>
  <si>
    <t>19/08/24,5004,Raqueta de tenis,Deportes y actividades al aire libre,8,100,800</t>
  </si>
  <si>
    <t>22/08/24,1003,Auriculares inalÃ¡mbricos,ElectrÃ³nica y tecnologÃ­a,30,200,6000</t>
  </si>
  <si>
    <t>25/08/24,2004,Reloj de pulsera,Moda y accesorios,10,500,5000</t>
  </si>
  <si>
    <t>28/08/24,4001,Crema hidratante facial,Belleza y cuidado personal,12,40,480</t>
  </si>
  <si>
    <t>31/08/24,1001,TelÃ©fono inteligente,ElectrÃ³nica y tecnologÃ­a,35,800,28000</t>
  </si>
  <si>
    <t>03/09/24,3004,LÃ¡mpara de pie,Hogar y jardÃ­n,6,80,480</t>
  </si>
  <si>
    <t>06/09/24,5001,Bicicleta de montaÃ±a,Deportes y actividades al aire libre,40,1000,40000</t>
  </si>
  <si>
    <t>09/09/24,4003,Perfume para mujer,Belleza y cuidado personal,10,80,800</t>
  </si>
  <si>
    <t>12/09/24,1002,Computadora portÃ¡til,ElectrÃ³nica y tecnologÃ­a,25,1200,30000</t>
  </si>
  <si>
    <t>15/09/24,2005,Gafas de sol,Moda y accesorios,35,200,7000</t>
  </si>
  <si>
    <t>18/09/24,3002,Aspiradora robot,Hogar y jardÃ­n,20,300,6000</t>
  </si>
  <si>
    <t>21/09/24,5003,Kayak inflable,Deportes y actividades al aire libre,5,300,1500</t>
  </si>
  <si>
    <t>07/05/24,2001,Vestido de noche,Moda y accesorios,3,150,450</t>
  </si>
  <si>
    <t>12/05/24,1005,Consola de videojuegos,ElectrÃ³nica y tecnologÃ­a,18,500,9000</t>
  </si>
  <si>
    <t>19/05/24,4002,Paleta de sombras de ojos,Belleza y cuidado personal,9,50,450</t>
  </si>
  <si>
    <t>24/05/24,3003,Juego de cuchillos de cocina,Hogar y jardÃ­n,6,150,900</t>
  </si>
  <si>
    <t>02/06/24,5002,Tienda de campaÃ±a,Deportes y actividades al aire libre,10,150,1500</t>
  </si>
  <si>
    <t>08/06/24,4004,Secador de cabello profesional,Belleza y cuidado personal,12,100,1200</t>
  </si>
  <si>
    <t>13/06/24,2002,Zapatillas deportivas,Moda y accesorios,15,120,1800</t>
  </si>
  <si>
    <t>19/06/24,3005,Conjunto de muebles de jardÃ­n,Hogar y jardÃ­n,3,800,2400</t>
  </si>
  <si>
    <t>26/06/24,5004,Raqueta de tenis,Deportes y actividades al aire libre,7,100,700</t>
  </si>
  <si>
    <t>03/07/24,1003,Auriculares inalÃ¡mbricos,ElectrÃ³nica y tecnologÃ­a,22,200,4400</t>
  </si>
  <si>
    <t>09/07/24,2004,Reloj de pulsera,Moda y accesorios,8,500,4000</t>
  </si>
  <si>
    <t>15/07/24,4001,Crema hidratante facial,Belleza y cuidado personal,14,40,560</t>
  </si>
  <si>
    <t>21/07/24,1001,TelÃ©fono inteligente,ElectrÃ³nica y tecnologÃ­a,28,800,22400</t>
  </si>
  <si>
    <t>26/07/24,3004,LÃ¡mpara de pie,Hogar y jardÃ­n,5,80,400</t>
  </si>
  <si>
    <t>02/08/24,5001,Bicicleta de montaÃ±a,Deportes y actividades al aire libre,35,1000,35000</t>
  </si>
  <si>
    <t>08/08/24,4003,Perfume para mujer,Belleza y cuidado personal,10,80,800</t>
  </si>
  <si>
    <t>14/08/24,1002,Computadora portÃ¡til,ElectrÃ³nica y tecnologÃ­a,16,1200,19200</t>
  </si>
  <si>
    <t>20/08/24,2005,Gafas de sol,Moda y accesorios,25,200,5000</t>
  </si>
  <si>
    <t>26/08/24,3002,Aspiradora robot,Hogar y jardÃ­n,20,300,6000</t>
  </si>
  <si>
    <t>01/09/24,5003,Kayak inflable,Deportes y actividades al aire libre,6,300,1800</t>
  </si>
  <si>
    <t>09/04/24,3004,LÃ¡mpara de pie,Hogar y jardÃ­n,7,80,560</t>
  </si>
  <si>
    <t>15/04/24,5001,Bicicleta de montaÃ±a,Deportes y actividades al aire libre,40,1000,40000</t>
  </si>
  <si>
    <t>21/04/24,4003,Perfume para mujer,Belleza y cuidado personal,12,80,960</t>
  </si>
  <si>
    <t>26/04/24,1002,Computadora portÃ¡til,ElectrÃ³nica y tecnologÃ­a,20,1200,24000</t>
  </si>
  <si>
    <t>02/05/24,2005,Gafas de sol,Moda y accesorios,30,200,6000</t>
  </si>
  <si>
    <t>08/05/24,3002,Aspiradora robot,Hogar y jardÃ­n,18,300,5400</t>
  </si>
  <si>
    <t>14/05/24,5003,Kayak inflable,Deportes y actividades al aire libre,5,300,1500</t>
  </si>
  <si>
    <t>20/05/24,1001,TelÃ©fono inteligente,ElectrÃ³nica y tecnologÃ­a,35,800,28000</t>
  </si>
  <si>
    <t>26/05/24,2004,Reloj de pulsera,Moda y accesorios,10,500,5000</t>
  </si>
  <si>
    <t>01/06/24,4001,Crema hidratante facial,Belleza y cuidado personal,14,40,560</t>
  </si>
  <si>
    <t>07/06/24,1005,Consola de videojuegos,ElectrÃ³nica y tecnologÃ­a,20,500,10000</t>
  </si>
  <si>
    <t>13/06/24,2001,Vestido de noche,Moda y accesorios,3,150,450</t>
  </si>
  <si>
    <t>19/06/24,3003,Juego de cuchillos de cocina,Hogar y jardÃ­n,8,150,1200</t>
  </si>
  <si>
    <t>24/06/24,5002,Tienda de campaÃ±a,Deportes y actividades al aire libre,15,150,2250</t>
  </si>
  <si>
    <t>30/06/24,4004,Secador de cabello profesional,Belleza y cuidado personal,15,100,1500</t>
  </si>
  <si>
    <t>06/07/24,2002,Zapatillas deportivas,Moda y accesorios,25,120,3000</t>
  </si>
  <si>
    <t>12/07/24,3005,Conjunto de muebles de jardÃ­n,Hogar y jardÃ­n,5,800,4000</t>
  </si>
  <si>
    <t>17/07/24,5004,Raqueta de tenis,Deportes y actividades al aire libre,8,100,800</t>
  </si>
  <si>
    <t>23/07/24,1003,Auriculares inalÃ¡mbricos,ElectrÃ³nica y tecnologÃ­a,30,200,6000</t>
  </si>
  <si>
    <t>29/07/24,2005,Gafas de sol,Moda y accesorios,15,200,3000</t>
  </si>
  <si>
    <t>04/08/24,4002,Paleta de sombras de ojos,Belleza y cuidado personal,9,50,450</t>
  </si>
  <si>
    <t>10/08/24,5003,Kayak inflable,Deportes y actividades al aire libre,6,300,1800</t>
  </si>
  <si>
    <t>16/08/24,1002,Computadora portÃ¡til,ElectrÃ³nica y tecnologÃ­a,25,1200,30000</t>
  </si>
  <si>
    <t>22/08/24,2003,Bolso de cuero,Moda y accesorios,5,250,1250</t>
  </si>
  <si>
    <t>03/04/24,2004,Reloj de pulsera,Moda y accesorios,5,500,2500</t>
  </si>
  <si>
    <t>09/04/24,3003,Juego de cuchillos de cocina,Hogar y jardÃ­n,6,150,900</t>
  </si>
  <si>
    <t>15/04/24,5002,Tienda de campaÃ±a,Deportes y actividades al aire libre,10,150,1500</t>
  </si>
  <si>
    <t>21/04/24,4004,Secador de cabello profesional,Belleza y cuidado personal,12,100,1200</t>
  </si>
  <si>
    <t>27/04/24,1003,Auriculares inalÃ¡mbricos,ElectrÃ³nica y tecnologÃ­a,22,200,4400</t>
  </si>
  <si>
    <t>03/05/24,2005,Gafas de sol,Moda y accesorios,20,200,4000</t>
  </si>
  <si>
    <t>09/05/24,3002,Aspiradora robot,Hogar y jardÃ­n,15,300,4500</t>
  </si>
  <si>
    <t>15/05/24,5003,Kayak inflable,Deportes y actividades al aire libre,4,300,1200</t>
  </si>
  <si>
    <t>21/05/24,1001,TelÃ©fono inteligente,ElectrÃ³nica y tecnologÃ­a,28,800,22400</t>
  </si>
  <si>
    <t>27/05/24,2002,Zapatillas deportivas,Moda y accesorios,18,120,2160</t>
  </si>
  <si>
    <t>02/06/24,3005,Conjunto de muebles de jardÃ­n,Hogar y jardÃ­n,3,800,2400</t>
  </si>
  <si>
    <t>08/06/24,5004,Raqueta de tenis,Deportes y actividades al aire libre,6,100,600</t>
  </si>
  <si>
    <t>14/06/24,1002,Computadora portÃ¡til,ElectrÃ³nica y tecnologÃ­a,16,1200,19200</t>
  </si>
  <si>
    <t>20/06/24,2003,Bolso de cuero,Moda y accesorios,4,250,1000</t>
  </si>
  <si>
    <t>26/06/24,3004,LÃ¡mpara de pie,Hogar y jardÃ­n,7,80,560</t>
  </si>
  <si>
    <t>02/07/24,5001,Bicicleta de montaÃ±a,Deportes y actividades al aire libre,30,1000,30000</t>
  </si>
  <si>
    <t>08/07/24,4003,Perfume para mujer,Belleza y cuidado personal,10,80,800</t>
  </si>
  <si>
    <t>14/07/24,1005,Consola de videojuegos,ElectrÃ³nica y tecnologÃ­a,18,500,9000</t>
  </si>
  <si>
    <t>20/07/24,2001,Vestido de noche,Moda y accesorios,3,150,450</t>
  </si>
  <si>
    <t>26/07/24,3003,Juego de cuchillos de cocina,Hogar y jardÃ­n,6,150,900</t>
  </si>
  <si>
    <t>01/08/24,5002,Tienda de campaÃ±a,Deportes y actividades al aire libre,10,150,1500</t>
  </si>
  <si>
    <t>07/08/24,4004,Secador de cabello profesional,Belleza y cuidado personal,12,100,1200</t>
  </si>
  <si>
    <t>13/08/24,1003,Auriculares inalÃ¡mbricos,ElectrÃ³nica y tecnologÃ­a,22,200,4400</t>
  </si>
  <si>
    <t>19/08/24,2005,Gafas de sol,Moda y accesorios,20,200,4000</t>
  </si>
  <si>
    <t>¿Que hago si me dan asi los datos?</t>
  </si>
  <si>
    <t>Promedio total de Salsas dulces y picantes y Granos/Cereales</t>
  </si>
  <si>
    <t>Valor total de bebidas y Lácteos</t>
  </si>
  <si>
    <t>El valor más pequeño en Lácteos</t>
  </si>
  <si>
    <t xml:space="preserve">Valor total de Facturas superior a 10.000 </t>
  </si>
  <si>
    <t>Cantidad de ventas de Pescado/Marisco</t>
  </si>
  <si>
    <t>Valor más alto de Exotic Liquids</t>
  </si>
  <si>
    <t>Promedio de ventas  en bebidas</t>
  </si>
  <si>
    <t>Comando</t>
  </si>
  <si>
    <t>Valor</t>
  </si>
  <si>
    <t>Requerimiento</t>
  </si>
  <si>
    <t>Mediante la metodología de filtrado hallar:</t>
  </si>
  <si>
    <t>https://drive.google.com/file/d/1j0aOi-AmYBeyr-WYECQehM8BvqNcL_fX/view</t>
  </si>
  <si>
    <t>Apoyo:</t>
  </si>
  <si>
    <t>Sume las ventas del mes de Enero</t>
  </si>
  <si>
    <t>Sume las ventas del mes de Febrero</t>
  </si>
  <si>
    <t>Sume las ventas del mes de Marzo</t>
  </si>
  <si>
    <t>Promedio de las ventas del Almacen B</t>
  </si>
  <si>
    <t>Numero de ventas del mes de Almacen C</t>
  </si>
  <si>
    <t>Venta más alta las ventas del mes de Abril del almacen B</t>
  </si>
  <si>
    <t>Sume las ventas de Julio Cesar en el Almacen C</t>
  </si>
  <si>
    <t>Promedio de ventas de Juan Miguel en el Almacen B</t>
  </si>
  <si>
    <t>Sume las ventas superiores a 25000</t>
  </si>
  <si>
    <t>=PROMEDIO.SI</t>
  </si>
  <si>
    <t>=MAX.SI.CONJUNTO</t>
  </si>
  <si>
    <t>=SUMAR.SI</t>
  </si>
  <si>
    <t>=MIN.SI.CONJUNTO</t>
  </si>
  <si>
    <t>2 sumar.si</t>
  </si>
  <si>
    <t>2 promedio.si</t>
  </si>
  <si>
    <t>=contar</t>
  </si>
  <si>
    <t>=suma</t>
  </si>
  <si>
    <t>=sumar.si</t>
  </si>
  <si>
    <t>=contar.si</t>
  </si>
  <si>
    <t>=promedio</t>
  </si>
  <si>
    <t>=promedio.si</t>
  </si>
  <si>
    <t>=max.si.conjunto</t>
  </si>
  <si>
    <t>=min.si.conjunto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</si>
</sst>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0.0"/>
    <numFmt numFmtId="165" formatCode="_-&quot;$&quot;* #,##0.00_-;\-&quot;$&quot;* #,##0.00_-;_-&quot;$&quot;* &quot;-&quot;??_-;_-@"/>
    <numFmt numFmtId="166" formatCode="&quot;$&quot;\ #,##0.00"/>
  </numFmts>
  <fonts count="3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4"/>
      <color theme="1"/>
      <name val="Calibri"/>
      <family val="2"/>
    </font>
    <font>
      <b/>
      <sz val="14"/>
      <color rgb="FFFFFFFF"/>
      <name val="Calibri"/>
      <family val="2"/>
    </font>
    <font>
      <sz val="14"/>
      <color rgb="FF000000"/>
      <name val="Calibri"/>
      <family val="2"/>
    </font>
    <font>
      <i/>
      <sz val="14"/>
      <color theme="1"/>
      <name val="Calibri"/>
      <family val="2"/>
    </font>
    <font>
      <sz val="11"/>
      <color theme="4"/>
      <name val="Calibri"/>
      <family val="2"/>
    </font>
    <font>
      <b/>
      <sz val="14"/>
      <color rgb="FF000000"/>
      <name val="Calibri"/>
      <family val="2"/>
    </font>
    <font>
      <b/>
      <sz val="14"/>
      <color rgb="FFFF9900"/>
      <name val="Calibri"/>
      <family val="2"/>
    </font>
    <font>
      <b/>
      <sz val="14"/>
      <color rgb="FF0000FF"/>
      <name val="Calibri"/>
      <family val="2"/>
    </font>
    <font>
      <b/>
      <sz val="14"/>
      <color theme="0"/>
      <name val="Calibri"/>
      <family val="2"/>
    </font>
    <font>
      <b/>
      <sz val="14"/>
      <color rgb="FF00FF00"/>
      <name val="Calibri"/>
      <family val="2"/>
    </font>
    <font>
      <sz val="14"/>
      <color rgb="FFFFFFFF"/>
      <name val="Calibri"/>
      <family val="2"/>
    </font>
    <font>
      <sz val="10"/>
      <color theme="1"/>
      <name val="Arial"/>
      <family val="2"/>
    </font>
    <font>
      <b/>
      <sz val="12"/>
      <color rgb="FFFFFFFF"/>
      <name val="Arial"/>
      <family val="2"/>
    </font>
    <font>
      <sz val="11"/>
      <color rgb="FF00003A"/>
      <name val="Calibri"/>
      <family val="2"/>
      <scheme val="minor"/>
    </font>
    <font>
      <b/>
      <sz val="9"/>
      <color rgb="FF6A6A6A"/>
      <name val="Open Sans"/>
      <family val="2"/>
    </font>
    <font>
      <sz val="9"/>
      <color rgb="FF5E5E5E"/>
      <name val="Open Sans"/>
      <family val="2"/>
    </font>
    <font>
      <sz val="9"/>
      <color rgb="FF2F2F2F"/>
      <name val="Open Sans"/>
      <family val="2"/>
    </font>
    <font>
      <sz val="18"/>
      <color rgb="FFFFFFF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rgb="FF000066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A8D08D"/>
        <bgColor rgb="FFA8D08D"/>
      </patternFill>
    </fill>
    <fill>
      <patternFill patternType="solid">
        <fgColor rgb="FFC5E0B3"/>
        <bgColor rgb="FFC5E0B3"/>
      </patternFill>
    </fill>
    <fill>
      <patternFill patternType="solid">
        <fgColor rgb="FFF4B083"/>
        <bgColor rgb="FFF4B083"/>
      </patternFill>
    </fill>
    <fill>
      <patternFill patternType="solid">
        <fgColor rgb="FFFBE4D5"/>
        <bgColor rgb="FFFBE4D5"/>
      </patternFill>
    </fill>
    <fill>
      <patternFill patternType="solid">
        <fgColor rgb="FF2F5496"/>
        <bgColor rgb="FF2F5496"/>
      </patternFill>
    </fill>
    <fill>
      <patternFill patternType="solid">
        <fgColor rgb="FF7030A0"/>
        <bgColor rgb="FF7030A0"/>
      </patternFill>
    </fill>
    <fill>
      <patternFill patternType="solid">
        <fgColor rgb="FF548135"/>
        <bgColor rgb="FF548135"/>
      </patternFill>
    </fill>
    <fill>
      <patternFill patternType="solid">
        <fgColor rgb="FFFFD965"/>
        <bgColor rgb="FFFFD965"/>
      </patternFill>
    </fill>
    <fill>
      <patternFill patternType="solid">
        <fgColor rgb="FFBDD6EE"/>
        <bgColor rgb="FFBDD6EE"/>
      </patternFill>
    </fill>
    <fill>
      <patternFill patternType="solid">
        <fgColor rgb="FFD9D9D9"/>
        <bgColor rgb="FFD9D9D9"/>
      </patternFill>
    </fill>
    <fill>
      <patternFill patternType="solid">
        <fgColor rgb="FF4472C4"/>
        <bgColor rgb="FF4472C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548135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00003A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FF9900"/>
      </left>
      <right/>
      <top style="thick">
        <color rgb="FFFF9900"/>
      </top>
      <bottom style="thick">
        <color rgb="FFFF9900"/>
      </bottom>
      <diagonal/>
    </border>
    <border>
      <left style="thick">
        <color rgb="FF00FF00"/>
      </left>
      <right style="thick">
        <color rgb="FF00FF00"/>
      </right>
      <top style="thick">
        <color rgb="FF00FF00"/>
      </top>
      <bottom style="thick">
        <color rgb="FF00FF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FF"/>
      </left>
      <right style="thick">
        <color rgb="FF0000FF"/>
      </right>
      <top style="thick">
        <color rgb="FF0000FF"/>
      </top>
      <bottom style="thick">
        <color rgb="FF0000F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FFFFF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CCCCCC"/>
      </left>
      <right style="thick">
        <color rgb="FFC8C8C8"/>
      </right>
      <top style="medium">
        <color rgb="FFCCCCCC"/>
      </top>
      <bottom style="thick">
        <color rgb="FFC8C8C8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C8C8C8"/>
      </bottom>
      <diagonal/>
    </border>
    <border>
      <left style="medium">
        <color rgb="FFCCCCCC"/>
      </left>
      <right style="thick">
        <color rgb="FFE4E4E4"/>
      </right>
      <top style="medium">
        <color rgb="FFCCCCCC"/>
      </top>
      <bottom style="thick">
        <color rgb="FFE4E4E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E4E4E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3" fillId="0" borderId="3"/>
    <xf numFmtId="0" fontId="30" fillId="0" borderId="3"/>
    <xf numFmtId="0" fontId="31" fillId="0" borderId="3" applyNumberFormat="0" applyFill="0" applyBorder="0" applyAlignment="0" applyProtection="0"/>
    <xf numFmtId="44" fontId="32" fillId="0" borderId="0" applyFont="0" applyFill="0" applyBorder="0" applyAlignment="0" applyProtection="0"/>
  </cellStyleXfs>
  <cellXfs count="178">
    <xf numFmtId="0" fontId="0" fillId="0" borderId="0" xfId="0"/>
    <xf numFmtId="0" fontId="4" fillId="0" borderId="0" xfId="0" applyFont="1"/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0" fontId="4" fillId="0" borderId="0" xfId="0" applyFont="1" applyAlignment="1">
      <alignment horizontal="center"/>
    </xf>
    <xf numFmtId="0" fontId="7" fillId="0" borderId="0" xfId="0" applyFont="1"/>
    <xf numFmtId="0" fontId="4" fillId="6" borderId="2" xfId="0" applyFont="1" applyFill="1" applyBorder="1" applyAlignment="1">
      <alignment horizontal="center"/>
    </xf>
    <xf numFmtId="0" fontId="4" fillId="7" borderId="2" xfId="0" applyFont="1" applyFill="1" applyBorder="1"/>
    <xf numFmtId="0" fontId="4" fillId="8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right"/>
    </xf>
    <xf numFmtId="0" fontId="4" fillId="12" borderId="2" xfId="0" applyFont="1" applyFill="1" applyBorder="1" applyAlignment="1">
      <alignment horizontal="center"/>
    </xf>
    <xf numFmtId="0" fontId="4" fillId="12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right"/>
    </xf>
    <xf numFmtId="0" fontId="8" fillId="7" borderId="2" xfId="0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/>
    </xf>
    <xf numFmtId="0" fontId="8" fillId="14" borderId="2" xfId="0" applyFont="1" applyFill="1" applyBorder="1" applyAlignment="1">
      <alignment horizontal="left"/>
    </xf>
    <xf numFmtId="0" fontId="8" fillId="14" borderId="11" xfId="0" applyFont="1" applyFill="1" applyBorder="1" applyAlignment="1">
      <alignment horizontal="left"/>
    </xf>
    <xf numFmtId="0" fontId="8" fillId="14" borderId="12" xfId="0" applyFont="1" applyFill="1" applyBorder="1" applyAlignment="1">
      <alignment horizontal="left"/>
    </xf>
    <xf numFmtId="0" fontId="8" fillId="14" borderId="4" xfId="0" applyFont="1" applyFill="1" applyBorder="1" applyAlignment="1">
      <alignment horizontal="left"/>
    </xf>
    <xf numFmtId="0" fontId="9" fillId="0" borderId="0" xfId="0" applyFont="1"/>
    <xf numFmtId="0" fontId="4" fillId="0" borderId="8" xfId="0" applyFont="1" applyBorder="1"/>
    <xf numFmtId="0" fontId="10" fillId="16" borderId="13" xfId="0" applyFont="1" applyFill="1" applyBorder="1" applyAlignment="1">
      <alignment horizontal="center"/>
    </xf>
    <xf numFmtId="0" fontId="10" fillId="16" borderId="2" xfId="0" applyFont="1" applyFill="1" applyBorder="1" applyAlignment="1">
      <alignment horizontal="center"/>
    </xf>
    <xf numFmtId="0" fontId="9" fillId="0" borderId="2" xfId="0" applyFont="1" applyBorder="1"/>
    <xf numFmtId="165" fontId="9" fillId="0" borderId="2" xfId="0" applyNumberFormat="1" applyFont="1" applyBorder="1" applyAlignment="1">
      <alignment horizontal="right"/>
    </xf>
    <xf numFmtId="165" fontId="9" fillId="0" borderId="14" xfId="0" applyNumberFormat="1" applyFont="1" applyBorder="1" applyAlignment="1">
      <alignment horizontal="right"/>
    </xf>
    <xf numFmtId="165" fontId="9" fillId="0" borderId="15" xfId="0" applyNumberFormat="1" applyFont="1" applyBorder="1" applyAlignment="1">
      <alignment horizontal="right"/>
    </xf>
    <xf numFmtId="165" fontId="6" fillId="0" borderId="16" xfId="0" applyNumberFormat="1" applyFont="1" applyBorder="1" applyAlignment="1">
      <alignment horizontal="right"/>
    </xf>
    <xf numFmtId="165" fontId="9" fillId="0" borderId="17" xfId="0" applyNumberFormat="1" applyFont="1" applyBorder="1" applyAlignment="1">
      <alignment horizontal="right"/>
    </xf>
    <xf numFmtId="0" fontId="6" fillId="5" borderId="13" xfId="0" applyFont="1" applyFill="1" applyBorder="1"/>
    <xf numFmtId="10" fontId="9" fillId="0" borderId="18" xfId="0" applyNumberFormat="1" applyFont="1" applyBorder="1" applyAlignment="1">
      <alignment horizontal="right"/>
    </xf>
    <xf numFmtId="0" fontId="9" fillId="0" borderId="1" xfId="0" applyFont="1" applyBorder="1"/>
    <xf numFmtId="0" fontId="4" fillId="0" borderId="1" xfId="0" applyFont="1" applyBorder="1"/>
    <xf numFmtId="0" fontId="12" fillId="0" borderId="0" xfId="0" applyFont="1"/>
    <xf numFmtId="0" fontId="9" fillId="0" borderId="8" xfId="0" applyFont="1" applyBorder="1"/>
    <xf numFmtId="0" fontId="21" fillId="18" borderId="20" xfId="0" applyFont="1" applyFill="1" applyBorder="1" applyAlignment="1">
      <alignment horizontal="center" vertical="center" wrapText="1"/>
    </xf>
    <xf numFmtId="0" fontId="21" fillId="18" borderId="21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wrapText="1"/>
    </xf>
    <xf numFmtId="0" fontId="6" fillId="0" borderId="0" xfId="0" applyFont="1"/>
    <xf numFmtId="0" fontId="0" fillId="0" borderId="26" xfId="0" applyBorder="1"/>
    <xf numFmtId="0" fontId="0" fillId="0" borderId="27" xfId="0" applyBorder="1"/>
    <xf numFmtId="0" fontId="22" fillId="0" borderId="28" xfId="0" applyFont="1" applyBorder="1" applyAlignment="1">
      <alignment horizontal="right" wrapText="1"/>
    </xf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23" fillId="19" borderId="33" xfId="0" applyFont="1" applyFill="1" applyBorder="1" applyAlignment="1">
      <alignment vertical="center" wrapText="1"/>
    </xf>
    <xf numFmtId="0" fontId="23" fillId="19" borderId="34" xfId="0" applyFont="1" applyFill="1" applyBorder="1" applyAlignment="1">
      <alignment vertical="center" wrapText="1"/>
    </xf>
    <xf numFmtId="0" fontId="24" fillId="20" borderId="35" xfId="0" applyFont="1" applyFill="1" applyBorder="1" applyAlignment="1">
      <alignment vertical="center" wrapText="1"/>
    </xf>
    <xf numFmtId="0" fontId="0" fillId="20" borderId="35" xfId="0" applyFill="1" applyBorder="1" applyAlignment="1">
      <alignment vertical="center" wrapText="1"/>
    </xf>
    <xf numFmtId="0" fontId="24" fillId="20" borderId="36" xfId="0" applyFont="1" applyFill="1" applyBorder="1" applyAlignment="1">
      <alignment horizontal="right" vertical="center" wrapText="1"/>
    </xf>
    <xf numFmtId="0" fontId="24" fillId="20" borderId="36" xfId="0" applyFont="1" applyFill="1" applyBorder="1" applyAlignment="1">
      <alignment vertical="center"/>
    </xf>
    <xf numFmtId="3" fontId="24" fillId="20" borderId="36" xfId="0" applyNumberFormat="1" applyFont="1" applyFill="1" applyBorder="1" applyAlignment="1">
      <alignment horizontal="right" vertical="center" wrapText="1"/>
    </xf>
    <xf numFmtId="0" fontId="25" fillId="19" borderId="35" xfId="0" applyFont="1" applyFill="1" applyBorder="1" applyAlignment="1">
      <alignment vertical="center" wrapText="1"/>
    </xf>
    <xf numFmtId="0" fontId="0" fillId="19" borderId="35" xfId="0" applyFill="1" applyBorder="1" applyAlignment="1">
      <alignment vertical="center" wrapText="1"/>
    </xf>
    <xf numFmtId="0" fontId="25" fillId="19" borderId="36" xfId="0" applyFont="1" applyFill="1" applyBorder="1" applyAlignment="1">
      <alignment horizontal="right" vertical="center" wrapText="1"/>
    </xf>
    <xf numFmtId="0" fontId="0" fillId="0" borderId="0" xfId="0" applyAlignment="1">
      <alignment wrapText="1"/>
    </xf>
    <xf numFmtId="0" fontId="28" fillId="22" borderId="40" xfId="0" applyFont="1" applyFill="1" applyBorder="1" applyAlignment="1">
      <alignment horizontal="center" vertical="center" wrapText="1"/>
    </xf>
    <xf numFmtId="0" fontId="28" fillId="22" borderId="41" xfId="0" applyFont="1" applyFill="1" applyBorder="1" applyAlignment="1">
      <alignment horizontal="center" vertical="center" wrapText="1"/>
    </xf>
    <xf numFmtId="0" fontId="0" fillId="0" borderId="42" xfId="0" applyBorder="1" applyAlignment="1">
      <alignment wrapText="1"/>
    </xf>
    <xf numFmtId="0" fontId="29" fillId="21" borderId="41" xfId="0" applyFont="1" applyFill="1" applyBorder="1" applyAlignment="1">
      <alignment horizontal="center" vertical="center" wrapText="1"/>
    </xf>
    <xf numFmtId="0" fontId="22" fillId="0" borderId="40" xfId="0" applyFont="1" applyBorder="1" applyAlignment="1">
      <alignment horizontal="right" wrapText="1"/>
    </xf>
    <xf numFmtId="0" fontId="22" fillId="0" borderId="41" xfId="0" applyFont="1" applyBorder="1" applyAlignment="1">
      <alignment horizontal="right" wrapText="1"/>
    </xf>
    <xf numFmtId="15" fontId="22" fillId="0" borderId="41" xfId="0" applyNumberFormat="1" applyFont="1" applyBorder="1" applyAlignment="1">
      <alignment horizontal="right" wrapText="1"/>
    </xf>
    <xf numFmtId="0" fontId="22" fillId="0" borderId="41" xfId="0" applyFont="1" applyBorder="1" applyAlignment="1">
      <alignment wrapText="1"/>
    </xf>
    <xf numFmtId="0" fontId="0" fillId="0" borderId="41" xfId="0" applyBorder="1" applyAlignment="1">
      <alignment wrapText="1"/>
    </xf>
    <xf numFmtId="0" fontId="0" fillId="0" borderId="0" xfId="0" applyAlignment="1">
      <alignment vertical="center" wrapText="1"/>
    </xf>
    <xf numFmtId="3" fontId="22" fillId="0" borderId="41" xfId="0" applyNumberFormat="1" applyFont="1" applyBorder="1" applyAlignment="1">
      <alignment horizontal="right" wrapText="1"/>
    </xf>
    <xf numFmtId="3" fontId="0" fillId="0" borderId="0" xfId="0" applyNumberFormat="1" applyAlignment="1">
      <alignment wrapText="1"/>
    </xf>
    <xf numFmtId="164" fontId="0" fillId="0" borderId="0" xfId="0" applyNumberFormat="1"/>
    <xf numFmtId="0" fontId="9" fillId="0" borderId="13" xfId="0" applyFont="1" applyBorder="1"/>
    <xf numFmtId="0" fontId="9" fillId="0" borderId="11" xfId="0" applyFont="1" applyBorder="1"/>
    <xf numFmtId="165" fontId="6" fillId="0" borderId="4" xfId="0" applyNumberFormat="1" applyFont="1" applyBorder="1" applyAlignment="1">
      <alignment horizontal="right"/>
    </xf>
    <xf numFmtId="0" fontId="9" fillId="0" borderId="10" xfId="0" applyFont="1" applyBorder="1"/>
    <xf numFmtId="0" fontId="4" fillId="0" borderId="9" xfId="0" applyFont="1" applyBorder="1"/>
    <xf numFmtId="0" fontId="9" fillId="0" borderId="5" xfId="0" applyFont="1" applyBorder="1"/>
    <xf numFmtId="0" fontId="9" fillId="0" borderId="6" xfId="0" applyFont="1" applyBorder="1"/>
    <xf numFmtId="0" fontId="9" fillId="0" borderId="7" xfId="0" applyFont="1" applyBorder="1"/>
    <xf numFmtId="0" fontId="9" fillId="0" borderId="9" xfId="0" applyFont="1" applyBorder="1"/>
    <xf numFmtId="0" fontId="4" fillId="0" borderId="13" xfId="0" applyFont="1" applyBorder="1"/>
    <xf numFmtId="0" fontId="4" fillId="0" borderId="10" xfId="0" applyFont="1" applyBorder="1"/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3" borderId="3" xfId="0" applyFont="1" applyFill="1" applyBorder="1"/>
    <xf numFmtId="0" fontId="4" fillId="10" borderId="3" xfId="0" applyFont="1" applyFill="1" applyBorder="1"/>
    <xf numFmtId="0" fontId="4" fillId="11" borderId="3" xfId="0" applyFont="1" applyFill="1" applyBorder="1"/>
    <xf numFmtId="0" fontId="3" fillId="0" borderId="3" xfId="1"/>
    <xf numFmtId="0" fontId="20" fillId="0" borderId="19" xfId="2" applyFont="1" applyBorder="1" applyAlignment="1">
      <alignment wrapText="1"/>
    </xf>
    <xf numFmtId="0" fontId="21" fillId="18" borderId="21" xfId="2" applyFont="1" applyFill="1" applyBorder="1" applyAlignment="1">
      <alignment horizontal="center" vertical="center" wrapText="1"/>
    </xf>
    <xf numFmtId="0" fontId="21" fillId="18" borderId="20" xfId="2" applyFont="1" applyFill="1" applyBorder="1" applyAlignment="1">
      <alignment horizontal="center" vertical="center" wrapText="1"/>
    </xf>
    <xf numFmtId="0" fontId="3" fillId="0" borderId="3" xfId="1" applyAlignment="1">
      <alignment horizontal="center"/>
    </xf>
    <xf numFmtId="0" fontId="3" fillId="24" borderId="22" xfId="1" applyFill="1" applyBorder="1" applyAlignment="1">
      <alignment horizontal="center"/>
    </xf>
    <xf numFmtId="0" fontId="31" fillId="0" borderId="3" xfId="3"/>
    <xf numFmtId="0" fontId="4" fillId="8" borderId="8" xfId="0" applyFont="1" applyFill="1" applyBorder="1" applyAlignment="1">
      <alignment horizontal="center"/>
    </xf>
    <xf numFmtId="0" fontId="0" fillId="17" borderId="0" xfId="0" applyFill="1" applyAlignment="1">
      <alignment horizontal="center" vertical="center" wrapText="1"/>
    </xf>
    <xf numFmtId="0" fontId="0" fillId="0" borderId="37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17" borderId="0" xfId="0" applyFill="1" applyAlignment="1">
      <alignment horizontal="left" vertical="center" wrapText="1"/>
    </xf>
    <xf numFmtId="0" fontId="0" fillId="0" borderId="37" xfId="0" applyBorder="1" applyAlignment="1">
      <alignment vertical="center" wrapText="1"/>
    </xf>
    <xf numFmtId="0" fontId="0" fillId="0" borderId="38" xfId="0" applyBorder="1" applyAlignment="1">
      <alignment vertical="center" wrapText="1"/>
    </xf>
    <xf numFmtId="0" fontId="0" fillId="0" borderId="39" xfId="0" applyBorder="1" applyAlignment="1">
      <alignment vertical="center" wrapText="1"/>
    </xf>
    <xf numFmtId="0" fontId="26" fillId="21" borderId="37" xfId="0" applyFont="1" applyFill="1" applyBorder="1" applyAlignment="1">
      <alignment horizontal="center" vertical="center" wrapText="1"/>
    </xf>
    <xf numFmtId="0" fontId="26" fillId="21" borderId="38" xfId="0" applyFont="1" applyFill="1" applyBorder="1" applyAlignment="1">
      <alignment horizontal="center" vertical="center" wrapText="1"/>
    </xf>
    <xf numFmtId="0" fontId="26" fillId="21" borderId="39" xfId="0" applyFont="1" applyFill="1" applyBorder="1" applyAlignment="1">
      <alignment horizontal="center" vertical="center" wrapText="1"/>
    </xf>
    <xf numFmtId="0" fontId="27" fillId="21" borderId="28" xfId="0" applyFont="1" applyFill="1" applyBorder="1" applyAlignment="1">
      <alignment horizontal="center" vertical="center" wrapText="1"/>
    </xf>
    <xf numFmtId="0" fontId="29" fillId="21" borderId="37" xfId="0" applyFont="1" applyFill="1" applyBorder="1" applyAlignment="1">
      <alignment horizontal="center" vertical="center" wrapText="1"/>
    </xf>
    <xf numFmtId="0" fontId="29" fillId="21" borderId="38" xfId="0" applyFont="1" applyFill="1" applyBorder="1" applyAlignment="1">
      <alignment horizontal="center" vertical="center" wrapText="1"/>
    </xf>
    <xf numFmtId="0" fontId="29" fillId="21" borderId="39" xfId="0" applyFont="1" applyFill="1" applyBorder="1" applyAlignment="1">
      <alignment horizontal="center" vertical="center" wrapText="1"/>
    </xf>
    <xf numFmtId="0" fontId="2" fillId="0" borderId="37" xfId="0" applyFont="1" applyBorder="1" applyAlignment="1">
      <alignment wrapText="1"/>
    </xf>
    <xf numFmtId="0" fontId="0" fillId="23" borderId="0" xfId="0" applyFill="1" applyAlignment="1">
      <alignment horizontal="center"/>
    </xf>
    <xf numFmtId="0" fontId="9" fillId="0" borderId="13" xfId="0" applyFont="1" applyBorder="1" applyAlignment="1">
      <alignment vertical="top"/>
    </xf>
    <xf numFmtId="0" fontId="0" fillId="0" borderId="0" xfId="0"/>
    <xf numFmtId="0" fontId="5" fillId="0" borderId="13" xfId="0" applyFont="1" applyBorder="1"/>
    <xf numFmtId="0" fontId="9" fillId="0" borderId="13" xfId="0" applyFont="1" applyBorder="1"/>
    <xf numFmtId="0" fontId="6" fillId="15" borderId="11" xfId="0" applyFont="1" applyFill="1" applyBorder="1" applyAlignment="1">
      <alignment horizontal="center"/>
    </xf>
    <xf numFmtId="0" fontId="5" fillId="0" borderId="12" xfId="0" applyFont="1" applyBorder="1"/>
    <xf numFmtId="0" fontId="5" fillId="0" borderId="4" xfId="0" applyFont="1" applyBorder="1"/>
    <xf numFmtId="0" fontId="11" fillId="0" borderId="0" xfId="0" applyFont="1" applyAlignment="1">
      <alignment horizontal="left"/>
    </xf>
    <xf numFmtId="0" fontId="5" fillId="0" borderId="8" xfId="0" applyFont="1" applyBorder="1"/>
    <xf numFmtId="0" fontId="9" fillId="4" borderId="3" xfId="0" applyFont="1" applyFill="1" applyBorder="1" applyAlignment="1">
      <alignment vertical="center"/>
    </xf>
    <xf numFmtId="0" fontId="5" fillId="0" borderId="3" xfId="0" applyFont="1" applyBorder="1"/>
    <xf numFmtId="0" fontId="9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6" xfId="0" applyFont="1" applyBorder="1"/>
    <xf numFmtId="0" fontId="5" fillId="0" borderId="7" xfId="0" applyFont="1" applyBorder="1"/>
    <xf numFmtId="0" fontId="4" fillId="0" borderId="1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2" fillId="0" borderId="26" xfId="0" applyFont="1" applyBorder="1"/>
    <xf numFmtId="0" fontId="0" fillId="0" borderId="43" xfId="0" applyBorder="1"/>
    <xf numFmtId="0" fontId="2" fillId="0" borderId="29" xfId="0" applyFont="1" applyBorder="1"/>
    <xf numFmtId="0" fontId="0" fillId="0" borderId="22" xfId="0" applyBorder="1"/>
    <xf numFmtId="0" fontId="2" fillId="0" borderId="31" xfId="0" applyFont="1" applyBorder="1"/>
    <xf numFmtId="0" fontId="0" fillId="0" borderId="44" xfId="0" applyBorder="1"/>
    <xf numFmtId="0" fontId="3" fillId="0" borderId="22" xfId="1" applyBorder="1" applyAlignment="1">
      <alignment horizontal="center"/>
    </xf>
    <xf numFmtId="0" fontId="3" fillId="0" borderId="22" xfId="1" applyBorder="1" applyAlignment="1">
      <alignment horizontal="center" wrapText="1"/>
    </xf>
    <xf numFmtId="0" fontId="3" fillId="0" borderId="3" xfId="1" applyAlignment="1">
      <alignment horizontal="center"/>
    </xf>
    <xf numFmtId="0" fontId="3" fillId="24" borderId="22" xfId="1" applyFill="1" applyBorder="1" applyAlignment="1">
      <alignment horizontal="center"/>
    </xf>
    <xf numFmtId="0" fontId="8" fillId="13" borderId="11" xfId="0" applyFont="1" applyFill="1" applyBorder="1" applyAlignment="1">
      <alignment horizontal="center"/>
    </xf>
    <xf numFmtId="0" fontId="5" fillId="0" borderId="10" xfId="0" applyFont="1" applyBorder="1"/>
    <xf numFmtId="0" fontId="5" fillId="0" borderId="1" xfId="0" applyFont="1" applyBorder="1"/>
    <xf numFmtId="0" fontId="5" fillId="0" borderId="9" xfId="0" applyFont="1" applyBorder="1"/>
    <xf numFmtId="0" fontId="8" fillId="2" borderId="11" xfId="0" applyFont="1" applyFill="1" applyBorder="1" applyAlignment="1">
      <alignment horizontal="center"/>
    </xf>
    <xf numFmtId="0" fontId="8" fillId="14" borderId="11" xfId="0" applyFont="1" applyFill="1" applyBorder="1" applyAlignment="1">
      <alignment horizontal="left"/>
    </xf>
    <xf numFmtId="0" fontId="4" fillId="13" borderId="3" xfId="0" applyFont="1" applyFill="1" applyBorder="1" applyAlignment="1">
      <alignment horizontal="center"/>
    </xf>
    <xf numFmtId="0" fontId="0" fillId="17" borderId="0" xfId="0" applyFill="1" applyAlignment="1">
      <alignment horizontal="center"/>
    </xf>
    <xf numFmtId="0" fontId="0" fillId="17" borderId="0" xfId="0" applyFill="1" applyAlignment="1">
      <alignment horizontal="center" vertical="center"/>
    </xf>
    <xf numFmtId="44" fontId="0" fillId="17" borderId="27" xfId="4" applyFont="1" applyFill="1" applyBorder="1"/>
    <xf numFmtId="44" fontId="0" fillId="17" borderId="30" xfId="4" applyFont="1" applyFill="1" applyBorder="1"/>
    <xf numFmtId="44" fontId="0" fillId="17" borderId="32" xfId="4" applyFont="1" applyFill="1" applyBorder="1"/>
    <xf numFmtId="44" fontId="4" fillId="9" borderId="2" xfId="4" applyFont="1" applyFill="1" applyBorder="1" applyAlignment="1">
      <alignment vertical="center"/>
    </xf>
    <xf numFmtId="44" fontId="0" fillId="0" borderId="0" xfId="0" applyNumberFormat="1"/>
    <xf numFmtId="44" fontId="4" fillId="6" borderId="2" xfId="4" applyFont="1" applyFill="1" applyBorder="1" applyAlignment="1">
      <alignment vertical="center"/>
    </xf>
    <xf numFmtId="44" fontId="0" fillId="0" borderId="22" xfId="4" applyFont="1" applyBorder="1"/>
    <xf numFmtId="44" fontId="20" fillId="0" borderId="19" xfId="4" applyFont="1" applyBorder="1" applyAlignment="1">
      <alignment horizontal="right" wrapText="1"/>
    </xf>
    <xf numFmtId="44" fontId="3" fillId="0" borderId="22" xfId="4" applyFont="1" applyBorder="1" applyAlignment="1">
      <alignment horizontal="center"/>
    </xf>
    <xf numFmtId="0" fontId="1" fillId="0" borderId="22" xfId="1" quotePrefix="1" applyFont="1" applyBorder="1" applyAlignment="1">
      <alignment horizontal="center"/>
    </xf>
    <xf numFmtId="0" fontId="1" fillId="0" borderId="22" xfId="1" applyFont="1" applyBorder="1" applyAlignment="1">
      <alignment horizontal="center"/>
    </xf>
    <xf numFmtId="1" fontId="4" fillId="0" borderId="2" xfId="0" applyNumberFormat="1" applyFont="1" applyBorder="1"/>
    <xf numFmtId="0" fontId="0" fillId="0" borderId="41" xfId="0" quotePrefix="1" applyBorder="1" applyAlignment="1">
      <alignment wrapText="1"/>
    </xf>
    <xf numFmtId="166" fontId="22" fillId="0" borderId="41" xfId="0" applyNumberFormat="1" applyFont="1" applyBorder="1" applyAlignment="1">
      <alignment horizontal="right" wrapText="1"/>
    </xf>
    <xf numFmtId="166" fontId="0" fillId="0" borderId="41" xfId="0" applyNumberFormat="1" applyBorder="1" applyAlignment="1">
      <alignment wrapText="1"/>
    </xf>
    <xf numFmtId="44" fontId="0" fillId="0" borderId="41" xfId="4" applyFont="1" applyBorder="1" applyAlignment="1">
      <alignment wrapText="1"/>
    </xf>
    <xf numFmtId="0" fontId="0" fillId="0" borderId="41" xfId="4" applyNumberFormat="1" applyFont="1" applyBorder="1" applyAlignment="1">
      <alignment wrapText="1"/>
    </xf>
    <xf numFmtId="0" fontId="0" fillId="0" borderId="41" xfId="0" applyNumberFormat="1" applyBorder="1" applyAlignment="1">
      <alignment wrapText="1"/>
    </xf>
    <xf numFmtId="44" fontId="0" fillId="0" borderId="41" xfId="4" applyFont="1" applyBorder="1" applyAlignment="1">
      <alignment vertical="center" wrapText="1"/>
    </xf>
    <xf numFmtId="0" fontId="0" fillId="0" borderId="41" xfId="0" quotePrefix="1" applyBorder="1" applyAlignment="1">
      <alignment vertical="center" wrapText="1"/>
    </xf>
  </cellXfs>
  <cellStyles count="5">
    <cellStyle name="Hipervínculo" xfId="3" builtinId="8"/>
    <cellStyle name="Moneda" xfId="4" builtinId="4"/>
    <cellStyle name="Normal" xfId="0" builtinId="0"/>
    <cellStyle name="Normal 2" xfId="1" xr:uid="{2386DAAD-8E10-4611-8028-42B42FC4427F}"/>
    <cellStyle name="Normal 2 2" xfId="2" xr:uid="{06CD7238-63D0-41F7-81E6-08987E3AC8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echstagram.com/2015/07/07/amazon-cloud-drive/" TargetMode="External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http://chezvalerie.centerblog.net/rub-tubes-emoticones-.html" TargetMode="External"/><Relationship Id="rId3" Type="http://schemas.openxmlformats.org/officeDocument/2006/relationships/image" Target="../media/image6.jpeg"/><Relationship Id="rId7" Type="http://schemas.openxmlformats.org/officeDocument/2006/relationships/image" Target="../media/image8.png"/><Relationship Id="rId2" Type="http://schemas.openxmlformats.org/officeDocument/2006/relationships/hyperlink" Target="https://www.todojujuy.com/tecnologias-y-tendencias/llegan-los-emoticones-eroticos-n28778" TargetMode="External"/><Relationship Id="rId1" Type="http://schemas.openxmlformats.org/officeDocument/2006/relationships/image" Target="../media/image5.jpeg"/><Relationship Id="rId6" Type="http://schemas.openxmlformats.org/officeDocument/2006/relationships/hyperlink" Target="https://www.pinterest.com/pin/593067844668426721/" TargetMode="External"/><Relationship Id="rId5" Type="http://schemas.openxmlformats.org/officeDocument/2006/relationships/image" Target="../media/image7.jpg"/><Relationship Id="rId4" Type="http://schemas.openxmlformats.org/officeDocument/2006/relationships/hyperlink" Target="https://www.portafolio.co/tendencias/galeria-son-emoticones-utilizados-diferentes-lugares-mundo-436350" TargetMode="Externa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http://chezvalerie.centerblog.net/rub-tubes-emoticones-.html" TargetMode="External"/><Relationship Id="rId3" Type="http://schemas.openxmlformats.org/officeDocument/2006/relationships/image" Target="../media/image9.jpeg"/><Relationship Id="rId7" Type="http://schemas.openxmlformats.org/officeDocument/2006/relationships/image" Target="../media/image10.png"/><Relationship Id="rId2" Type="http://schemas.openxmlformats.org/officeDocument/2006/relationships/hyperlink" Target="https://www.todojujuy.com/tecnologias-y-tendencias/llegan-los-emoticones-eroticos-n28778" TargetMode="External"/><Relationship Id="rId1" Type="http://schemas.openxmlformats.org/officeDocument/2006/relationships/image" Target="../media/image5.jpeg"/><Relationship Id="rId6" Type="http://schemas.openxmlformats.org/officeDocument/2006/relationships/hyperlink" Target="https://www.pinterest.com/pin/593067844668426721/" TargetMode="External"/><Relationship Id="rId5" Type="http://schemas.openxmlformats.org/officeDocument/2006/relationships/image" Target="../media/image7.jpg"/><Relationship Id="rId4" Type="http://schemas.openxmlformats.org/officeDocument/2006/relationships/hyperlink" Target="https://www.portafolio.co/tendencias/galeria-son-emoticones-utilizados-diferentes-lugares-mundo-43635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25</xdr:row>
      <xdr:rowOff>57150</xdr:rowOff>
    </xdr:from>
    <xdr:ext cx="2428875" cy="628650"/>
    <xdr:pic>
      <xdr:nvPicPr>
        <xdr:cNvPr id="2" name="image10.png" title="Imagen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30</xdr:row>
      <xdr:rowOff>28575</xdr:rowOff>
    </xdr:from>
    <xdr:ext cx="2495550" cy="685800"/>
    <xdr:pic>
      <xdr:nvPicPr>
        <xdr:cNvPr id="3" name="image7.png" title="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443254</xdr:colOff>
      <xdr:row>13</xdr:row>
      <xdr:rowOff>402590</xdr:rowOff>
    </xdr:from>
    <xdr:ext cx="2548865" cy="2441019"/>
    <xdr:pic>
      <xdr:nvPicPr>
        <xdr:cNvPr id="2" name="Imagen 1">
          <a:extLst>
            <a:ext uri="{FF2B5EF4-FFF2-40B4-BE49-F238E27FC236}">
              <a16:creationId xmlns:a16="http://schemas.microsoft.com/office/drawing/2014/main" id="{F847404C-973F-4DA6-847D-1F01BF6A3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6188734" y="2787650"/>
          <a:ext cx="2548865" cy="2441019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733425</xdr:colOff>
      <xdr:row>8</xdr:row>
      <xdr:rowOff>38100</xdr:rowOff>
    </xdr:from>
    <xdr:ext cx="2733675" cy="2667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 txBox="1"/>
      </xdr:nvSpPr>
      <xdr:spPr>
        <a:xfrm>
          <a:off x="3983925" y="3647720"/>
          <a:ext cx="2724150" cy="2645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</a:t>
          </a:r>
          <a:r>
            <a:rPr lang="en-US" sz="11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CONTAR(RANGO CRITERIO;CRITERIO)</a:t>
          </a:r>
          <a:endParaRPr sz="1100" i="1"/>
        </a:p>
      </xdr:txBody>
    </xdr:sp>
    <xdr:clientData fLocksWithSheet="0"/>
  </xdr:oneCellAnchor>
  <xdr:oneCellAnchor>
    <xdr:from>
      <xdr:col>12</xdr:col>
      <xdr:colOff>180975</xdr:colOff>
      <xdr:row>13</xdr:row>
      <xdr:rowOff>76200</xdr:rowOff>
    </xdr:from>
    <xdr:ext cx="190500" cy="26670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12</xdr:row>
      <xdr:rowOff>161925</xdr:rowOff>
    </xdr:from>
    <xdr:ext cx="4267200" cy="43815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 txBox="1"/>
      </xdr:nvSpPr>
      <xdr:spPr>
        <a:xfrm>
          <a:off x="3217162" y="3561607"/>
          <a:ext cx="4257676" cy="43678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</a:t>
          </a:r>
          <a:r>
            <a:rPr lang="en-US" sz="11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CONTAR.SI.CONJUNTO(RANGO CRITERIO 1;CRITERIO1;RANGO CRITERIO 2;CRITERIO2) </a:t>
          </a:r>
          <a:endParaRPr sz="1100" i="1"/>
        </a:p>
      </xdr:txBody>
    </xdr:sp>
    <xdr:clientData fLocksWithSheet="0"/>
  </xdr:oneCellAnchor>
  <xdr:oneCellAnchor>
    <xdr:from>
      <xdr:col>17</xdr:col>
      <xdr:colOff>379094</xdr:colOff>
      <xdr:row>6</xdr:row>
      <xdr:rowOff>17144</xdr:rowOff>
    </xdr:from>
    <xdr:ext cx="1099186" cy="1636396"/>
    <xdr:pic>
      <xdr:nvPicPr>
        <xdr:cNvPr id="2" name="image8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256894" y="1152524"/>
          <a:ext cx="1099186" cy="1636396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197700</xdr:colOff>
      <xdr:row>5</xdr:row>
      <xdr:rowOff>161925</xdr:rowOff>
    </xdr:from>
    <xdr:to>
      <xdr:col>14</xdr:col>
      <xdr:colOff>750150</xdr:colOff>
      <xdr:row>11</xdr:row>
      <xdr:rowOff>4763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87AF21D-B3B7-4C6E-8D47-BA70D8DCF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5447225" y="1143000"/>
          <a:ext cx="1314450" cy="985838"/>
        </a:xfrm>
        <a:prstGeom prst="rect">
          <a:avLst/>
        </a:prstGeom>
      </xdr:spPr>
    </xdr:pic>
    <xdr:clientData/>
  </xdr:twoCellAnchor>
  <xdr:twoCellAnchor editAs="oneCell">
    <xdr:from>
      <xdr:col>7</xdr:col>
      <xdr:colOff>65760</xdr:colOff>
      <xdr:row>6</xdr:row>
      <xdr:rowOff>134759</xdr:rowOff>
    </xdr:from>
    <xdr:to>
      <xdr:col>7</xdr:col>
      <xdr:colOff>827602</xdr:colOff>
      <xdr:row>9</xdr:row>
      <xdr:rowOff>137160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39A484-33A2-433A-9589-4AB3CCAB5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6306540" y="1254899"/>
          <a:ext cx="761842" cy="566281"/>
        </a:xfrm>
        <a:prstGeom prst="rect">
          <a:avLst/>
        </a:prstGeom>
      </xdr:spPr>
    </xdr:pic>
    <xdr:clientData/>
  </xdr:twoCellAnchor>
  <xdr:twoCellAnchor editAs="oneCell">
    <xdr:from>
      <xdr:col>11</xdr:col>
      <xdr:colOff>183376</xdr:colOff>
      <xdr:row>6</xdr:row>
      <xdr:rowOff>61874</xdr:rowOff>
    </xdr:from>
    <xdr:to>
      <xdr:col>12</xdr:col>
      <xdr:colOff>219076</xdr:colOff>
      <xdr:row>10</xdr:row>
      <xdr:rowOff>158935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059C398-C086-452D-84CB-1F293D81B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6"/>
            </a:ext>
          </a:extLst>
        </a:blip>
        <a:stretch>
          <a:fillRect/>
        </a:stretch>
      </xdr:blipFill>
      <xdr:spPr>
        <a:xfrm>
          <a:off x="13137376" y="1233449"/>
          <a:ext cx="797700" cy="859061"/>
        </a:xfrm>
        <a:prstGeom prst="rect">
          <a:avLst/>
        </a:prstGeom>
      </xdr:spPr>
    </xdr:pic>
    <xdr:clientData/>
  </xdr:twoCellAnchor>
  <xdr:twoCellAnchor editAs="oneCell">
    <xdr:from>
      <xdr:col>2</xdr:col>
      <xdr:colOff>704850</xdr:colOff>
      <xdr:row>7</xdr:row>
      <xdr:rowOff>59474</xdr:rowOff>
    </xdr:from>
    <xdr:to>
      <xdr:col>4</xdr:col>
      <xdr:colOff>28575</xdr:colOff>
      <xdr:row>11</xdr:row>
      <xdr:rowOff>68904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625A40E-6650-48A1-BD9D-97C181F89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tretch>
          <a:fillRect/>
        </a:stretch>
      </xdr:blipFill>
      <xdr:spPr>
        <a:xfrm>
          <a:off x="2228850" y="1431074"/>
          <a:ext cx="847725" cy="77143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219075</xdr:colOff>
      <xdr:row>3</xdr:row>
      <xdr:rowOff>276226</xdr:rowOff>
    </xdr:from>
    <xdr:to>
      <xdr:col>23</xdr:col>
      <xdr:colOff>9525</xdr:colOff>
      <xdr:row>9</xdr:row>
      <xdr:rowOff>33339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C2D67A9-7B3C-48D7-A9D4-D3E212B4B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6983075" y="857251"/>
          <a:ext cx="1314450" cy="985838"/>
        </a:xfrm>
        <a:prstGeom prst="rect">
          <a:avLst/>
        </a:prstGeom>
      </xdr:spPr>
    </xdr:pic>
    <xdr:clientData/>
  </xdr:twoCellAnchor>
  <xdr:twoCellAnchor editAs="oneCell">
    <xdr:from>
      <xdr:col>15</xdr:col>
      <xdr:colOff>340500</xdr:colOff>
      <xdr:row>27</xdr:row>
      <xdr:rowOff>178575</xdr:rowOff>
    </xdr:from>
    <xdr:to>
      <xdr:col>16</xdr:col>
      <xdr:colOff>456328</xdr:colOff>
      <xdr:row>31</xdr:row>
      <xdr:rowOff>76200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A649D77-03C4-486B-BE2B-B29C22A19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12532500" y="6436500"/>
          <a:ext cx="877828" cy="659625"/>
        </a:xfrm>
        <a:prstGeom prst="rect">
          <a:avLst/>
        </a:prstGeom>
      </xdr:spPr>
    </xdr:pic>
    <xdr:clientData/>
  </xdr:twoCellAnchor>
  <xdr:twoCellAnchor editAs="oneCell">
    <xdr:from>
      <xdr:col>19</xdr:col>
      <xdr:colOff>423825</xdr:colOff>
      <xdr:row>13</xdr:row>
      <xdr:rowOff>157125</xdr:rowOff>
    </xdr:from>
    <xdr:to>
      <xdr:col>20</xdr:col>
      <xdr:colOff>685800</xdr:colOff>
      <xdr:row>19</xdr:row>
      <xdr:rowOff>116867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94E38B0-73D9-4D66-9FF3-FEC131EBD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6"/>
            </a:ext>
          </a:extLst>
        </a:blip>
        <a:stretch>
          <a:fillRect/>
        </a:stretch>
      </xdr:blipFill>
      <xdr:spPr>
        <a:xfrm>
          <a:off x="15663825" y="3033675"/>
          <a:ext cx="1023975" cy="1102742"/>
        </a:xfrm>
        <a:prstGeom prst="rect">
          <a:avLst/>
        </a:prstGeom>
      </xdr:spPr>
    </xdr:pic>
    <xdr:clientData/>
  </xdr:twoCellAnchor>
  <xdr:twoCellAnchor editAs="oneCell">
    <xdr:from>
      <xdr:col>7</xdr:col>
      <xdr:colOff>373800</xdr:colOff>
      <xdr:row>24</xdr:row>
      <xdr:rowOff>107100</xdr:rowOff>
    </xdr:from>
    <xdr:to>
      <xdr:col>9</xdr:col>
      <xdr:colOff>176557</xdr:colOff>
      <xdr:row>30</xdr:row>
      <xdr:rowOff>171450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87F0DA4-6689-4CDD-A33D-A166B5EFA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tretch>
          <a:fillRect/>
        </a:stretch>
      </xdr:blipFill>
      <xdr:spPr>
        <a:xfrm>
          <a:off x="6469800" y="5374425"/>
          <a:ext cx="1326757" cy="1207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drive.google.com/file/d/1j0aOi-AmYBeyr-WYECQehM8BvqNcL_fX/view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O1000"/>
  <sheetViews>
    <sheetView topLeftCell="B102" workbookViewId="0">
      <selection activeCell="E121" sqref="E121"/>
    </sheetView>
  </sheetViews>
  <sheetFormatPr baseColWidth="10" defaultColWidth="14.44140625" defaultRowHeight="15" customHeight="1" x14ac:dyDescent="0.3"/>
  <cols>
    <col min="1" max="1" width="10.77734375" customWidth="1"/>
    <col min="2" max="2" width="17.77734375" customWidth="1"/>
    <col min="3" max="3" width="15.5546875" customWidth="1"/>
    <col min="4" max="4" width="37.21875" customWidth="1"/>
    <col min="5" max="5" width="26.21875" customWidth="1"/>
    <col min="6" max="9" width="10.77734375" customWidth="1"/>
    <col min="10" max="10" width="13.5546875" customWidth="1"/>
    <col min="11" max="13" width="10.77734375" customWidth="1"/>
    <col min="14" max="14" width="13.21875" customWidth="1"/>
    <col min="15" max="15" width="12.21875" customWidth="1"/>
    <col min="16" max="26" width="10.77734375" customWidth="1"/>
  </cols>
  <sheetData>
    <row r="2" spans="2:15" ht="14.4" x14ac:dyDescent="0.3">
      <c r="B2" s="1"/>
    </row>
    <row r="3" spans="2:15" ht="14.4" x14ac:dyDescent="0.3">
      <c r="B3" s="1"/>
    </row>
    <row r="8" spans="2:15" ht="18" x14ac:dyDescent="0.35">
      <c r="B8" s="120" t="s">
        <v>1</v>
      </c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2"/>
    </row>
    <row r="9" spans="2:15" ht="18" x14ac:dyDescent="0.35">
      <c r="B9" s="74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4"/>
    </row>
    <row r="10" spans="2:15" ht="20.25" customHeight="1" x14ac:dyDescent="0.35">
      <c r="B10" s="25" t="s">
        <v>2</v>
      </c>
      <c r="C10" s="26" t="s">
        <v>3</v>
      </c>
      <c r="D10" s="26" t="s">
        <v>4</v>
      </c>
      <c r="E10" s="26" t="s">
        <v>5</v>
      </c>
      <c r="F10" s="23"/>
      <c r="G10" s="123" t="s">
        <v>6</v>
      </c>
      <c r="H10" s="117"/>
      <c r="I10" s="117"/>
      <c r="J10" s="117"/>
      <c r="K10" s="117"/>
      <c r="L10" s="117"/>
      <c r="M10" s="117"/>
      <c r="N10" s="117"/>
      <c r="O10" s="124"/>
    </row>
    <row r="11" spans="2:15" ht="18" x14ac:dyDescent="0.35">
      <c r="B11" s="27" t="s">
        <v>7</v>
      </c>
      <c r="C11" s="28">
        <v>1460.65</v>
      </c>
      <c r="D11" s="28">
        <f t="shared" ref="D11:D12" si="0">C11*$C$18</f>
        <v>69.380875000000003</v>
      </c>
      <c r="E11" s="28">
        <f t="shared" ref="E11:E12" si="1">C11-D11</f>
        <v>1391.269125</v>
      </c>
      <c r="F11" s="23"/>
      <c r="G11" s="117"/>
      <c r="H11" s="117"/>
      <c r="I11" s="117"/>
      <c r="J11" s="117"/>
      <c r="K11" s="117"/>
      <c r="L11" s="117"/>
      <c r="M11" s="117"/>
      <c r="N11" s="117"/>
      <c r="O11" s="124"/>
    </row>
    <row r="12" spans="2:15" ht="18" x14ac:dyDescent="0.35">
      <c r="B12" s="27" t="s">
        <v>8</v>
      </c>
      <c r="C12" s="29">
        <v>1520.2</v>
      </c>
      <c r="D12" s="29">
        <f t="shared" si="0"/>
        <v>72.209500000000006</v>
      </c>
      <c r="E12" s="28">
        <f t="shared" si="1"/>
        <v>1447.9905000000001</v>
      </c>
      <c r="F12" s="23"/>
      <c r="G12" s="117"/>
      <c r="H12" s="117"/>
      <c r="I12" s="117"/>
      <c r="J12" s="117"/>
      <c r="K12" s="117"/>
      <c r="L12" s="117"/>
      <c r="M12" s="117"/>
      <c r="N12" s="117"/>
      <c r="O12" s="124"/>
    </row>
    <row r="13" spans="2:15" ht="18" x14ac:dyDescent="0.35">
      <c r="B13" s="75" t="s">
        <v>9</v>
      </c>
      <c r="C13" s="30">
        <v>1050.8</v>
      </c>
      <c r="D13" s="31" t="s">
        <v>10</v>
      </c>
      <c r="E13" s="76" t="s">
        <v>11</v>
      </c>
      <c r="F13" s="23"/>
      <c r="O13" s="24"/>
    </row>
    <row r="14" spans="2:15" ht="18" x14ac:dyDescent="0.35">
      <c r="B14" s="27" t="s">
        <v>12</v>
      </c>
      <c r="C14" s="32">
        <v>2001.6</v>
      </c>
      <c r="D14" s="32">
        <f t="shared" ref="D14:D16" si="2">C14*$C$18</f>
        <v>95.075999999999993</v>
      </c>
      <c r="E14" s="28">
        <f t="shared" ref="E14:E16" si="3">C14-D14</f>
        <v>1906.5239999999999</v>
      </c>
      <c r="F14" s="23"/>
      <c r="G14" s="125" t="s">
        <v>13</v>
      </c>
      <c r="H14" s="126"/>
      <c r="I14" s="126"/>
      <c r="J14" s="126"/>
      <c r="K14" s="126"/>
      <c r="L14" s="126"/>
      <c r="M14" s="126"/>
      <c r="N14" s="126"/>
      <c r="O14" s="24"/>
    </row>
    <row r="15" spans="2:15" ht="18" x14ac:dyDescent="0.35">
      <c r="B15" s="27" t="s">
        <v>14</v>
      </c>
      <c r="C15" s="28">
        <v>2154.56</v>
      </c>
      <c r="D15" s="28">
        <f t="shared" si="2"/>
        <v>102.3416</v>
      </c>
      <c r="E15" s="28">
        <f t="shared" si="3"/>
        <v>2052.2183999999997</v>
      </c>
      <c r="F15" s="23"/>
      <c r="G15" s="126"/>
      <c r="H15" s="126"/>
      <c r="I15" s="126"/>
      <c r="J15" s="126"/>
      <c r="K15" s="126"/>
      <c r="L15" s="126"/>
      <c r="M15" s="126"/>
      <c r="N15" s="126"/>
      <c r="O15" s="24"/>
    </row>
    <row r="16" spans="2:15" ht="18" x14ac:dyDescent="0.35">
      <c r="B16" s="27" t="s">
        <v>15</v>
      </c>
      <c r="C16" s="28">
        <v>1582.53</v>
      </c>
      <c r="D16" s="28">
        <f t="shared" si="2"/>
        <v>75.170175</v>
      </c>
      <c r="E16" s="28">
        <f t="shared" si="3"/>
        <v>1507.359825</v>
      </c>
      <c r="F16" s="23"/>
      <c r="G16" s="23"/>
      <c r="H16" s="23"/>
      <c r="I16" s="23"/>
      <c r="J16" s="23"/>
      <c r="K16" s="23"/>
      <c r="L16" s="23"/>
      <c r="M16" s="23"/>
      <c r="N16" s="23"/>
      <c r="O16" s="24"/>
    </row>
    <row r="17" spans="2:15" ht="18" x14ac:dyDescent="0.35">
      <c r="B17" s="74"/>
      <c r="C17" s="23"/>
      <c r="D17" s="23"/>
      <c r="E17" s="23"/>
      <c r="F17" s="23"/>
      <c r="G17" s="127" t="s">
        <v>16</v>
      </c>
      <c r="H17" s="117"/>
      <c r="I17" s="117"/>
      <c r="J17" s="117"/>
      <c r="K17" s="117"/>
      <c r="L17" s="117"/>
      <c r="M17" s="117"/>
      <c r="N17" s="117"/>
      <c r="O17" s="24"/>
    </row>
    <row r="18" spans="2:15" ht="18" x14ac:dyDescent="0.35">
      <c r="B18" s="33" t="s">
        <v>17</v>
      </c>
      <c r="C18" s="34">
        <v>4.7500000000000001E-2</v>
      </c>
      <c r="D18" s="23"/>
      <c r="E18" s="23"/>
      <c r="F18" s="23"/>
      <c r="G18" s="117"/>
      <c r="H18" s="117"/>
      <c r="I18" s="117"/>
      <c r="J18" s="117"/>
      <c r="K18" s="117"/>
      <c r="L18" s="117"/>
      <c r="M18" s="117"/>
      <c r="N18" s="117"/>
      <c r="O18" s="24"/>
    </row>
    <row r="19" spans="2:15" ht="21" customHeight="1" x14ac:dyDescent="0.35">
      <c r="B19" s="77"/>
      <c r="C19" s="35"/>
      <c r="D19" s="35"/>
      <c r="E19" s="35"/>
      <c r="F19" s="35"/>
      <c r="G19" s="36"/>
      <c r="H19" s="36"/>
      <c r="I19" s="36"/>
      <c r="J19" s="36"/>
      <c r="K19" s="36"/>
      <c r="L19" s="36"/>
      <c r="M19" s="36"/>
      <c r="N19" s="36"/>
      <c r="O19" s="78"/>
    </row>
    <row r="20" spans="2:15" ht="18" x14ac:dyDescent="0.35">
      <c r="E20" s="23"/>
      <c r="F20" s="23"/>
      <c r="G20" s="23"/>
      <c r="H20" s="23"/>
      <c r="I20" s="23"/>
      <c r="J20" s="23"/>
      <c r="K20" s="23"/>
      <c r="L20" s="23"/>
      <c r="M20" s="23"/>
      <c r="N20" s="23"/>
    </row>
    <row r="21" spans="2:15" ht="15.75" customHeight="1" x14ac:dyDescent="0.35"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</row>
    <row r="22" spans="2:15" ht="15.75" customHeight="1" x14ac:dyDescent="0.35"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</row>
    <row r="23" spans="2:15" ht="15.75" customHeight="1" x14ac:dyDescent="0.35">
      <c r="B23" s="120" t="s">
        <v>18</v>
      </c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2"/>
    </row>
    <row r="24" spans="2:15" ht="15.75" customHeight="1" x14ac:dyDescent="0.35">
      <c r="B24" s="74"/>
      <c r="C24" s="23"/>
      <c r="D24" s="23"/>
      <c r="E24" s="23"/>
      <c r="F24" s="23"/>
      <c r="G24" s="23"/>
      <c r="H24" s="23"/>
      <c r="I24" s="23"/>
      <c r="O24" s="24"/>
    </row>
    <row r="25" spans="2:15" ht="15.75" customHeight="1" x14ac:dyDescent="0.35">
      <c r="B25" s="116" t="s">
        <v>19</v>
      </c>
      <c r="C25" s="117"/>
      <c r="D25" s="117"/>
      <c r="F25" s="23"/>
      <c r="O25" s="24"/>
    </row>
    <row r="26" spans="2:15" ht="15.75" customHeight="1" x14ac:dyDescent="0.35">
      <c r="B26" s="118"/>
      <c r="C26" s="117"/>
      <c r="D26" s="117"/>
      <c r="F26" s="37" t="s">
        <v>20</v>
      </c>
      <c r="G26" s="23"/>
      <c r="H26" s="23"/>
      <c r="I26" s="23"/>
      <c r="J26" s="23"/>
      <c r="O26" s="24"/>
    </row>
    <row r="27" spans="2:15" ht="15.75" customHeight="1" x14ac:dyDescent="0.35">
      <c r="B27" s="118"/>
      <c r="C27" s="117"/>
      <c r="D27" s="117"/>
      <c r="F27" s="79" t="s">
        <v>21</v>
      </c>
      <c r="G27" s="80"/>
      <c r="H27" s="80" t="s">
        <v>22</v>
      </c>
      <c r="I27" s="80"/>
      <c r="J27" s="81" t="s">
        <v>23</v>
      </c>
      <c r="O27" s="24"/>
    </row>
    <row r="28" spans="2:15" ht="15.75" customHeight="1" x14ac:dyDescent="0.35">
      <c r="B28" s="118"/>
      <c r="C28" s="117"/>
      <c r="D28" s="117"/>
      <c r="F28" s="74">
        <v>100</v>
      </c>
      <c r="G28" s="23"/>
      <c r="H28" s="23">
        <v>5000</v>
      </c>
      <c r="I28" s="23"/>
      <c r="J28" s="38">
        <f t="shared" ref="J28:J31" si="4">SUM(F28,H28)</f>
        <v>5100</v>
      </c>
      <c r="O28" s="24"/>
    </row>
    <row r="29" spans="2:15" ht="15.75" customHeight="1" x14ac:dyDescent="0.35">
      <c r="B29" s="118"/>
      <c r="C29" s="117"/>
      <c r="D29" s="117"/>
      <c r="F29" s="74"/>
      <c r="G29" s="23"/>
      <c r="H29" s="23">
        <v>4000</v>
      </c>
      <c r="I29" s="23"/>
      <c r="J29" s="38">
        <f t="shared" si="4"/>
        <v>4000</v>
      </c>
      <c r="O29" s="24"/>
    </row>
    <row r="30" spans="2:15" ht="15.75" customHeight="1" x14ac:dyDescent="0.35">
      <c r="B30" s="116" t="s">
        <v>24</v>
      </c>
      <c r="C30" s="117"/>
      <c r="D30" s="117"/>
      <c r="F30" s="74"/>
      <c r="G30" s="23"/>
      <c r="H30" s="23">
        <v>3000</v>
      </c>
      <c r="I30" s="23"/>
      <c r="J30" s="38">
        <f t="shared" si="4"/>
        <v>3000</v>
      </c>
      <c r="O30" s="24"/>
    </row>
    <row r="31" spans="2:15" ht="15.75" customHeight="1" x14ac:dyDescent="0.35">
      <c r="B31" s="118"/>
      <c r="C31" s="117"/>
      <c r="D31" s="117"/>
      <c r="F31" s="77"/>
      <c r="G31" s="35"/>
      <c r="H31" s="35">
        <v>2000</v>
      </c>
      <c r="I31" s="35"/>
      <c r="J31" s="82">
        <f t="shared" si="4"/>
        <v>2000</v>
      </c>
      <c r="O31" s="24"/>
    </row>
    <row r="32" spans="2:15" ht="15.75" customHeight="1" x14ac:dyDescent="0.3">
      <c r="B32" s="118"/>
      <c r="C32" s="117"/>
      <c r="D32" s="117"/>
      <c r="O32" s="24"/>
    </row>
    <row r="33" spans="2:15" ht="15.75" customHeight="1" x14ac:dyDescent="0.35">
      <c r="B33" s="118"/>
      <c r="C33" s="117"/>
      <c r="D33" s="117"/>
      <c r="F33" s="37" t="s">
        <v>25</v>
      </c>
      <c r="G33" s="23"/>
      <c r="H33" s="23"/>
      <c r="I33" s="23"/>
      <c r="J33" s="23"/>
      <c r="O33" s="24"/>
    </row>
    <row r="34" spans="2:15" ht="15.75" customHeight="1" x14ac:dyDescent="0.35">
      <c r="B34" s="118"/>
      <c r="C34" s="117"/>
      <c r="D34" s="117"/>
      <c r="F34" s="79" t="s">
        <v>21</v>
      </c>
      <c r="G34" s="80"/>
      <c r="H34" s="80" t="s">
        <v>22</v>
      </c>
      <c r="I34" s="80"/>
      <c r="J34" s="81" t="s">
        <v>23</v>
      </c>
      <c r="O34" s="24"/>
    </row>
    <row r="35" spans="2:15" ht="15.75" customHeight="1" x14ac:dyDescent="0.35">
      <c r="B35" s="119" t="s">
        <v>26</v>
      </c>
      <c r="C35" s="117"/>
      <c r="D35" s="117"/>
      <c r="F35" s="74">
        <v>100</v>
      </c>
      <c r="G35" s="23"/>
      <c r="H35" s="23">
        <v>5000</v>
      </c>
      <c r="I35" s="23"/>
      <c r="J35" s="38">
        <f t="shared" ref="J35:J38" si="5">SUM($F$35,H35)</f>
        <v>5100</v>
      </c>
      <c r="O35" s="24"/>
    </row>
    <row r="36" spans="2:15" ht="15.75" customHeight="1" x14ac:dyDescent="0.35">
      <c r="B36" s="118"/>
      <c r="C36" s="117"/>
      <c r="D36" s="117"/>
      <c r="F36" s="74"/>
      <c r="G36" s="23"/>
      <c r="H36" s="23">
        <v>4000</v>
      </c>
      <c r="I36" s="23"/>
      <c r="J36" s="38">
        <f t="shared" si="5"/>
        <v>4100</v>
      </c>
      <c r="O36" s="24"/>
    </row>
    <row r="37" spans="2:15" ht="15.75" customHeight="1" x14ac:dyDescent="0.35">
      <c r="B37" s="83"/>
      <c r="F37" s="74"/>
      <c r="G37" s="23"/>
      <c r="H37" s="23">
        <v>3000</v>
      </c>
      <c r="I37" s="23"/>
      <c r="J37" s="38">
        <f t="shared" si="5"/>
        <v>3100</v>
      </c>
      <c r="O37" s="24"/>
    </row>
    <row r="38" spans="2:15" ht="15.75" customHeight="1" x14ac:dyDescent="0.35">
      <c r="B38" s="83"/>
      <c r="F38" s="77"/>
      <c r="G38" s="35"/>
      <c r="H38" s="35">
        <v>2000</v>
      </c>
      <c r="I38" s="35"/>
      <c r="J38" s="82">
        <f t="shared" si="5"/>
        <v>2100</v>
      </c>
      <c r="O38" s="24"/>
    </row>
    <row r="39" spans="2:15" ht="15.75" customHeight="1" x14ac:dyDescent="0.3">
      <c r="B39" s="84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78"/>
    </row>
    <row r="40" spans="2:15" ht="15.75" customHeight="1" x14ac:dyDescent="0.3"/>
    <row r="41" spans="2:15" ht="15.75" customHeight="1" x14ac:dyDescent="0.3"/>
    <row r="42" spans="2:15" ht="15.75" customHeight="1" x14ac:dyDescent="0.3"/>
    <row r="43" spans="2:15" ht="15.75" customHeight="1" x14ac:dyDescent="0.3"/>
    <row r="44" spans="2:15" ht="15.75" customHeight="1" x14ac:dyDescent="0.3">
      <c r="B44" s="115" t="s">
        <v>682</v>
      </c>
      <c r="C44" s="115"/>
      <c r="D44" s="115"/>
      <c r="E44" s="115"/>
    </row>
    <row r="45" spans="2:15" ht="15.75" customHeight="1" x14ac:dyDescent="0.3"/>
    <row r="46" spans="2:15" ht="15.75" customHeight="1" x14ac:dyDescent="0.3"/>
    <row r="47" spans="2:15" ht="15.75" customHeight="1" x14ac:dyDescent="0.3"/>
    <row r="48" spans="2:15" ht="15.75" customHeight="1" x14ac:dyDescent="0.3">
      <c r="B48" t="s">
        <v>537</v>
      </c>
    </row>
    <row r="49" spans="2:2" ht="15.75" customHeight="1" x14ac:dyDescent="0.3">
      <c r="B49" t="s">
        <v>538</v>
      </c>
    </row>
    <row r="50" spans="2:2" ht="15.75" customHeight="1" x14ac:dyDescent="0.3">
      <c r="B50" t="s">
        <v>539</v>
      </c>
    </row>
    <row r="51" spans="2:2" ht="15.75" customHeight="1" x14ac:dyDescent="0.3">
      <c r="B51" t="s">
        <v>540</v>
      </c>
    </row>
    <row r="52" spans="2:2" ht="15.75" customHeight="1" x14ac:dyDescent="0.3">
      <c r="B52" t="s">
        <v>541</v>
      </c>
    </row>
    <row r="53" spans="2:2" ht="15.75" customHeight="1" x14ac:dyDescent="0.3">
      <c r="B53" t="s">
        <v>542</v>
      </c>
    </row>
    <row r="54" spans="2:2" ht="15.75" customHeight="1" x14ac:dyDescent="0.3">
      <c r="B54" t="s">
        <v>543</v>
      </c>
    </row>
    <row r="55" spans="2:2" ht="15.75" customHeight="1" x14ac:dyDescent="0.3">
      <c r="B55" t="s">
        <v>544</v>
      </c>
    </row>
    <row r="56" spans="2:2" ht="15.75" customHeight="1" x14ac:dyDescent="0.3">
      <c r="B56" t="s">
        <v>545</v>
      </c>
    </row>
    <row r="57" spans="2:2" ht="15.75" customHeight="1" x14ac:dyDescent="0.3">
      <c r="B57" t="s">
        <v>546</v>
      </c>
    </row>
    <row r="58" spans="2:2" ht="15.75" customHeight="1" x14ac:dyDescent="0.3">
      <c r="B58" t="s">
        <v>547</v>
      </c>
    </row>
    <row r="59" spans="2:2" ht="15.75" customHeight="1" x14ac:dyDescent="0.3">
      <c r="B59" t="s">
        <v>548</v>
      </c>
    </row>
    <row r="60" spans="2:2" ht="15.75" customHeight="1" x14ac:dyDescent="0.3">
      <c r="B60" t="s">
        <v>549</v>
      </c>
    </row>
    <row r="61" spans="2:2" ht="15.75" customHeight="1" x14ac:dyDescent="0.3">
      <c r="B61" t="s">
        <v>550</v>
      </c>
    </row>
    <row r="62" spans="2:2" ht="15.75" customHeight="1" x14ac:dyDescent="0.3">
      <c r="B62" t="s">
        <v>551</v>
      </c>
    </row>
    <row r="63" spans="2:2" ht="15.75" customHeight="1" x14ac:dyDescent="0.3">
      <c r="B63" t="s">
        <v>552</v>
      </c>
    </row>
    <row r="64" spans="2:2" ht="15.75" customHeight="1" x14ac:dyDescent="0.3">
      <c r="B64" t="s">
        <v>553</v>
      </c>
    </row>
    <row r="65" spans="2:2" ht="15.75" customHeight="1" x14ac:dyDescent="0.3">
      <c r="B65" t="s">
        <v>554</v>
      </c>
    </row>
    <row r="66" spans="2:2" ht="15.75" customHeight="1" x14ac:dyDescent="0.3">
      <c r="B66" t="s">
        <v>555</v>
      </c>
    </row>
    <row r="67" spans="2:2" ht="15.75" customHeight="1" x14ac:dyDescent="0.3">
      <c r="B67" t="s">
        <v>556</v>
      </c>
    </row>
    <row r="68" spans="2:2" ht="15.75" customHeight="1" x14ac:dyDescent="0.3">
      <c r="B68" t="s">
        <v>557</v>
      </c>
    </row>
    <row r="69" spans="2:2" ht="15.75" customHeight="1" x14ac:dyDescent="0.3">
      <c r="B69" t="s">
        <v>558</v>
      </c>
    </row>
    <row r="70" spans="2:2" ht="15.75" customHeight="1" x14ac:dyDescent="0.3">
      <c r="B70" t="s">
        <v>559</v>
      </c>
    </row>
    <row r="71" spans="2:2" ht="15.75" customHeight="1" x14ac:dyDescent="0.3">
      <c r="B71" t="s">
        <v>560</v>
      </c>
    </row>
    <row r="72" spans="2:2" ht="15.75" customHeight="1" x14ac:dyDescent="0.3">
      <c r="B72" t="s">
        <v>561</v>
      </c>
    </row>
    <row r="73" spans="2:2" ht="15.75" customHeight="1" x14ac:dyDescent="0.3">
      <c r="B73" t="s">
        <v>562</v>
      </c>
    </row>
    <row r="74" spans="2:2" ht="15.75" customHeight="1" x14ac:dyDescent="0.3">
      <c r="B74" t="s">
        <v>563</v>
      </c>
    </row>
    <row r="75" spans="2:2" ht="15.75" customHeight="1" x14ac:dyDescent="0.3">
      <c r="B75" t="s">
        <v>564</v>
      </c>
    </row>
    <row r="76" spans="2:2" ht="15.75" customHeight="1" x14ac:dyDescent="0.3">
      <c r="B76" t="s">
        <v>565</v>
      </c>
    </row>
    <row r="77" spans="2:2" ht="15.75" customHeight="1" x14ac:dyDescent="0.3">
      <c r="B77" t="s">
        <v>566</v>
      </c>
    </row>
    <row r="78" spans="2:2" ht="15.75" customHeight="1" x14ac:dyDescent="0.3">
      <c r="B78" t="s">
        <v>567</v>
      </c>
    </row>
    <row r="79" spans="2:2" ht="15.75" customHeight="1" x14ac:dyDescent="0.3">
      <c r="B79" t="s">
        <v>568</v>
      </c>
    </row>
    <row r="80" spans="2:2" ht="15.75" customHeight="1" x14ac:dyDescent="0.3">
      <c r="B80" t="s">
        <v>569</v>
      </c>
    </row>
    <row r="81" spans="2:2" ht="15.75" customHeight="1" x14ac:dyDescent="0.3">
      <c r="B81" t="s">
        <v>570</v>
      </c>
    </row>
    <row r="82" spans="2:2" ht="15.75" customHeight="1" x14ac:dyDescent="0.3">
      <c r="B82" t="s">
        <v>571</v>
      </c>
    </row>
    <row r="83" spans="2:2" ht="15.75" customHeight="1" x14ac:dyDescent="0.3">
      <c r="B83" t="s">
        <v>572</v>
      </c>
    </row>
    <row r="84" spans="2:2" ht="15.75" customHeight="1" x14ac:dyDescent="0.3">
      <c r="B84" t="s">
        <v>573</v>
      </c>
    </row>
    <row r="85" spans="2:2" ht="15.75" customHeight="1" x14ac:dyDescent="0.3">
      <c r="B85" t="s">
        <v>574</v>
      </c>
    </row>
    <row r="86" spans="2:2" ht="15.75" customHeight="1" x14ac:dyDescent="0.3">
      <c r="B86" t="s">
        <v>575</v>
      </c>
    </row>
    <row r="87" spans="2:2" ht="15.75" customHeight="1" x14ac:dyDescent="0.3">
      <c r="B87" t="s">
        <v>576</v>
      </c>
    </row>
    <row r="88" spans="2:2" ht="15.75" customHeight="1" x14ac:dyDescent="0.3">
      <c r="B88" t="s">
        <v>577</v>
      </c>
    </row>
    <row r="89" spans="2:2" ht="15.75" customHeight="1" x14ac:dyDescent="0.3">
      <c r="B89" t="s">
        <v>578</v>
      </c>
    </row>
    <row r="90" spans="2:2" ht="15.75" customHeight="1" x14ac:dyDescent="0.3">
      <c r="B90" t="s">
        <v>579</v>
      </c>
    </row>
    <row r="91" spans="2:2" ht="15.75" customHeight="1" x14ac:dyDescent="0.3">
      <c r="B91" t="s">
        <v>580</v>
      </c>
    </row>
    <row r="92" spans="2:2" ht="15.75" customHeight="1" x14ac:dyDescent="0.3">
      <c r="B92" t="s">
        <v>581</v>
      </c>
    </row>
    <row r="93" spans="2:2" ht="15.75" customHeight="1" x14ac:dyDescent="0.3">
      <c r="B93" t="s">
        <v>582</v>
      </c>
    </row>
    <row r="94" spans="2:2" ht="15.75" customHeight="1" x14ac:dyDescent="0.3">
      <c r="B94" t="s">
        <v>583</v>
      </c>
    </row>
    <row r="95" spans="2:2" ht="15.75" customHeight="1" x14ac:dyDescent="0.3">
      <c r="B95" t="s">
        <v>584</v>
      </c>
    </row>
    <row r="96" spans="2:2" ht="15.75" customHeight="1" x14ac:dyDescent="0.3">
      <c r="B96" t="s">
        <v>585</v>
      </c>
    </row>
    <row r="97" spans="2:2" ht="15.75" customHeight="1" x14ac:dyDescent="0.3">
      <c r="B97" t="s">
        <v>586</v>
      </c>
    </row>
    <row r="98" spans="2:2" ht="15.75" customHeight="1" x14ac:dyDescent="0.3">
      <c r="B98" t="s">
        <v>587</v>
      </c>
    </row>
    <row r="99" spans="2:2" ht="15.75" customHeight="1" x14ac:dyDescent="0.3">
      <c r="B99" t="s">
        <v>588</v>
      </c>
    </row>
    <row r="100" spans="2:2" ht="15.75" customHeight="1" x14ac:dyDescent="0.3">
      <c r="B100" t="s">
        <v>589</v>
      </c>
    </row>
    <row r="101" spans="2:2" ht="15.75" customHeight="1" x14ac:dyDescent="0.3">
      <c r="B101" t="s">
        <v>590</v>
      </c>
    </row>
    <row r="102" spans="2:2" ht="15.75" customHeight="1" x14ac:dyDescent="0.3">
      <c r="B102" t="s">
        <v>591</v>
      </c>
    </row>
    <row r="103" spans="2:2" ht="15.75" customHeight="1" x14ac:dyDescent="0.3">
      <c r="B103" t="s">
        <v>592</v>
      </c>
    </row>
    <row r="104" spans="2:2" ht="15.75" customHeight="1" x14ac:dyDescent="0.3">
      <c r="B104" t="s">
        <v>593</v>
      </c>
    </row>
    <row r="105" spans="2:2" ht="15.75" customHeight="1" x14ac:dyDescent="0.3">
      <c r="B105" t="s">
        <v>594</v>
      </c>
    </row>
    <row r="106" spans="2:2" ht="15.75" customHeight="1" x14ac:dyDescent="0.3">
      <c r="B106" t="s">
        <v>595</v>
      </c>
    </row>
    <row r="107" spans="2:2" ht="15.75" customHeight="1" x14ac:dyDescent="0.3">
      <c r="B107" t="s">
        <v>596</v>
      </c>
    </row>
    <row r="108" spans="2:2" ht="15.75" customHeight="1" x14ac:dyDescent="0.3">
      <c r="B108" t="s">
        <v>597</v>
      </c>
    </row>
    <row r="109" spans="2:2" ht="15.75" customHeight="1" x14ac:dyDescent="0.3">
      <c r="B109" t="s">
        <v>598</v>
      </c>
    </row>
    <row r="110" spans="2:2" ht="15.75" customHeight="1" x14ac:dyDescent="0.3">
      <c r="B110" t="s">
        <v>599</v>
      </c>
    </row>
    <row r="111" spans="2:2" ht="15.75" customHeight="1" x14ac:dyDescent="0.3">
      <c r="B111" t="s">
        <v>600</v>
      </c>
    </row>
    <row r="112" spans="2:2" ht="15.75" customHeight="1" x14ac:dyDescent="0.3">
      <c r="B112" t="s">
        <v>601</v>
      </c>
    </row>
    <row r="113" spans="2:2" ht="15.75" customHeight="1" x14ac:dyDescent="0.3">
      <c r="B113" t="s">
        <v>602</v>
      </c>
    </row>
    <row r="114" spans="2:2" ht="15.75" customHeight="1" x14ac:dyDescent="0.3">
      <c r="B114" t="s">
        <v>603</v>
      </c>
    </row>
    <row r="115" spans="2:2" ht="15.75" customHeight="1" x14ac:dyDescent="0.3">
      <c r="B115" t="s">
        <v>604</v>
      </c>
    </row>
    <row r="116" spans="2:2" ht="15.75" customHeight="1" x14ac:dyDescent="0.3">
      <c r="B116" t="s">
        <v>605</v>
      </c>
    </row>
    <row r="117" spans="2:2" ht="15.75" customHeight="1" x14ac:dyDescent="0.3">
      <c r="B117" t="s">
        <v>606</v>
      </c>
    </row>
    <row r="118" spans="2:2" ht="15.75" customHeight="1" x14ac:dyDescent="0.3">
      <c r="B118" t="s">
        <v>607</v>
      </c>
    </row>
    <row r="119" spans="2:2" ht="15.75" customHeight="1" x14ac:dyDescent="0.3">
      <c r="B119" t="s">
        <v>608</v>
      </c>
    </row>
    <row r="120" spans="2:2" ht="15.75" customHeight="1" x14ac:dyDescent="0.3">
      <c r="B120" t="s">
        <v>609</v>
      </c>
    </row>
    <row r="121" spans="2:2" ht="15.75" customHeight="1" x14ac:dyDescent="0.3">
      <c r="B121" t="s">
        <v>610</v>
      </c>
    </row>
    <row r="122" spans="2:2" ht="15.75" customHeight="1" x14ac:dyDescent="0.3">
      <c r="B122" t="s">
        <v>611</v>
      </c>
    </row>
    <row r="123" spans="2:2" ht="15.75" customHeight="1" x14ac:dyDescent="0.3">
      <c r="B123" t="s">
        <v>612</v>
      </c>
    </row>
    <row r="124" spans="2:2" ht="15.75" customHeight="1" x14ac:dyDescent="0.3">
      <c r="B124" t="s">
        <v>613</v>
      </c>
    </row>
    <row r="125" spans="2:2" ht="15.75" customHeight="1" x14ac:dyDescent="0.3">
      <c r="B125" t="s">
        <v>614</v>
      </c>
    </row>
    <row r="126" spans="2:2" ht="15.75" customHeight="1" x14ac:dyDescent="0.3">
      <c r="B126" t="s">
        <v>615</v>
      </c>
    </row>
    <row r="127" spans="2:2" ht="15.75" customHeight="1" x14ac:dyDescent="0.3">
      <c r="B127" t="s">
        <v>616</v>
      </c>
    </row>
    <row r="128" spans="2:2" ht="15.75" customHeight="1" x14ac:dyDescent="0.3">
      <c r="B128" t="s">
        <v>617</v>
      </c>
    </row>
    <row r="129" spans="2:2" ht="15.75" customHeight="1" x14ac:dyDescent="0.3">
      <c r="B129" t="s">
        <v>618</v>
      </c>
    </row>
    <row r="130" spans="2:2" ht="15.75" customHeight="1" x14ac:dyDescent="0.3">
      <c r="B130" t="s">
        <v>619</v>
      </c>
    </row>
    <row r="131" spans="2:2" ht="15.75" customHeight="1" x14ac:dyDescent="0.3">
      <c r="B131" t="s">
        <v>620</v>
      </c>
    </row>
    <row r="132" spans="2:2" ht="15.75" customHeight="1" x14ac:dyDescent="0.3">
      <c r="B132" t="s">
        <v>621</v>
      </c>
    </row>
    <row r="133" spans="2:2" ht="15.75" customHeight="1" x14ac:dyDescent="0.3">
      <c r="B133" t="s">
        <v>622</v>
      </c>
    </row>
    <row r="134" spans="2:2" ht="15.75" customHeight="1" x14ac:dyDescent="0.3">
      <c r="B134" t="s">
        <v>623</v>
      </c>
    </row>
    <row r="135" spans="2:2" ht="15.75" customHeight="1" x14ac:dyDescent="0.3">
      <c r="B135" t="s">
        <v>624</v>
      </c>
    </row>
    <row r="136" spans="2:2" ht="15.75" customHeight="1" x14ac:dyDescent="0.3">
      <c r="B136" t="s">
        <v>625</v>
      </c>
    </row>
    <row r="137" spans="2:2" ht="15.75" customHeight="1" x14ac:dyDescent="0.3">
      <c r="B137" t="s">
        <v>626</v>
      </c>
    </row>
    <row r="138" spans="2:2" ht="15.75" customHeight="1" x14ac:dyDescent="0.3">
      <c r="B138" t="s">
        <v>627</v>
      </c>
    </row>
    <row r="139" spans="2:2" ht="15.75" customHeight="1" x14ac:dyDescent="0.3">
      <c r="B139" t="s">
        <v>628</v>
      </c>
    </row>
    <row r="140" spans="2:2" ht="15.75" customHeight="1" x14ac:dyDescent="0.3">
      <c r="B140" t="s">
        <v>629</v>
      </c>
    </row>
    <row r="141" spans="2:2" ht="15.75" customHeight="1" x14ac:dyDescent="0.3">
      <c r="B141" t="s">
        <v>630</v>
      </c>
    </row>
    <row r="142" spans="2:2" ht="15.75" customHeight="1" x14ac:dyDescent="0.3">
      <c r="B142" t="s">
        <v>631</v>
      </c>
    </row>
    <row r="143" spans="2:2" ht="15.75" customHeight="1" x14ac:dyDescent="0.3">
      <c r="B143" t="s">
        <v>632</v>
      </c>
    </row>
    <row r="144" spans="2:2" ht="15.75" customHeight="1" x14ac:dyDescent="0.3">
      <c r="B144" t="s">
        <v>633</v>
      </c>
    </row>
    <row r="145" spans="2:2" ht="15.75" customHeight="1" x14ac:dyDescent="0.3">
      <c r="B145" t="s">
        <v>634</v>
      </c>
    </row>
    <row r="146" spans="2:2" ht="15.75" customHeight="1" x14ac:dyDescent="0.3">
      <c r="B146" t="s">
        <v>635</v>
      </c>
    </row>
    <row r="147" spans="2:2" ht="15.75" customHeight="1" x14ac:dyDescent="0.3">
      <c r="B147" t="s">
        <v>636</v>
      </c>
    </row>
    <row r="148" spans="2:2" ht="15.75" customHeight="1" x14ac:dyDescent="0.3">
      <c r="B148" t="s">
        <v>637</v>
      </c>
    </row>
    <row r="149" spans="2:2" ht="15.75" customHeight="1" x14ac:dyDescent="0.3">
      <c r="B149" t="s">
        <v>638</v>
      </c>
    </row>
    <row r="150" spans="2:2" ht="15.75" customHeight="1" x14ac:dyDescent="0.3">
      <c r="B150" t="s">
        <v>639</v>
      </c>
    </row>
    <row r="151" spans="2:2" ht="15.75" customHeight="1" x14ac:dyDescent="0.3">
      <c r="B151" t="s">
        <v>640</v>
      </c>
    </row>
    <row r="152" spans="2:2" ht="15.75" customHeight="1" x14ac:dyDescent="0.3">
      <c r="B152" t="s">
        <v>641</v>
      </c>
    </row>
    <row r="153" spans="2:2" ht="15.75" customHeight="1" x14ac:dyDescent="0.3">
      <c r="B153" t="s">
        <v>642</v>
      </c>
    </row>
    <row r="154" spans="2:2" ht="15.75" customHeight="1" x14ac:dyDescent="0.3">
      <c r="B154" t="s">
        <v>643</v>
      </c>
    </row>
    <row r="155" spans="2:2" ht="15.75" customHeight="1" x14ac:dyDescent="0.3">
      <c r="B155" t="s">
        <v>644</v>
      </c>
    </row>
    <row r="156" spans="2:2" ht="15.75" customHeight="1" x14ac:dyDescent="0.3">
      <c r="B156" t="s">
        <v>645</v>
      </c>
    </row>
    <row r="157" spans="2:2" ht="15.75" customHeight="1" x14ac:dyDescent="0.3">
      <c r="B157" t="s">
        <v>646</v>
      </c>
    </row>
    <row r="158" spans="2:2" ht="15.75" customHeight="1" x14ac:dyDescent="0.3">
      <c r="B158" t="s">
        <v>647</v>
      </c>
    </row>
    <row r="159" spans="2:2" ht="15.75" customHeight="1" x14ac:dyDescent="0.3">
      <c r="B159" t="s">
        <v>648</v>
      </c>
    </row>
    <row r="160" spans="2:2" ht="15.75" customHeight="1" x14ac:dyDescent="0.3">
      <c r="B160" t="s">
        <v>649</v>
      </c>
    </row>
    <row r="161" spans="2:2" ht="15.75" customHeight="1" x14ac:dyDescent="0.3">
      <c r="B161" t="s">
        <v>650</v>
      </c>
    </row>
    <row r="162" spans="2:2" ht="15.75" customHeight="1" x14ac:dyDescent="0.3">
      <c r="B162" t="s">
        <v>651</v>
      </c>
    </row>
    <row r="163" spans="2:2" ht="15.75" customHeight="1" x14ac:dyDescent="0.3">
      <c r="B163" t="s">
        <v>652</v>
      </c>
    </row>
    <row r="164" spans="2:2" ht="15.75" customHeight="1" x14ac:dyDescent="0.3">
      <c r="B164" t="s">
        <v>653</v>
      </c>
    </row>
    <row r="165" spans="2:2" ht="15.75" customHeight="1" x14ac:dyDescent="0.3">
      <c r="B165" t="s">
        <v>654</v>
      </c>
    </row>
    <row r="166" spans="2:2" ht="15.75" customHeight="1" x14ac:dyDescent="0.3">
      <c r="B166" t="s">
        <v>655</v>
      </c>
    </row>
    <row r="167" spans="2:2" ht="15.75" customHeight="1" x14ac:dyDescent="0.3">
      <c r="B167" t="s">
        <v>656</v>
      </c>
    </row>
    <row r="168" spans="2:2" ht="15.75" customHeight="1" x14ac:dyDescent="0.3">
      <c r="B168" t="s">
        <v>657</v>
      </c>
    </row>
    <row r="169" spans="2:2" ht="15.75" customHeight="1" x14ac:dyDescent="0.3">
      <c r="B169" t="s">
        <v>658</v>
      </c>
    </row>
    <row r="170" spans="2:2" ht="15.75" customHeight="1" x14ac:dyDescent="0.3">
      <c r="B170" t="s">
        <v>659</v>
      </c>
    </row>
    <row r="171" spans="2:2" ht="15.75" customHeight="1" x14ac:dyDescent="0.3">
      <c r="B171" t="s">
        <v>660</v>
      </c>
    </row>
    <row r="172" spans="2:2" ht="15.75" customHeight="1" x14ac:dyDescent="0.3">
      <c r="B172" t="s">
        <v>661</v>
      </c>
    </row>
    <row r="173" spans="2:2" ht="15.75" customHeight="1" x14ac:dyDescent="0.3">
      <c r="B173" t="s">
        <v>662</v>
      </c>
    </row>
    <row r="174" spans="2:2" ht="15.75" customHeight="1" x14ac:dyDescent="0.3">
      <c r="B174" t="s">
        <v>663</v>
      </c>
    </row>
    <row r="175" spans="2:2" ht="15.75" customHeight="1" x14ac:dyDescent="0.3">
      <c r="B175" t="s">
        <v>664</v>
      </c>
    </row>
    <row r="176" spans="2:2" ht="15.75" customHeight="1" x14ac:dyDescent="0.3">
      <c r="B176" t="s">
        <v>665</v>
      </c>
    </row>
    <row r="177" spans="2:2" ht="15.75" customHeight="1" x14ac:dyDescent="0.3">
      <c r="B177" t="s">
        <v>666</v>
      </c>
    </row>
    <row r="178" spans="2:2" ht="15.75" customHeight="1" x14ac:dyDescent="0.3">
      <c r="B178" t="s">
        <v>667</v>
      </c>
    </row>
    <row r="179" spans="2:2" ht="15.75" customHeight="1" x14ac:dyDescent="0.3">
      <c r="B179" t="s">
        <v>668</v>
      </c>
    </row>
    <row r="180" spans="2:2" ht="15.75" customHeight="1" x14ac:dyDescent="0.3">
      <c r="B180" t="s">
        <v>669</v>
      </c>
    </row>
    <row r="181" spans="2:2" ht="15.75" customHeight="1" x14ac:dyDescent="0.3">
      <c r="B181" t="s">
        <v>670</v>
      </c>
    </row>
    <row r="182" spans="2:2" ht="15.75" customHeight="1" x14ac:dyDescent="0.3">
      <c r="B182" t="s">
        <v>671</v>
      </c>
    </row>
    <row r="183" spans="2:2" ht="15.75" customHeight="1" x14ac:dyDescent="0.3">
      <c r="B183" t="s">
        <v>672</v>
      </c>
    </row>
    <row r="184" spans="2:2" ht="15.75" customHeight="1" x14ac:dyDescent="0.3">
      <c r="B184" t="s">
        <v>673</v>
      </c>
    </row>
    <row r="185" spans="2:2" ht="15.75" customHeight="1" x14ac:dyDescent="0.3">
      <c r="B185" t="s">
        <v>674</v>
      </c>
    </row>
    <row r="186" spans="2:2" ht="15.75" customHeight="1" x14ac:dyDescent="0.3">
      <c r="B186" t="s">
        <v>675</v>
      </c>
    </row>
    <row r="187" spans="2:2" ht="15.75" customHeight="1" x14ac:dyDescent="0.3">
      <c r="B187" t="s">
        <v>676</v>
      </c>
    </row>
    <row r="188" spans="2:2" ht="15.75" customHeight="1" x14ac:dyDescent="0.3">
      <c r="B188" t="s">
        <v>677</v>
      </c>
    </row>
    <row r="189" spans="2:2" ht="15.75" customHeight="1" x14ac:dyDescent="0.3">
      <c r="B189" t="s">
        <v>678</v>
      </c>
    </row>
    <row r="190" spans="2:2" ht="15.75" customHeight="1" x14ac:dyDescent="0.3">
      <c r="B190" t="s">
        <v>679</v>
      </c>
    </row>
    <row r="191" spans="2:2" ht="15.75" customHeight="1" x14ac:dyDescent="0.3">
      <c r="B191" t="s">
        <v>680</v>
      </c>
    </row>
    <row r="192" spans="2:2" ht="15.75" customHeight="1" x14ac:dyDescent="0.3">
      <c r="B192" t="s">
        <v>681</v>
      </c>
    </row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B44:E44"/>
    <mergeCell ref="B25:D29"/>
    <mergeCell ref="B30:D34"/>
    <mergeCell ref="B35:D36"/>
    <mergeCell ref="B8:O8"/>
    <mergeCell ref="G10:O12"/>
    <mergeCell ref="G14:N15"/>
    <mergeCell ref="G17:N18"/>
    <mergeCell ref="B23:O23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Q1000"/>
  <sheetViews>
    <sheetView topLeftCell="A82" workbookViewId="0">
      <selection activeCell="O87" sqref="O87"/>
    </sheetView>
  </sheetViews>
  <sheetFormatPr baseColWidth="10" defaultColWidth="14.44140625" defaultRowHeight="15" customHeight="1" x14ac:dyDescent="0.3"/>
  <cols>
    <col min="1" max="3" width="10.77734375" customWidth="1"/>
    <col min="4" max="4" width="20.44140625" customWidth="1"/>
    <col min="5" max="5" width="11.77734375" bestFit="1" customWidth="1"/>
    <col min="6" max="7" width="10.77734375" customWidth="1"/>
    <col min="8" max="8" width="13.21875" customWidth="1"/>
    <col min="9" max="11" width="10.77734375" customWidth="1"/>
    <col min="12" max="12" width="12.77734375" bestFit="1" customWidth="1"/>
    <col min="13" max="13" width="17.21875" customWidth="1"/>
    <col min="14" max="15" width="10.77734375" customWidth="1"/>
    <col min="16" max="16" width="17.88671875" customWidth="1"/>
    <col min="17" max="17" width="11.77734375" bestFit="1" customWidth="1"/>
    <col min="18" max="26" width="10.77734375" customWidth="1"/>
  </cols>
  <sheetData>
    <row r="2" spans="2:6" ht="14.4" x14ac:dyDescent="0.3">
      <c r="B2" s="1"/>
      <c r="C2" s="5" t="s">
        <v>31</v>
      </c>
    </row>
    <row r="3" spans="2:6" ht="15" customHeight="1" x14ac:dyDescent="0.3">
      <c r="D3" s="6" t="s">
        <v>32</v>
      </c>
      <c r="E3" s="6" t="s">
        <v>33</v>
      </c>
      <c r="F3" s="6" t="s">
        <v>34</v>
      </c>
    </row>
    <row r="4" spans="2:6" ht="15" customHeight="1" x14ac:dyDescent="0.3">
      <c r="D4" s="85"/>
      <c r="E4" s="86"/>
      <c r="F4" s="87"/>
    </row>
    <row r="5" spans="2:6" ht="15" customHeight="1" x14ac:dyDescent="0.3">
      <c r="D5" s="7" t="s">
        <v>35</v>
      </c>
      <c r="E5" s="7">
        <v>1100000</v>
      </c>
      <c r="F5" s="7">
        <v>100000</v>
      </c>
    </row>
    <row r="6" spans="2:6" ht="15" customHeight="1" x14ac:dyDescent="0.3">
      <c r="D6" s="7" t="s">
        <v>36</v>
      </c>
      <c r="E6" s="7">
        <v>800000</v>
      </c>
      <c r="F6" s="7">
        <v>700000</v>
      </c>
    </row>
    <row r="7" spans="2:6" ht="15" customHeight="1" x14ac:dyDescent="0.3">
      <c r="D7" s="7" t="s">
        <v>37</v>
      </c>
      <c r="E7" s="7">
        <v>600000</v>
      </c>
      <c r="F7" s="7">
        <v>600000</v>
      </c>
    </row>
    <row r="8" spans="2:6" ht="15" customHeight="1" x14ac:dyDescent="0.3">
      <c r="D8" s="7" t="s">
        <v>38</v>
      </c>
      <c r="E8" s="7">
        <v>600000</v>
      </c>
      <c r="F8" s="7">
        <v>1400000</v>
      </c>
    </row>
    <row r="9" spans="2:6" ht="15" customHeight="1" x14ac:dyDescent="0.3">
      <c r="D9" s="7" t="s">
        <v>39</v>
      </c>
      <c r="E9" s="7">
        <v>600000</v>
      </c>
      <c r="F9" s="7">
        <v>600000</v>
      </c>
    </row>
    <row r="10" spans="2:6" ht="15" customHeight="1" x14ac:dyDescent="0.3">
      <c r="D10" s="7" t="s">
        <v>40</v>
      </c>
      <c r="E10" s="7">
        <v>600000</v>
      </c>
      <c r="F10" s="7">
        <v>600000</v>
      </c>
    </row>
    <row r="11" spans="2:6" ht="15" customHeight="1" x14ac:dyDescent="0.3">
      <c r="D11" s="7" t="s">
        <v>41</v>
      </c>
      <c r="E11" s="7">
        <v>1500000</v>
      </c>
      <c r="F11" s="7">
        <v>500000</v>
      </c>
    </row>
    <row r="12" spans="2:6" ht="15" customHeight="1" x14ac:dyDescent="0.3">
      <c r="D12" s="7" t="s">
        <v>42</v>
      </c>
      <c r="E12" s="7">
        <v>300000</v>
      </c>
      <c r="F12" s="7">
        <v>-300000</v>
      </c>
    </row>
    <row r="13" spans="2:6" ht="15" customHeight="1" x14ac:dyDescent="0.3">
      <c r="D13" s="7" t="s">
        <v>43</v>
      </c>
      <c r="E13" s="7">
        <v>300000</v>
      </c>
      <c r="F13" s="7">
        <v>-300000</v>
      </c>
    </row>
    <row r="14" spans="2:6" ht="15" customHeight="1" x14ac:dyDescent="0.3">
      <c r="D14" s="7" t="s">
        <v>44</v>
      </c>
      <c r="E14" s="7">
        <v>1000000</v>
      </c>
      <c r="F14" s="7">
        <v>3000000</v>
      </c>
    </row>
    <row r="15" spans="2:6" ht="15" customHeight="1" x14ac:dyDescent="0.3">
      <c r="D15" s="7" t="s">
        <v>45</v>
      </c>
      <c r="E15" s="7">
        <v>4000000</v>
      </c>
      <c r="F15" s="7">
        <v>-1500000</v>
      </c>
    </row>
    <row r="16" spans="2:6" ht="15" customHeight="1" x14ac:dyDescent="0.3">
      <c r="D16" s="7" t="s">
        <v>46</v>
      </c>
      <c r="E16" s="7">
        <v>2000000</v>
      </c>
      <c r="F16" s="7">
        <v>3000000</v>
      </c>
    </row>
    <row r="17" spans="3:11" ht="15" customHeight="1" x14ac:dyDescent="0.3">
      <c r="E17" s="5"/>
      <c r="F17" s="5"/>
    </row>
    <row r="21" spans="3:11" ht="15.75" customHeight="1" x14ac:dyDescent="0.3"/>
    <row r="22" spans="3:11" ht="15.75" customHeight="1" x14ac:dyDescent="0.3">
      <c r="C22" s="5" t="s">
        <v>47</v>
      </c>
    </row>
    <row r="23" spans="3:11" ht="15.75" customHeight="1" x14ac:dyDescent="0.3">
      <c r="C23" s="5" t="s">
        <v>48</v>
      </c>
    </row>
    <row r="24" spans="3:11" ht="15.75" customHeight="1" x14ac:dyDescent="0.3">
      <c r="C24" s="5" t="s">
        <v>49</v>
      </c>
    </row>
    <row r="25" spans="3:11" ht="15.75" customHeight="1" x14ac:dyDescent="0.3">
      <c r="C25" s="88" t="s">
        <v>50</v>
      </c>
    </row>
    <row r="26" spans="3:11" ht="15.75" customHeight="1" x14ac:dyDescent="0.3">
      <c r="C26" s="1" t="s">
        <v>51</v>
      </c>
    </row>
    <row r="27" spans="3:11" ht="15.75" customHeight="1" x14ac:dyDescent="0.3"/>
    <row r="28" spans="3:11" ht="15.75" customHeight="1" x14ac:dyDescent="0.3"/>
    <row r="29" spans="3:11" ht="15.75" customHeight="1" x14ac:dyDescent="0.3">
      <c r="C29" s="4" t="s">
        <v>52</v>
      </c>
    </row>
    <row r="30" spans="3:11" ht="15.75" customHeight="1" x14ac:dyDescent="0.3"/>
    <row r="31" spans="3:11" ht="15.75" customHeight="1" x14ac:dyDescent="0.3">
      <c r="C31" s="8" t="s">
        <v>53</v>
      </c>
      <c r="D31" s="8" t="s">
        <v>28</v>
      </c>
      <c r="E31" s="8" t="s">
        <v>54</v>
      </c>
      <c r="F31" s="9" t="s">
        <v>55</v>
      </c>
      <c r="G31" s="98"/>
    </row>
    <row r="32" spans="3:11" ht="15.75" customHeight="1" x14ac:dyDescent="0.3">
      <c r="C32" s="10" t="s">
        <v>35</v>
      </c>
      <c r="D32" s="11" t="s">
        <v>56</v>
      </c>
      <c r="E32" s="161">
        <v>15200</v>
      </c>
      <c r="F32" s="12" t="s">
        <v>57</v>
      </c>
      <c r="H32" s="4"/>
      <c r="I32" s="128" t="s">
        <v>58</v>
      </c>
      <c r="J32" s="117"/>
      <c r="K32" s="117"/>
    </row>
    <row r="33" spans="3:17" ht="15.75" customHeight="1" x14ac:dyDescent="0.3">
      <c r="C33" s="10" t="s">
        <v>35</v>
      </c>
      <c r="D33" s="11" t="s">
        <v>59</v>
      </c>
      <c r="E33" s="161">
        <v>18300</v>
      </c>
      <c r="F33" s="12" t="s">
        <v>61</v>
      </c>
    </row>
    <row r="34" spans="3:17" ht="15.75" customHeight="1" x14ac:dyDescent="0.3">
      <c r="C34" s="10" t="s">
        <v>35</v>
      </c>
      <c r="D34" s="11" t="s">
        <v>60</v>
      </c>
      <c r="E34" s="161">
        <v>14599</v>
      </c>
      <c r="F34" s="12" t="s">
        <v>61</v>
      </c>
      <c r="H34" s="129" t="s">
        <v>62</v>
      </c>
      <c r="I34" s="117"/>
      <c r="J34" s="117"/>
      <c r="K34" s="117"/>
      <c r="L34" s="117"/>
      <c r="M34" s="117"/>
      <c r="N34" s="117"/>
      <c r="O34" s="117"/>
    </row>
    <row r="35" spans="3:17" ht="15.75" customHeight="1" x14ac:dyDescent="0.3">
      <c r="C35" s="10" t="s">
        <v>35</v>
      </c>
      <c r="D35" s="11" t="s">
        <v>63</v>
      </c>
      <c r="E35" s="161">
        <v>26500</v>
      </c>
      <c r="F35" s="12" t="s">
        <v>57</v>
      </c>
      <c r="H35" s="128" t="s">
        <v>64</v>
      </c>
      <c r="I35" s="117"/>
      <c r="J35" s="117"/>
      <c r="K35" s="117"/>
      <c r="L35" s="117"/>
      <c r="M35" s="117"/>
      <c r="N35" s="117"/>
      <c r="O35" s="117"/>
      <c r="P35" s="117"/>
    </row>
    <row r="36" spans="3:17" ht="15.75" customHeight="1" x14ac:dyDescent="0.3">
      <c r="C36" s="10" t="s">
        <v>36</v>
      </c>
      <c r="D36" s="11" t="s">
        <v>56</v>
      </c>
      <c r="E36" s="161">
        <v>24000</v>
      </c>
      <c r="F36" s="12" t="s">
        <v>61</v>
      </c>
      <c r="H36" s="128" t="s">
        <v>65</v>
      </c>
      <c r="I36" s="117"/>
      <c r="J36" s="117"/>
      <c r="K36" s="117"/>
      <c r="L36" s="117"/>
      <c r="M36" s="117"/>
      <c r="N36" s="117"/>
    </row>
    <row r="37" spans="3:17" ht="15.75" customHeight="1" x14ac:dyDescent="0.3">
      <c r="C37" s="10" t="s">
        <v>36</v>
      </c>
      <c r="D37" s="11" t="s">
        <v>59</v>
      </c>
      <c r="E37" s="161">
        <v>25800</v>
      </c>
      <c r="F37" s="12" t="s">
        <v>66</v>
      </c>
      <c r="H37" s="128" t="s">
        <v>67</v>
      </c>
      <c r="I37" s="117"/>
      <c r="J37" s="117"/>
      <c r="K37" s="117"/>
    </row>
    <row r="38" spans="3:17" ht="15.75" customHeight="1" x14ac:dyDescent="0.3">
      <c r="C38" s="10" t="s">
        <v>36</v>
      </c>
      <c r="D38" s="11" t="s">
        <v>60</v>
      </c>
      <c r="E38" s="161">
        <v>30500</v>
      </c>
      <c r="F38" s="12" t="s">
        <v>66</v>
      </c>
      <c r="H38" s="1"/>
    </row>
    <row r="39" spans="3:17" ht="15.75" customHeight="1" x14ac:dyDescent="0.3">
      <c r="C39" s="10" t="s">
        <v>37</v>
      </c>
      <c r="D39" s="11" t="s">
        <v>63</v>
      </c>
      <c r="E39" s="161">
        <v>32100</v>
      </c>
      <c r="F39" s="12" t="s">
        <v>57</v>
      </c>
      <c r="H39" s="3" t="s">
        <v>68</v>
      </c>
      <c r="I39" s="134" t="s">
        <v>69</v>
      </c>
      <c r="J39" s="135"/>
      <c r="K39" s="136"/>
      <c r="L39" s="89" t="s">
        <v>70</v>
      </c>
      <c r="P39" s="162"/>
    </row>
    <row r="40" spans="3:17" ht="15.75" customHeight="1" x14ac:dyDescent="0.3">
      <c r="C40" s="10" t="s">
        <v>37</v>
      </c>
      <c r="D40" s="11" t="s">
        <v>56</v>
      </c>
      <c r="E40" s="161">
        <v>33200</v>
      </c>
      <c r="F40" s="12" t="s">
        <v>61</v>
      </c>
      <c r="H40" s="3" t="s">
        <v>71</v>
      </c>
      <c r="I40" s="137" t="s">
        <v>72</v>
      </c>
      <c r="J40" s="121"/>
      <c r="K40" s="121"/>
      <c r="L40" s="121"/>
      <c r="M40" s="122"/>
    </row>
    <row r="41" spans="3:17" ht="15.75" customHeight="1" x14ac:dyDescent="0.3">
      <c r="C41" s="10" t="s">
        <v>37</v>
      </c>
      <c r="D41" s="11" t="s">
        <v>59</v>
      </c>
      <c r="E41" s="161">
        <v>45000</v>
      </c>
      <c r="F41" s="12" t="s">
        <v>57</v>
      </c>
      <c r="H41" s="3" t="s">
        <v>73</v>
      </c>
      <c r="I41" s="137" t="s">
        <v>74</v>
      </c>
      <c r="J41" s="122"/>
      <c r="K41" s="90" t="s">
        <v>75</v>
      </c>
    </row>
    <row r="42" spans="3:17" ht="15.75" customHeight="1" x14ac:dyDescent="0.3">
      <c r="C42" s="10" t="s">
        <v>38</v>
      </c>
      <c r="D42" s="11" t="s">
        <v>56</v>
      </c>
      <c r="E42" s="161">
        <v>25000</v>
      </c>
      <c r="F42" s="12" t="s">
        <v>61</v>
      </c>
    </row>
    <row r="43" spans="3:17" ht="15.75" customHeight="1" thickBot="1" x14ac:dyDescent="0.35">
      <c r="C43" s="10" t="s">
        <v>38</v>
      </c>
      <c r="D43" s="11" t="s">
        <v>59</v>
      </c>
      <c r="E43" s="161">
        <v>24000</v>
      </c>
      <c r="F43" s="12" t="s">
        <v>66</v>
      </c>
    </row>
    <row r="44" spans="3:17" ht="15.75" customHeight="1" x14ac:dyDescent="0.3">
      <c r="C44" s="10" t="s">
        <v>38</v>
      </c>
      <c r="D44" s="11" t="s">
        <v>60</v>
      </c>
      <c r="E44" s="161">
        <v>36000</v>
      </c>
      <c r="F44" s="12" t="s">
        <v>57</v>
      </c>
      <c r="I44" s="139" t="s">
        <v>696</v>
      </c>
      <c r="J44" s="140"/>
      <c r="K44" s="140"/>
      <c r="L44" s="158">
        <f>SUMIF(C32:C45,C32,E32:E45)</f>
        <v>74599</v>
      </c>
      <c r="N44" s="139" t="s">
        <v>699</v>
      </c>
      <c r="O44" s="140"/>
      <c r="P44" s="140"/>
      <c r="Q44" s="158">
        <f>AVERAGEIF(F32:F45,F33,E32:E45)</f>
        <v>23183.166666666668</v>
      </c>
    </row>
    <row r="45" spans="3:17" ht="15.75" customHeight="1" x14ac:dyDescent="0.3">
      <c r="C45" s="10" t="s">
        <v>38</v>
      </c>
      <c r="D45" s="11" t="s">
        <v>63</v>
      </c>
      <c r="E45" s="161">
        <v>24000</v>
      </c>
      <c r="F45" s="12" t="s">
        <v>61</v>
      </c>
      <c r="I45" s="141" t="s">
        <v>697</v>
      </c>
      <c r="J45" s="142"/>
      <c r="K45" s="142"/>
      <c r="L45" s="159">
        <f>SUMIF(C32:C45,C36,E32:E45)</f>
        <v>80300</v>
      </c>
      <c r="N45" s="141" t="s">
        <v>700</v>
      </c>
      <c r="O45" s="142"/>
      <c r="P45" s="142"/>
      <c r="Q45" s="159">
        <f>SUMIF(F32:F45,F37,E32:E45)</f>
        <v>80300</v>
      </c>
    </row>
    <row r="46" spans="3:17" ht="15.75" customHeight="1" thickBot="1" x14ac:dyDescent="0.35">
      <c r="I46" s="143" t="s">
        <v>698</v>
      </c>
      <c r="J46" s="144"/>
      <c r="K46" s="144"/>
      <c r="L46" s="160">
        <f>SUMIF(C32:C45,C39,E32:E45)</f>
        <v>110300</v>
      </c>
      <c r="N46" s="143" t="s">
        <v>701</v>
      </c>
      <c r="O46" s="144"/>
      <c r="P46" s="144"/>
      <c r="Q46" s="160">
        <f>_xlfn.MAXIFS(E32:E45,C32:C45,C42,F32:F45,F33)</f>
        <v>25000</v>
      </c>
    </row>
    <row r="47" spans="3:17" ht="15.75" customHeight="1" x14ac:dyDescent="0.3"/>
    <row r="48" spans="3:17" ht="15.75" customHeight="1" x14ac:dyDescent="0.3"/>
    <row r="49" spans="3:15" ht="15.75" customHeight="1" x14ac:dyDescent="0.3">
      <c r="C49" s="1" t="s">
        <v>76</v>
      </c>
    </row>
    <row r="50" spans="3:15" ht="15.75" customHeight="1" x14ac:dyDescent="0.3"/>
    <row r="51" spans="3:15" ht="15.75" customHeight="1" x14ac:dyDescent="0.3">
      <c r="C51" s="13" t="s">
        <v>53</v>
      </c>
      <c r="D51" s="13" t="s">
        <v>28</v>
      </c>
      <c r="E51" s="13" t="s">
        <v>54</v>
      </c>
      <c r="F51" s="14" t="s">
        <v>55</v>
      </c>
    </row>
    <row r="52" spans="3:15" ht="15.75" customHeight="1" x14ac:dyDescent="0.3">
      <c r="C52" s="6" t="s">
        <v>35</v>
      </c>
      <c r="D52" s="15" t="s">
        <v>56</v>
      </c>
      <c r="E52" s="163">
        <v>15200</v>
      </c>
      <c r="F52" s="16" t="s">
        <v>57</v>
      </c>
      <c r="H52" s="5"/>
      <c r="I52" s="128" t="s">
        <v>77</v>
      </c>
      <c r="J52" s="117"/>
      <c r="K52" s="117"/>
      <c r="L52" s="117"/>
    </row>
    <row r="53" spans="3:15" ht="15.75" customHeight="1" x14ac:dyDescent="0.3">
      <c r="C53" s="6" t="s">
        <v>35</v>
      </c>
      <c r="D53" s="15" t="s">
        <v>59</v>
      </c>
      <c r="E53" s="163">
        <v>18300</v>
      </c>
      <c r="F53" s="16" t="s">
        <v>61</v>
      </c>
    </row>
    <row r="54" spans="3:15" ht="15.75" customHeight="1" x14ac:dyDescent="0.3">
      <c r="C54" s="6" t="s">
        <v>35</v>
      </c>
      <c r="D54" s="15" t="s">
        <v>60</v>
      </c>
      <c r="E54" s="163">
        <v>14599</v>
      </c>
      <c r="F54" s="16" t="s">
        <v>61</v>
      </c>
      <c r="H54" s="128" t="s">
        <v>78</v>
      </c>
      <c r="I54" s="117"/>
      <c r="J54" s="117"/>
      <c r="K54" s="117"/>
      <c r="L54" s="117"/>
      <c r="M54" s="117"/>
      <c r="N54" s="117"/>
      <c r="O54" s="117"/>
    </row>
    <row r="55" spans="3:15" ht="15.75" customHeight="1" x14ac:dyDescent="0.3">
      <c r="C55" s="6" t="s">
        <v>35</v>
      </c>
      <c r="D55" s="15" t="s">
        <v>63</v>
      </c>
      <c r="E55" s="163">
        <v>26500</v>
      </c>
      <c r="F55" s="16" t="s">
        <v>57</v>
      </c>
      <c r="H55" s="129" t="s">
        <v>79</v>
      </c>
      <c r="I55" s="117"/>
      <c r="J55" s="117"/>
      <c r="K55" s="117"/>
      <c r="L55" s="117"/>
      <c r="M55" s="117"/>
      <c r="N55" s="117"/>
      <c r="O55" s="117"/>
    </row>
    <row r="56" spans="3:15" ht="15.75" customHeight="1" x14ac:dyDescent="0.3">
      <c r="C56" s="6" t="s">
        <v>36</v>
      </c>
      <c r="D56" s="15" t="s">
        <v>56</v>
      </c>
      <c r="E56" s="163">
        <v>24000</v>
      </c>
      <c r="F56" s="16" t="s">
        <v>61</v>
      </c>
      <c r="H56" s="129" t="s">
        <v>65</v>
      </c>
      <c r="I56" s="117"/>
      <c r="J56" s="117"/>
      <c r="K56" s="117"/>
      <c r="L56" s="117"/>
      <c r="M56" s="117"/>
      <c r="N56" s="117"/>
      <c r="O56" s="117"/>
    </row>
    <row r="57" spans="3:15" ht="15.75" customHeight="1" x14ac:dyDescent="0.3">
      <c r="C57" s="6" t="s">
        <v>36</v>
      </c>
      <c r="D57" s="15" t="s">
        <v>59</v>
      </c>
      <c r="E57" s="163">
        <v>25800</v>
      </c>
      <c r="F57" s="16" t="s">
        <v>66</v>
      </c>
    </row>
    <row r="58" spans="3:15" ht="15.75" customHeight="1" thickBot="1" x14ac:dyDescent="0.35">
      <c r="C58" s="6" t="s">
        <v>36</v>
      </c>
      <c r="D58" s="15" t="s">
        <v>60</v>
      </c>
      <c r="E58" s="163">
        <v>30500</v>
      </c>
      <c r="F58" s="16" t="s">
        <v>66</v>
      </c>
    </row>
    <row r="59" spans="3:15" ht="15.75" customHeight="1" x14ac:dyDescent="0.3">
      <c r="C59" s="6" t="s">
        <v>37</v>
      </c>
      <c r="D59" s="15" t="s">
        <v>63</v>
      </c>
      <c r="E59" s="163">
        <v>32100</v>
      </c>
      <c r="F59" s="16" t="s">
        <v>57</v>
      </c>
      <c r="I59" s="139" t="s">
        <v>702</v>
      </c>
      <c r="J59" s="140"/>
      <c r="K59" s="140"/>
      <c r="L59" s="158">
        <f>SUMIFS(E52:E65,D52:D65,D53,F52:F65,F57)</f>
        <v>49800</v>
      </c>
    </row>
    <row r="60" spans="3:15" ht="15.75" customHeight="1" x14ac:dyDescent="0.3">
      <c r="C60" s="6" t="s">
        <v>37</v>
      </c>
      <c r="D60" s="15" t="s">
        <v>56</v>
      </c>
      <c r="E60" s="163">
        <v>33200</v>
      </c>
      <c r="F60" s="16" t="s">
        <v>61</v>
      </c>
      <c r="I60" s="141" t="s">
        <v>703</v>
      </c>
      <c r="J60" s="142"/>
      <c r="K60" s="142"/>
      <c r="L60" s="159">
        <f>AVERAGEIFS(E52:E65,D52:D65,D52,F52:F65,F53)</f>
        <v>27400</v>
      </c>
    </row>
    <row r="61" spans="3:15" ht="15.75" customHeight="1" thickBot="1" x14ac:dyDescent="0.35">
      <c r="C61" s="6" t="s">
        <v>37</v>
      </c>
      <c r="D61" s="15" t="s">
        <v>59</v>
      </c>
      <c r="E61" s="163">
        <v>45000</v>
      </c>
      <c r="F61" s="16" t="s">
        <v>57</v>
      </c>
      <c r="I61" s="143" t="s">
        <v>704</v>
      </c>
      <c r="J61" s="144"/>
      <c r="K61" s="144"/>
      <c r="L61" s="160">
        <f>SUMIF(E52:E65,"&gt;25000")</f>
        <v>229100</v>
      </c>
    </row>
    <row r="62" spans="3:15" ht="15.75" customHeight="1" x14ac:dyDescent="0.3">
      <c r="C62" s="6" t="s">
        <v>38</v>
      </c>
      <c r="D62" s="15" t="s">
        <v>56</v>
      </c>
      <c r="E62" s="163">
        <v>25000</v>
      </c>
      <c r="F62" s="16" t="s">
        <v>61</v>
      </c>
    </row>
    <row r="63" spans="3:15" ht="15.75" customHeight="1" x14ac:dyDescent="0.3">
      <c r="C63" s="6" t="s">
        <v>38</v>
      </c>
      <c r="D63" s="15" t="s">
        <v>59</v>
      </c>
      <c r="E63" s="163">
        <v>24000</v>
      </c>
      <c r="F63" s="16" t="s">
        <v>66</v>
      </c>
    </row>
    <row r="64" spans="3:15" ht="15.75" customHeight="1" x14ac:dyDescent="0.3">
      <c r="C64" s="6" t="s">
        <v>38</v>
      </c>
      <c r="D64" s="15" t="s">
        <v>60</v>
      </c>
      <c r="E64" s="163">
        <v>36000</v>
      </c>
      <c r="F64" s="16" t="s">
        <v>57</v>
      </c>
    </row>
    <row r="65" spans="2:15" ht="15.75" customHeight="1" x14ac:dyDescent="0.3">
      <c r="C65" s="6" t="s">
        <v>38</v>
      </c>
      <c r="D65" s="15" t="s">
        <v>63</v>
      </c>
      <c r="E65" s="163">
        <v>24000</v>
      </c>
      <c r="F65" s="16" t="s">
        <v>61</v>
      </c>
      <c r="H65" s="162"/>
    </row>
    <row r="66" spans="2:15" ht="15.75" customHeight="1" x14ac:dyDescent="0.3"/>
    <row r="67" spans="2:15" ht="15.75" customHeight="1" x14ac:dyDescent="0.3"/>
    <row r="68" spans="2:15" ht="15.75" customHeight="1" x14ac:dyDescent="0.35">
      <c r="C68" s="138" t="s">
        <v>27</v>
      </c>
      <c r="D68" s="117"/>
    </row>
    <row r="69" spans="2:15" ht="15.75" customHeight="1" x14ac:dyDescent="0.3"/>
    <row r="70" spans="2:15" ht="15.75" customHeight="1" x14ac:dyDescent="0.35">
      <c r="B70" s="42"/>
    </row>
    <row r="71" spans="2:15" ht="15.75" customHeight="1" x14ac:dyDescent="0.3"/>
    <row r="72" spans="2:15" ht="15.75" customHeight="1" x14ac:dyDescent="0.3"/>
    <row r="73" spans="2:15" ht="15.75" customHeight="1" x14ac:dyDescent="0.3"/>
    <row r="74" spans="2:15" ht="15.75" customHeight="1" thickBot="1" x14ac:dyDescent="0.35"/>
    <row r="75" spans="2:15" ht="15.75" customHeight="1" thickBot="1" x14ac:dyDescent="0.35">
      <c r="B75" s="39" t="s">
        <v>80</v>
      </c>
      <c r="C75" s="39" t="s">
        <v>81</v>
      </c>
      <c r="D75" s="39" t="s">
        <v>82</v>
      </c>
      <c r="E75" s="40" t="s">
        <v>29</v>
      </c>
      <c r="I75" s="130" t="s">
        <v>83</v>
      </c>
      <c r="J75" s="130"/>
      <c r="K75" s="130"/>
      <c r="L75" s="164">
        <f t="array" ref="L75">SUMIF(D76:D150,D76,E76:E150)</f>
        <v>111691</v>
      </c>
    </row>
    <row r="76" spans="2:15" ht="15.75" customHeight="1" thickBot="1" x14ac:dyDescent="0.35">
      <c r="B76" s="41" t="s">
        <v>84</v>
      </c>
      <c r="C76" s="41" t="s">
        <v>85</v>
      </c>
      <c r="D76" s="41" t="s">
        <v>86</v>
      </c>
      <c r="E76" s="165">
        <v>10954</v>
      </c>
      <c r="I76" s="130" t="s">
        <v>87</v>
      </c>
      <c r="J76" s="130"/>
      <c r="K76" s="130"/>
      <c r="L76" s="164">
        <f>SUMIF(D76:D150,D86,E76:E150)</f>
        <v>85411</v>
      </c>
    </row>
    <row r="77" spans="2:15" ht="15.75" customHeight="1" thickBot="1" x14ac:dyDescent="0.35">
      <c r="B77" s="41" t="s">
        <v>88</v>
      </c>
      <c r="C77" s="41" t="s">
        <v>85</v>
      </c>
      <c r="D77" s="41" t="s">
        <v>86</v>
      </c>
      <c r="E77" s="165">
        <v>9641</v>
      </c>
      <c r="I77" s="130" t="s">
        <v>89</v>
      </c>
      <c r="J77" s="130"/>
      <c r="K77" s="130"/>
      <c r="L77" s="164">
        <f>SUMIF(D76:D150,D85,E76:E150)</f>
        <v>96573</v>
      </c>
    </row>
    <row r="78" spans="2:15" ht="15.75" customHeight="1" thickBot="1" x14ac:dyDescent="0.35">
      <c r="B78" s="41" t="s">
        <v>90</v>
      </c>
      <c r="C78" s="41" t="s">
        <v>85</v>
      </c>
      <c r="D78" s="41" t="s">
        <v>91</v>
      </c>
      <c r="E78" s="165">
        <v>14649</v>
      </c>
    </row>
    <row r="79" spans="2:15" ht="15.75" customHeight="1" thickBot="1" x14ac:dyDescent="0.35">
      <c r="B79" s="41" t="s">
        <v>92</v>
      </c>
      <c r="C79" s="41" t="s">
        <v>93</v>
      </c>
      <c r="D79" s="41" t="s">
        <v>91</v>
      </c>
      <c r="E79" s="165">
        <v>3161</v>
      </c>
      <c r="H79" s="131" t="s">
        <v>94</v>
      </c>
      <c r="I79" s="132"/>
      <c r="J79" s="132"/>
      <c r="K79" s="132"/>
      <c r="L79" s="132"/>
      <c r="M79" s="132"/>
      <c r="N79" s="132"/>
      <c r="O79" s="133"/>
    </row>
    <row r="80" spans="2:15" ht="15.75" customHeight="1" thickBot="1" x14ac:dyDescent="0.35">
      <c r="B80" s="41" t="s">
        <v>95</v>
      </c>
      <c r="C80" s="41" t="s">
        <v>93</v>
      </c>
      <c r="D80" s="41" t="s">
        <v>91</v>
      </c>
      <c r="E80" s="165">
        <v>9452</v>
      </c>
    </row>
    <row r="81" spans="2:10" ht="15.75" customHeight="1" thickBot="1" x14ac:dyDescent="0.35">
      <c r="B81" s="41" t="s">
        <v>96</v>
      </c>
      <c r="C81" s="41" t="s">
        <v>97</v>
      </c>
      <c r="D81" s="41" t="s">
        <v>91</v>
      </c>
      <c r="E81" s="165">
        <v>2783</v>
      </c>
      <c r="I81" s="41"/>
      <c r="J81" s="41"/>
    </row>
    <row r="82" spans="2:10" ht="15.75" customHeight="1" thickBot="1" x14ac:dyDescent="0.35">
      <c r="B82" s="41" t="s">
        <v>100</v>
      </c>
      <c r="C82" s="41" t="s">
        <v>97</v>
      </c>
      <c r="D82" s="41" t="s">
        <v>101</v>
      </c>
      <c r="E82" s="165">
        <v>10025</v>
      </c>
    </row>
    <row r="83" spans="2:10" ht="15.75" customHeight="1" thickBot="1" x14ac:dyDescent="0.35">
      <c r="B83" s="41" t="s">
        <v>102</v>
      </c>
      <c r="C83" s="41" t="s">
        <v>97</v>
      </c>
      <c r="D83" s="41" t="s">
        <v>91</v>
      </c>
      <c r="E83" s="165">
        <v>12631</v>
      </c>
      <c r="I83" s="41"/>
      <c r="J83" s="41"/>
    </row>
    <row r="84" spans="2:10" ht="15.75" customHeight="1" thickBot="1" x14ac:dyDescent="0.35">
      <c r="B84" s="41" t="s">
        <v>105</v>
      </c>
      <c r="C84" s="41" t="s">
        <v>106</v>
      </c>
      <c r="D84" s="41" t="s">
        <v>107</v>
      </c>
      <c r="E84" s="165">
        <v>13253</v>
      </c>
    </row>
    <row r="85" spans="2:10" ht="15.75" customHeight="1" thickBot="1" x14ac:dyDescent="0.35">
      <c r="B85" s="41" t="s">
        <v>108</v>
      </c>
      <c r="C85" s="41" t="s">
        <v>106</v>
      </c>
      <c r="D85" s="41" t="s">
        <v>109</v>
      </c>
      <c r="E85" s="165">
        <v>7713</v>
      </c>
    </row>
    <row r="86" spans="2:10" ht="15.75" customHeight="1" thickBot="1" x14ac:dyDescent="0.35">
      <c r="B86" s="41" t="s">
        <v>110</v>
      </c>
      <c r="C86" s="41" t="s">
        <v>111</v>
      </c>
      <c r="D86" s="41" t="s">
        <v>99</v>
      </c>
      <c r="E86" s="165">
        <v>8616</v>
      </c>
    </row>
    <row r="87" spans="2:10" ht="15.75" customHeight="1" thickBot="1" x14ac:dyDescent="0.35">
      <c r="B87" s="41" t="s">
        <v>112</v>
      </c>
      <c r="C87" s="41" t="s">
        <v>111</v>
      </c>
      <c r="D87" s="41" t="s">
        <v>99</v>
      </c>
      <c r="E87" s="165">
        <v>7008</v>
      </c>
    </row>
    <row r="88" spans="2:10" ht="15.75" customHeight="1" thickBot="1" x14ac:dyDescent="0.35">
      <c r="B88" s="41" t="s">
        <v>113</v>
      </c>
      <c r="C88" s="41" t="s">
        <v>114</v>
      </c>
      <c r="D88" s="41" t="s">
        <v>109</v>
      </c>
      <c r="E88" s="165">
        <v>7971</v>
      </c>
    </row>
    <row r="89" spans="2:10" ht="15.75" customHeight="1" thickBot="1" x14ac:dyDescent="0.35">
      <c r="B89" s="41" t="s">
        <v>115</v>
      </c>
      <c r="C89" s="41" t="s">
        <v>114</v>
      </c>
      <c r="D89" s="41" t="s">
        <v>101</v>
      </c>
      <c r="E89" s="165">
        <v>12604</v>
      </c>
    </row>
    <row r="90" spans="2:10" ht="15.75" customHeight="1" thickBot="1" x14ac:dyDescent="0.35">
      <c r="B90" s="41" t="s">
        <v>116</v>
      </c>
      <c r="C90" s="41" t="s">
        <v>114</v>
      </c>
      <c r="D90" s="41" t="s">
        <v>91</v>
      </c>
      <c r="E90" s="165">
        <v>8335</v>
      </c>
    </row>
    <row r="91" spans="2:10" ht="15.75" customHeight="1" thickBot="1" x14ac:dyDescent="0.35">
      <c r="B91" s="41" t="s">
        <v>117</v>
      </c>
      <c r="C91" s="41" t="s">
        <v>118</v>
      </c>
      <c r="D91" s="41" t="s">
        <v>119</v>
      </c>
      <c r="E91" s="165">
        <v>12279</v>
      </c>
    </row>
    <row r="92" spans="2:10" ht="15.75" customHeight="1" thickBot="1" x14ac:dyDescent="0.35">
      <c r="B92" s="41" t="s">
        <v>120</v>
      </c>
      <c r="C92" s="41" t="s">
        <v>118</v>
      </c>
      <c r="D92" s="41" t="s">
        <v>107</v>
      </c>
      <c r="E92" s="165">
        <v>13314</v>
      </c>
    </row>
    <row r="93" spans="2:10" ht="15.75" customHeight="1" thickBot="1" x14ac:dyDescent="0.35">
      <c r="B93" s="41" t="s">
        <v>121</v>
      </c>
      <c r="C93" s="41" t="s">
        <v>118</v>
      </c>
      <c r="D93" s="41" t="s">
        <v>109</v>
      </c>
      <c r="E93" s="165">
        <v>6271</v>
      </c>
    </row>
    <row r="94" spans="2:10" ht="15.75" customHeight="1" thickBot="1" x14ac:dyDescent="0.35">
      <c r="B94" s="41" t="s">
        <v>122</v>
      </c>
      <c r="C94" s="41" t="s">
        <v>123</v>
      </c>
      <c r="D94" s="41" t="s">
        <v>119</v>
      </c>
      <c r="E94" s="165">
        <v>10477</v>
      </c>
    </row>
    <row r="95" spans="2:10" ht="15.75" customHeight="1" thickBot="1" x14ac:dyDescent="0.35">
      <c r="B95" s="41" t="s">
        <v>124</v>
      </c>
      <c r="C95" s="41" t="s">
        <v>123</v>
      </c>
      <c r="D95" s="41" t="s">
        <v>119</v>
      </c>
      <c r="E95" s="165">
        <v>13603</v>
      </c>
    </row>
    <row r="96" spans="2:10" ht="15.75" customHeight="1" thickBot="1" x14ac:dyDescent="0.35">
      <c r="B96" s="41" t="s">
        <v>125</v>
      </c>
      <c r="C96" s="41" t="s">
        <v>123</v>
      </c>
      <c r="D96" s="41" t="s">
        <v>119</v>
      </c>
      <c r="E96" s="165">
        <v>5533</v>
      </c>
    </row>
    <row r="97" spans="2:5" ht="15.75" customHeight="1" thickBot="1" x14ac:dyDescent="0.35">
      <c r="B97" s="41" t="s">
        <v>126</v>
      </c>
      <c r="C97" s="41" t="s">
        <v>103</v>
      </c>
      <c r="D97" s="41" t="s">
        <v>104</v>
      </c>
      <c r="E97" s="165">
        <v>4907</v>
      </c>
    </row>
    <row r="98" spans="2:5" ht="15.75" customHeight="1" thickBot="1" x14ac:dyDescent="0.35">
      <c r="B98" s="41" t="s">
        <v>127</v>
      </c>
      <c r="C98" s="41" t="s">
        <v>103</v>
      </c>
      <c r="D98" s="41" t="s">
        <v>104</v>
      </c>
      <c r="E98" s="165">
        <v>3385</v>
      </c>
    </row>
    <row r="99" spans="2:5" ht="15.75" customHeight="1" thickBot="1" x14ac:dyDescent="0.35">
      <c r="B99" s="41" t="s">
        <v>128</v>
      </c>
      <c r="C99" s="41" t="s">
        <v>129</v>
      </c>
      <c r="D99" s="41" t="s">
        <v>86</v>
      </c>
      <c r="E99" s="165">
        <v>10127</v>
      </c>
    </row>
    <row r="100" spans="2:5" ht="15.75" customHeight="1" thickBot="1" x14ac:dyDescent="0.35">
      <c r="B100" s="41" t="s">
        <v>130</v>
      </c>
      <c r="C100" s="41" t="s">
        <v>131</v>
      </c>
      <c r="D100" s="41" t="s">
        <v>119</v>
      </c>
      <c r="E100" s="165">
        <v>5831</v>
      </c>
    </row>
    <row r="101" spans="2:5" ht="15.75" customHeight="1" thickBot="1" x14ac:dyDescent="0.35">
      <c r="B101" s="41" t="s">
        <v>132</v>
      </c>
      <c r="C101" s="41" t="s">
        <v>131</v>
      </c>
      <c r="D101" s="41" t="s">
        <v>119</v>
      </c>
      <c r="E101" s="165">
        <v>6099</v>
      </c>
    </row>
    <row r="102" spans="2:5" ht="15.75" customHeight="1" thickBot="1" x14ac:dyDescent="0.35">
      <c r="B102" s="41" t="s">
        <v>133</v>
      </c>
      <c r="C102" s="41" t="s">
        <v>131</v>
      </c>
      <c r="D102" s="41" t="s">
        <v>119</v>
      </c>
      <c r="E102" s="165">
        <v>9190</v>
      </c>
    </row>
    <row r="103" spans="2:5" ht="15.75" customHeight="1" thickBot="1" x14ac:dyDescent="0.35">
      <c r="B103" s="41" t="s">
        <v>134</v>
      </c>
      <c r="C103" s="41" t="s">
        <v>135</v>
      </c>
      <c r="D103" s="41" t="s">
        <v>101</v>
      </c>
      <c r="E103" s="165">
        <v>13372</v>
      </c>
    </row>
    <row r="104" spans="2:5" ht="15.75" customHeight="1" thickBot="1" x14ac:dyDescent="0.35">
      <c r="B104" s="41" t="s">
        <v>136</v>
      </c>
      <c r="C104" s="41" t="s">
        <v>135</v>
      </c>
      <c r="D104" s="41" t="s">
        <v>107</v>
      </c>
      <c r="E104" s="165">
        <v>11174</v>
      </c>
    </row>
    <row r="105" spans="2:5" ht="15.75" customHeight="1" thickBot="1" x14ac:dyDescent="0.35">
      <c r="B105" s="41" t="s">
        <v>137</v>
      </c>
      <c r="C105" s="41" t="s">
        <v>138</v>
      </c>
      <c r="D105" s="41" t="s">
        <v>109</v>
      </c>
      <c r="E105" s="165">
        <v>7334</v>
      </c>
    </row>
    <row r="106" spans="2:5" ht="15.75" customHeight="1" thickBot="1" x14ac:dyDescent="0.35">
      <c r="B106" s="41" t="s">
        <v>139</v>
      </c>
      <c r="C106" s="41" t="s">
        <v>98</v>
      </c>
      <c r="D106" s="41" t="s">
        <v>99</v>
      </c>
      <c r="E106" s="165">
        <v>5447</v>
      </c>
    </row>
    <row r="107" spans="2:5" ht="15.75" customHeight="1" thickBot="1" x14ac:dyDescent="0.35">
      <c r="B107" s="41" t="s">
        <v>140</v>
      </c>
      <c r="C107" s="41" t="s">
        <v>98</v>
      </c>
      <c r="D107" s="41" t="s">
        <v>99</v>
      </c>
      <c r="E107" s="165">
        <v>11539</v>
      </c>
    </row>
    <row r="108" spans="2:5" ht="15.75" customHeight="1" thickBot="1" x14ac:dyDescent="0.35">
      <c r="B108" s="41" t="s">
        <v>141</v>
      </c>
      <c r="C108" s="41" t="s">
        <v>142</v>
      </c>
      <c r="D108" s="41" t="s">
        <v>99</v>
      </c>
      <c r="E108" s="165">
        <v>13110</v>
      </c>
    </row>
    <row r="109" spans="2:5" ht="15.75" customHeight="1" thickBot="1" x14ac:dyDescent="0.35">
      <c r="B109" s="41" t="s">
        <v>143</v>
      </c>
      <c r="C109" s="41" t="s">
        <v>144</v>
      </c>
      <c r="D109" s="41" t="s">
        <v>86</v>
      </c>
      <c r="E109" s="165">
        <v>12461</v>
      </c>
    </row>
    <row r="110" spans="2:5" ht="15.75" customHeight="1" thickBot="1" x14ac:dyDescent="0.35">
      <c r="B110" s="41" t="s">
        <v>145</v>
      </c>
      <c r="C110" s="41" t="s">
        <v>144</v>
      </c>
      <c r="D110" s="41" t="s">
        <v>86</v>
      </c>
      <c r="E110" s="165">
        <v>6021</v>
      </c>
    </row>
    <row r="111" spans="2:5" ht="15.75" customHeight="1" thickBot="1" x14ac:dyDescent="0.35">
      <c r="B111" s="41" t="s">
        <v>146</v>
      </c>
      <c r="C111" s="41" t="s">
        <v>147</v>
      </c>
      <c r="D111" s="41" t="s">
        <v>109</v>
      </c>
      <c r="E111" s="165">
        <v>6796</v>
      </c>
    </row>
    <row r="112" spans="2:5" ht="15.75" customHeight="1" thickBot="1" x14ac:dyDescent="0.35">
      <c r="B112" s="41" t="s">
        <v>148</v>
      </c>
      <c r="C112" s="41" t="s">
        <v>147</v>
      </c>
      <c r="D112" s="41" t="s">
        <v>109</v>
      </c>
      <c r="E112" s="165">
        <v>13650</v>
      </c>
    </row>
    <row r="113" spans="2:5" ht="15.75" customHeight="1" thickBot="1" x14ac:dyDescent="0.35">
      <c r="B113" s="41" t="s">
        <v>149</v>
      </c>
      <c r="C113" s="41" t="s">
        <v>150</v>
      </c>
      <c r="D113" s="41" t="s">
        <v>86</v>
      </c>
      <c r="E113" s="165">
        <v>7804</v>
      </c>
    </row>
    <row r="114" spans="2:5" ht="15.75" customHeight="1" thickBot="1" x14ac:dyDescent="0.35">
      <c r="B114" s="41" t="s">
        <v>151</v>
      </c>
      <c r="C114" s="41" t="s">
        <v>150</v>
      </c>
      <c r="D114" s="41" t="s">
        <v>86</v>
      </c>
      <c r="E114" s="165">
        <v>11570</v>
      </c>
    </row>
    <row r="115" spans="2:5" ht="15.75" customHeight="1" thickBot="1" x14ac:dyDescent="0.35">
      <c r="B115" s="41" t="s">
        <v>152</v>
      </c>
      <c r="C115" s="41" t="s">
        <v>153</v>
      </c>
      <c r="D115" s="41" t="s">
        <v>109</v>
      </c>
      <c r="E115" s="165">
        <v>8574</v>
      </c>
    </row>
    <row r="116" spans="2:5" ht="15.75" customHeight="1" thickBot="1" x14ac:dyDescent="0.35">
      <c r="B116" s="41" t="s">
        <v>154</v>
      </c>
      <c r="C116" s="41" t="s">
        <v>153</v>
      </c>
      <c r="D116" s="41" t="s">
        <v>109</v>
      </c>
      <c r="E116" s="165">
        <v>5850</v>
      </c>
    </row>
    <row r="117" spans="2:5" ht="15.75" customHeight="1" thickBot="1" x14ac:dyDescent="0.35">
      <c r="B117" s="41" t="s">
        <v>155</v>
      </c>
      <c r="C117" s="41" t="s">
        <v>156</v>
      </c>
      <c r="D117" s="41" t="s">
        <v>104</v>
      </c>
      <c r="E117" s="165">
        <v>3886</v>
      </c>
    </row>
    <row r="118" spans="2:5" ht="15.75" customHeight="1" thickBot="1" x14ac:dyDescent="0.35">
      <c r="B118" s="41" t="s">
        <v>157</v>
      </c>
      <c r="C118" s="41" t="s">
        <v>156</v>
      </c>
      <c r="D118" s="41" t="s">
        <v>86</v>
      </c>
      <c r="E118" s="165">
        <v>11800</v>
      </c>
    </row>
    <row r="119" spans="2:5" ht="15.75" customHeight="1" thickBot="1" x14ac:dyDescent="0.35">
      <c r="B119" s="41" t="s">
        <v>158</v>
      </c>
      <c r="C119" s="41" t="s">
        <v>156</v>
      </c>
      <c r="D119" s="41" t="s">
        <v>91</v>
      </c>
      <c r="E119" s="165">
        <v>10874</v>
      </c>
    </row>
    <row r="120" spans="2:5" ht="15.75" customHeight="1" thickBot="1" x14ac:dyDescent="0.35">
      <c r="B120" s="41" t="s">
        <v>159</v>
      </c>
      <c r="C120" s="41" t="s">
        <v>160</v>
      </c>
      <c r="D120" s="41" t="s">
        <v>109</v>
      </c>
      <c r="E120" s="165">
        <v>4251</v>
      </c>
    </row>
    <row r="121" spans="2:5" ht="15.75" customHeight="1" thickBot="1" x14ac:dyDescent="0.35">
      <c r="B121" s="41" t="s">
        <v>161</v>
      </c>
      <c r="C121" s="41" t="s">
        <v>160</v>
      </c>
      <c r="D121" s="41" t="s">
        <v>109</v>
      </c>
      <c r="E121" s="165">
        <v>14888</v>
      </c>
    </row>
    <row r="122" spans="2:5" ht="15.75" customHeight="1" thickBot="1" x14ac:dyDescent="0.35">
      <c r="B122" s="41" t="s">
        <v>162</v>
      </c>
      <c r="C122" s="41" t="s">
        <v>163</v>
      </c>
      <c r="D122" s="41" t="s">
        <v>119</v>
      </c>
      <c r="E122" s="165">
        <v>13809</v>
      </c>
    </row>
    <row r="123" spans="2:5" ht="15.75" customHeight="1" thickBot="1" x14ac:dyDescent="0.35">
      <c r="B123" s="41" t="s">
        <v>164</v>
      </c>
      <c r="C123" s="41" t="s">
        <v>163</v>
      </c>
      <c r="D123" s="41" t="s">
        <v>119</v>
      </c>
      <c r="E123" s="165">
        <v>12363</v>
      </c>
    </row>
    <row r="124" spans="2:5" ht="15.75" customHeight="1" thickBot="1" x14ac:dyDescent="0.35">
      <c r="B124" s="41" t="s">
        <v>165</v>
      </c>
      <c r="C124" s="41" t="s">
        <v>166</v>
      </c>
      <c r="D124" s="41" t="s">
        <v>119</v>
      </c>
      <c r="E124" s="165">
        <v>2799</v>
      </c>
    </row>
    <row r="125" spans="2:5" ht="15.75" customHeight="1" thickBot="1" x14ac:dyDescent="0.35">
      <c r="B125" s="41" t="s">
        <v>167</v>
      </c>
      <c r="C125" s="41" t="s">
        <v>166</v>
      </c>
      <c r="D125" s="41" t="s">
        <v>119</v>
      </c>
      <c r="E125" s="165">
        <v>5165</v>
      </c>
    </row>
    <row r="126" spans="2:5" ht="15.75" customHeight="1" thickBot="1" x14ac:dyDescent="0.35">
      <c r="B126" s="41" t="s">
        <v>168</v>
      </c>
      <c r="C126" s="41" t="s">
        <v>169</v>
      </c>
      <c r="D126" s="41" t="s">
        <v>101</v>
      </c>
      <c r="E126" s="165">
        <v>6500</v>
      </c>
    </row>
    <row r="127" spans="2:5" ht="15.75" customHeight="1" thickBot="1" x14ac:dyDescent="0.35">
      <c r="B127" s="41" t="s">
        <v>170</v>
      </c>
      <c r="C127" s="41" t="s">
        <v>169</v>
      </c>
      <c r="D127" s="41" t="s">
        <v>104</v>
      </c>
      <c r="E127" s="165">
        <v>4887</v>
      </c>
    </row>
    <row r="128" spans="2:5" ht="15.75" customHeight="1" thickBot="1" x14ac:dyDescent="0.35">
      <c r="B128" s="41" t="s">
        <v>171</v>
      </c>
      <c r="C128" s="41" t="s">
        <v>169</v>
      </c>
      <c r="D128" s="41" t="s">
        <v>107</v>
      </c>
      <c r="E128" s="165">
        <v>7302</v>
      </c>
    </row>
    <row r="129" spans="2:5" ht="15.75" customHeight="1" thickBot="1" x14ac:dyDescent="0.35">
      <c r="B129" s="41" t="s">
        <v>172</v>
      </c>
      <c r="C129" s="41" t="s">
        <v>173</v>
      </c>
      <c r="D129" s="41" t="s">
        <v>107</v>
      </c>
      <c r="E129" s="165">
        <v>7265</v>
      </c>
    </row>
    <row r="130" spans="2:5" ht="15.75" customHeight="1" thickBot="1" x14ac:dyDescent="0.35">
      <c r="B130" s="41" t="s">
        <v>174</v>
      </c>
      <c r="C130" s="41" t="s">
        <v>173</v>
      </c>
      <c r="D130" s="41" t="s">
        <v>107</v>
      </c>
      <c r="E130" s="165">
        <v>9846</v>
      </c>
    </row>
    <row r="131" spans="2:5" ht="15.75" customHeight="1" thickBot="1" x14ac:dyDescent="0.35">
      <c r="B131" s="41" t="s">
        <v>175</v>
      </c>
      <c r="C131" s="41" t="s">
        <v>176</v>
      </c>
      <c r="D131" s="41" t="s">
        <v>104</v>
      </c>
      <c r="E131" s="165">
        <v>14425</v>
      </c>
    </row>
    <row r="132" spans="2:5" ht="15.75" customHeight="1" thickBot="1" x14ac:dyDescent="0.35">
      <c r="B132" s="41" t="s">
        <v>177</v>
      </c>
      <c r="C132" s="41" t="s">
        <v>176</v>
      </c>
      <c r="D132" s="41" t="s">
        <v>104</v>
      </c>
      <c r="E132" s="165">
        <v>11005</v>
      </c>
    </row>
    <row r="133" spans="2:5" ht="15.75" customHeight="1" thickBot="1" x14ac:dyDescent="0.35">
      <c r="B133" s="41" t="s">
        <v>178</v>
      </c>
      <c r="C133" s="41" t="s">
        <v>179</v>
      </c>
      <c r="D133" s="41" t="s">
        <v>109</v>
      </c>
      <c r="E133" s="165">
        <v>9403</v>
      </c>
    </row>
    <row r="134" spans="2:5" ht="15.75" customHeight="1" thickBot="1" x14ac:dyDescent="0.35">
      <c r="B134" s="41" t="s">
        <v>180</v>
      </c>
      <c r="C134" s="41" t="s">
        <v>181</v>
      </c>
      <c r="D134" s="41" t="s">
        <v>99</v>
      </c>
      <c r="E134" s="165">
        <v>12048</v>
      </c>
    </row>
    <row r="135" spans="2:5" ht="15.75" customHeight="1" thickBot="1" x14ac:dyDescent="0.35">
      <c r="B135" s="41" t="s">
        <v>182</v>
      </c>
      <c r="C135" s="41" t="s">
        <v>181</v>
      </c>
      <c r="D135" s="41" t="s">
        <v>99</v>
      </c>
      <c r="E135" s="165">
        <v>5762</v>
      </c>
    </row>
    <row r="136" spans="2:5" ht="15.75" customHeight="1" thickBot="1" x14ac:dyDescent="0.35">
      <c r="B136" s="41" t="s">
        <v>183</v>
      </c>
      <c r="C136" s="41" t="s">
        <v>184</v>
      </c>
      <c r="D136" s="41" t="s">
        <v>91</v>
      </c>
      <c r="E136" s="165">
        <v>6721</v>
      </c>
    </row>
    <row r="137" spans="2:5" ht="15.75" customHeight="1" thickBot="1" x14ac:dyDescent="0.35">
      <c r="B137" s="41" t="s">
        <v>185</v>
      </c>
      <c r="C137" s="41" t="s">
        <v>184</v>
      </c>
      <c r="D137" s="41" t="s">
        <v>119</v>
      </c>
      <c r="E137" s="165">
        <v>9169</v>
      </c>
    </row>
    <row r="138" spans="2:5" ht="15.75" customHeight="1" thickBot="1" x14ac:dyDescent="0.35">
      <c r="B138" s="41" t="s">
        <v>186</v>
      </c>
      <c r="C138" s="41" t="s">
        <v>118</v>
      </c>
      <c r="D138" s="41" t="s">
        <v>91</v>
      </c>
      <c r="E138" s="165">
        <v>10427</v>
      </c>
    </row>
    <row r="139" spans="2:5" ht="15.75" customHeight="1" thickBot="1" x14ac:dyDescent="0.35">
      <c r="B139" s="41" t="s">
        <v>187</v>
      </c>
      <c r="C139" s="41" t="s">
        <v>135</v>
      </c>
      <c r="D139" s="41" t="s">
        <v>104</v>
      </c>
      <c r="E139" s="165">
        <v>14095</v>
      </c>
    </row>
    <row r="140" spans="2:5" ht="15.75" customHeight="1" thickBot="1" x14ac:dyDescent="0.35">
      <c r="B140" s="41" t="s">
        <v>188</v>
      </c>
      <c r="C140" s="41" t="s">
        <v>93</v>
      </c>
      <c r="D140" s="41" t="s">
        <v>91</v>
      </c>
      <c r="E140" s="165">
        <v>8381</v>
      </c>
    </row>
    <row r="141" spans="2:5" ht="15.75" customHeight="1" thickBot="1" x14ac:dyDescent="0.35">
      <c r="B141" s="41" t="s">
        <v>189</v>
      </c>
      <c r="C141" s="41" t="s">
        <v>93</v>
      </c>
      <c r="D141" s="41" t="s">
        <v>91</v>
      </c>
      <c r="E141" s="165">
        <v>11412</v>
      </c>
    </row>
    <row r="142" spans="2:5" ht="15.75" customHeight="1" thickBot="1" x14ac:dyDescent="0.35">
      <c r="B142" s="41" t="s">
        <v>190</v>
      </c>
      <c r="C142" s="41" t="s">
        <v>144</v>
      </c>
      <c r="D142" s="41" t="s">
        <v>86</v>
      </c>
      <c r="E142" s="165">
        <v>5016</v>
      </c>
    </row>
    <row r="143" spans="2:5" ht="15.75" customHeight="1" thickBot="1" x14ac:dyDescent="0.35">
      <c r="B143" s="41" t="s">
        <v>191</v>
      </c>
      <c r="C143" s="41" t="s">
        <v>123</v>
      </c>
      <c r="D143" s="41" t="s">
        <v>119</v>
      </c>
      <c r="E143" s="165">
        <v>3419</v>
      </c>
    </row>
    <row r="144" spans="2:5" ht="15.75" customHeight="1" thickBot="1" x14ac:dyDescent="0.35">
      <c r="B144" s="41" t="s">
        <v>192</v>
      </c>
      <c r="C144" s="41" t="s">
        <v>142</v>
      </c>
      <c r="D144" s="41" t="s">
        <v>99</v>
      </c>
      <c r="E144" s="165">
        <v>5486</v>
      </c>
    </row>
    <row r="145" spans="2:5" ht="15.75" customHeight="1" thickBot="1" x14ac:dyDescent="0.35">
      <c r="B145" s="41" t="s">
        <v>193</v>
      </c>
      <c r="C145" s="41" t="s">
        <v>118</v>
      </c>
      <c r="D145" s="41" t="s">
        <v>86</v>
      </c>
      <c r="E145" s="165">
        <v>13724</v>
      </c>
    </row>
    <row r="146" spans="2:5" ht="15.75" customHeight="1" thickBot="1" x14ac:dyDescent="0.35">
      <c r="B146" s="41" t="s">
        <v>194</v>
      </c>
      <c r="C146" s="41" t="s">
        <v>142</v>
      </c>
      <c r="D146" s="41" t="s">
        <v>99</v>
      </c>
      <c r="E146" s="165">
        <v>2662</v>
      </c>
    </row>
    <row r="147" spans="2:5" ht="15.75" customHeight="1" thickBot="1" x14ac:dyDescent="0.35">
      <c r="B147" s="41" t="s">
        <v>195</v>
      </c>
      <c r="C147" s="41" t="s">
        <v>98</v>
      </c>
      <c r="D147" s="41" t="s">
        <v>99</v>
      </c>
      <c r="E147" s="165">
        <v>13733</v>
      </c>
    </row>
    <row r="148" spans="2:5" ht="15.75" customHeight="1" thickBot="1" x14ac:dyDescent="0.35">
      <c r="B148" s="41" t="s">
        <v>196</v>
      </c>
      <c r="C148" s="41" t="s">
        <v>147</v>
      </c>
      <c r="D148" s="41" t="s">
        <v>109</v>
      </c>
      <c r="E148" s="165">
        <v>3872</v>
      </c>
    </row>
    <row r="149" spans="2:5" ht="15.75" customHeight="1" thickBot="1" x14ac:dyDescent="0.35">
      <c r="B149" s="41" t="s">
        <v>197</v>
      </c>
      <c r="C149" s="41" t="s">
        <v>106</v>
      </c>
      <c r="D149" s="41" t="s">
        <v>101</v>
      </c>
      <c r="E149" s="165">
        <v>8369</v>
      </c>
    </row>
    <row r="150" spans="2:5" ht="15.75" customHeight="1" thickBot="1" x14ac:dyDescent="0.35">
      <c r="B150" s="41" t="s">
        <v>198</v>
      </c>
      <c r="C150" s="41" t="s">
        <v>135</v>
      </c>
      <c r="D150" s="41" t="s">
        <v>86</v>
      </c>
      <c r="E150" s="165">
        <v>12573</v>
      </c>
    </row>
    <row r="151" spans="2:5" ht="15.75" customHeight="1" x14ac:dyDescent="0.3"/>
    <row r="152" spans="2:5" ht="15.75" customHeight="1" x14ac:dyDescent="0.3"/>
    <row r="153" spans="2:5" ht="15.75" customHeight="1" x14ac:dyDescent="0.3"/>
    <row r="154" spans="2:5" ht="15.75" customHeight="1" x14ac:dyDescent="0.3"/>
    <row r="155" spans="2:5" ht="15.75" customHeight="1" x14ac:dyDescent="0.3"/>
    <row r="156" spans="2:5" ht="15.75" customHeight="1" x14ac:dyDescent="0.3"/>
    <row r="157" spans="2:5" ht="15.75" customHeight="1" x14ac:dyDescent="0.3"/>
    <row r="158" spans="2:5" ht="15.75" customHeight="1" x14ac:dyDescent="0.3"/>
    <row r="159" spans="2:5" ht="15.75" customHeight="1" x14ac:dyDescent="0.3"/>
    <row r="160" spans="2:5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6">
    <mergeCell ref="N45:P45"/>
    <mergeCell ref="N46:P46"/>
    <mergeCell ref="I59:K59"/>
    <mergeCell ref="I60:K60"/>
    <mergeCell ref="I61:K61"/>
    <mergeCell ref="I77:K77"/>
    <mergeCell ref="H79:O79"/>
    <mergeCell ref="I39:K39"/>
    <mergeCell ref="I40:M40"/>
    <mergeCell ref="C68:D68"/>
    <mergeCell ref="I75:K75"/>
    <mergeCell ref="I76:K76"/>
    <mergeCell ref="I41:J41"/>
    <mergeCell ref="I52:L52"/>
    <mergeCell ref="H54:O54"/>
    <mergeCell ref="H55:O55"/>
    <mergeCell ref="H56:O56"/>
    <mergeCell ref="I44:K44"/>
    <mergeCell ref="I45:K45"/>
    <mergeCell ref="I46:K46"/>
    <mergeCell ref="N44:P44"/>
    <mergeCell ref="I32:K32"/>
    <mergeCell ref="H34:O34"/>
    <mergeCell ref="H35:P35"/>
    <mergeCell ref="H36:N36"/>
    <mergeCell ref="H37:K37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F7962-FBF3-47BA-8BC0-5E381142FB3E}">
  <dimension ref="C2:O89"/>
  <sheetViews>
    <sheetView workbookViewId="0">
      <selection activeCell="N14" sqref="N14"/>
    </sheetView>
  </sheetViews>
  <sheetFormatPr baseColWidth="10" defaultColWidth="10.88671875" defaultRowHeight="14.4" x14ac:dyDescent="0.3"/>
  <cols>
    <col min="1" max="2" width="10.88671875" style="91"/>
    <col min="3" max="3" width="15.109375" style="91" customWidth="1"/>
    <col min="4" max="4" width="14.109375" style="91" customWidth="1"/>
    <col min="5" max="5" width="21" style="91" customWidth="1"/>
    <col min="6" max="6" width="11.77734375" style="91" bestFit="1" customWidth="1"/>
    <col min="7" max="11" width="10.88671875" style="91"/>
    <col min="12" max="12" width="12.77734375" style="91" bestFit="1" customWidth="1"/>
    <col min="13" max="13" width="17.88671875" style="91" bestFit="1" customWidth="1"/>
    <col min="14" max="16384" width="10.88671875" style="91"/>
  </cols>
  <sheetData>
    <row r="2" spans="3:15" x14ac:dyDescent="0.3">
      <c r="C2" s="91" t="s">
        <v>695</v>
      </c>
      <c r="D2" s="97" t="s">
        <v>694</v>
      </c>
      <c r="K2" s="147" t="s">
        <v>693</v>
      </c>
      <c r="L2" s="147"/>
      <c r="M2" s="147"/>
      <c r="N2" s="147"/>
      <c r="O2" s="147"/>
    </row>
    <row r="3" spans="3:15" x14ac:dyDescent="0.3">
      <c r="K3" s="95"/>
      <c r="L3" s="95"/>
      <c r="M3" s="95"/>
      <c r="N3" s="95"/>
      <c r="O3" s="95"/>
    </row>
    <row r="4" spans="3:15" x14ac:dyDescent="0.3">
      <c r="H4" s="148" t="s">
        <v>692</v>
      </c>
      <c r="I4" s="148"/>
      <c r="J4" s="148"/>
      <c r="K4" s="148"/>
      <c r="L4" s="96" t="s">
        <v>691</v>
      </c>
      <c r="M4" s="96" t="s">
        <v>690</v>
      </c>
      <c r="N4" s="95"/>
      <c r="O4" s="95"/>
    </row>
    <row r="5" spans="3:15" x14ac:dyDescent="0.3">
      <c r="H5" s="145" t="s">
        <v>689</v>
      </c>
      <c r="I5" s="145"/>
      <c r="J5" s="145"/>
      <c r="K5" s="145"/>
      <c r="L5" s="166">
        <f>AVERAGEIF(E15:E89,E15,F15:F89)</f>
        <v>10153.727272727272</v>
      </c>
      <c r="M5" s="167" t="s">
        <v>705</v>
      </c>
      <c r="N5" s="95"/>
      <c r="O5" s="95"/>
    </row>
    <row r="6" spans="3:15" x14ac:dyDescent="0.3">
      <c r="H6" s="145" t="s">
        <v>688</v>
      </c>
      <c r="I6" s="145"/>
      <c r="J6" s="145"/>
      <c r="K6" s="145"/>
      <c r="L6" s="166">
        <f>_xlfn.MAXIFS(F15:F89,D15:D89,D15)</f>
        <v>14649</v>
      </c>
      <c r="M6" s="167" t="s">
        <v>706</v>
      </c>
      <c r="N6" s="95"/>
      <c r="O6" s="95"/>
    </row>
    <row r="7" spans="3:15" x14ac:dyDescent="0.3">
      <c r="H7" s="145" t="s">
        <v>687</v>
      </c>
      <c r="I7" s="145"/>
      <c r="J7" s="145"/>
      <c r="K7" s="145"/>
      <c r="L7" s="166">
        <f>SUMIF(E15:E89,E24,F15:F89)</f>
        <v>96573</v>
      </c>
      <c r="M7" s="167" t="s">
        <v>707</v>
      </c>
      <c r="N7" s="95"/>
      <c r="O7" s="95"/>
    </row>
    <row r="8" spans="3:15" x14ac:dyDescent="0.3">
      <c r="H8" s="145" t="s">
        <v>686</v>
      </c>
      <c r="I8" s="145"/>
      <c r="J8" s="145"/>
      <c r="K8" s="145"/>
      <c r="L8" s="166">
        <f>SUMIF(F15:F89,"&gt;10000")</f>
        <v>397968</v>
      </c>
      <c r="M8" s="167" t="s">
        <v>707</v>
      </c>
      <c r="N8" s="95"/>
      <c r="O8" s="95"/>
    </row>
    <row r="9" spans="3:15" x14ac:dyDescent="0.3">
      <c r="H9" s="145" t="s">
        <v>685</v>
      </c>
      <c r="I9" s="145"/>
      <c r="J9" s="145"/>
      <c r="K9" s="145"/>
      <c r="L9" s="166">
        <f>_xlfn.MINIFS(F15:F89,E15:E89,E25)</f>
        <v>2662</v>
      </c>
      <c r="M9" s="167" t="s">
        <v>708</v>
      </c>
      <c r="N9" s="95"/>
      <c r="O9" s="95"/>
    </row>
    <row r="10" spans="3:15" x14ac:dyDescent="0.3">
      <c r="H10" s="145" t="s">
        <v>684</v>
      </c>
      <c r="I10" s="145"/>
      <c r="J10" s="145"/>
      <c r="K10" s="145"/>
      <c r="L10" s="166">
        <f>SUM(SUMIF(E15:E89,E15,F15:F89),SUMIF(E15:E89,E25,F15:F89))</f>
        <v>197102</v>
      </c>
      <c r="M10" s="168" t="s">
        <v>709</v>
      </c>
      <c r="N10" s="95"/>
      <c r="O10" s="95"/>
    </row>
    <row r="11" spans="3:15" x14ac:dyDescent="0.3">
      <c r="H11" s="146" t="s">
        <v>683</v>
      </c>
      <c r="I11" s="146"/>
      <c r="J11" s="146"/>
      <c r="K11" s="146"/>
      <c r="L11" s="166">
        <f>AVERAGE(AVERAGEIF(E15:E89,E17,F15:F89),AVERAGEIF(E15:E89,E36,F15:F89))</f>
        <v>8534.2337662337668</v>
      </c>
      <c r="M11" s="168" t="s">
        <v>710</v>
      </c>
      <c r="N11" s="95"/>
      <c r="O11" s="95"/>
    </row>
    <row r="12" spans="3:15" x14ac:dyDescent="0.3">
      <c r="K12" s="95"/>
      <c r="L12" s="95"/>
      <c r="M12" s="95"/>
      <c r="N12" s="95"/>
      <c r="O12" s="95"/>
    </row>
    <row r="13" spans="3:15" ht="15" thickBot="1" x14ac:dyDescent="0.35"/>
    <row r="14" spans="3:15" ht="31.8" thickBot="1" x14ac:dyDescent="0.35">
      <c r="C14" s="94" t="s">
        <v>80</v>
      </c>
      <c r="D14" s="94" t="s">
        <v>81</v>
      </c>
      <c r="E14" s="94" t="s">
        <v>82</v>
      </c>
      <c r="F14" s="93" t="s">
        <v>29</v>
      </c>
    </row>
    <row r="15" spans="3:15" ht="15" thickBot="1" x14ac:dyDescent="0.35">
      <c r="C15" s="92" t="s">
        <v>84</v>
      </c>
      <c r="D15" s="92" t="s">
        <v>85</v>
      </c>
      <c r="E15" s="92" t="s">
        <v>86</v>
      </c>
      <c r="F15" s="165">
        <v>10954</v>
      </c>
    </row>
    <row r="16" spans="3:15" ht="27.6" thickBot="1" x14ac:dyDescent="0.35">
      <c r="C16" s="92" t="s">
        <v>88</v>
      </c>
      <c r="D16" s="92" t="s">
        <v>85</v>
      </c>
      <c r="E16" s="92" t="s">
        <v>86</v>
      </c>
      <c r="F16" s="165">
        <v>9641</v>
      </c>
    </row>
    <row r="17" spans="3:6" ht="40.799999999999997" thickBot="1" x14ac:dyDescent="0.35">
      <c r="C17" s="92" t="s">
        <v>90</v>
      </c>
      <c r="D17" s="92" t="s">
        <v>85</v>
      </c>
      <c r="E17" s="92" t="s">
        <v>91</v>
      </c>
      <c r="F17" s="165">
        <v>14649</v>
      </c>
    </row>
    <row r="18" spans="3:6" ht="40.799999999999997" thickBot="1" x14ac:dyDescent="0.35">
      <c r="C18" s="92" t="s">
        <v>92</v>
      </c>
      <c r="D18" s="92" t="s">
        <v>93</v>
      </c>
      <c r="E18" s="92" t="s">
        <v>91</v>
      </c>
      <c r="F18" s="165">
        <v>3161</v>
      </c>
    </row>
    <row r="19" spans="3:6" ht="40.799999999999997" thickBot="1" x14ac:dyDescent="0.35">
      <c r="C19" s="92" t="s">
        <v>95</v>
      </c>
      <c r="D19" s="92" t="s">
        <v>93</v>
      </c>
      <c r="E19" s="92" t="s">
        <v>91</v>
      </c>
      <c r="F19" s="165">
        <v>9452</v>
      </c>
    </row>
    <row r="20" spans="3:6" ht="40.799999999999997" thickBot="1" x14ac:dyDescent="0.35">
      <c r="C20" s="92" t="s">
        <v>96</v>
      </c>
      <c r="D20" s="92" t="s">
        <v>97</v>
      </c>
      <c r="E20" s="92" t="s">
        <v>91</v>
      </c>
      <c r="F20" s="165">
        <v>2783</v>
      </c>
    </row>
    <row r="21" spans="3:6" ht="40.799999999999997" thickBot="1" x14ac:dyDescent="0.35">
      <c r="C21" s="92" t="s">
        <v>100</v>
      </c>
      <c r="D21" s="92" t="s">
        <v>97</v>
      </c>
      <c r="E21" s="92" t="s">
        <v>101</v>
      </c>
      <c r="F21" s="165">
        <v>10025</v>
      </c>
    </row>
    <row r="22" spans="3:6" ht="40.799999999999997" thickBot="1" x14ac:dyDescent="0.35">
      <c r="C22" s="92" t="s">
        <v>102</v>
      </c>
      <c r="D22" s="92" t="s">
        <v>97</v>
      </c>
      <c r="E22" s="92" t="s">
        <v>91</v>
      </c>
      <c r="F22" s="165">
        <v>12631</v>
      </c>
    </row>
    <row r="23" spans="3:6" ht="15" thickBot="1" x14ac:dyDescent="0.35">
      <c r="C23" s="92" t="s">
        <v>105</v>
      </c>
      <c r="D23" s="92" t="s">
        <v>106</v>
      </c>
      <c r="E23" s="92" t="s">
        <v>107</v>
      </c>
      <c r="F23" s="165">
        <v>13253</v>
      </c>
    </row>
    <row r="24" spans="3:6" ht="27.6" thickBot="1" x14ac:dyDescent="0.35">
      <c r="C24" s="92" t="s">
        <v>108</v>
      </c>
      <c r="D24" s="92" t="s">
        <v>106</v>
      </c>
      <c r="E24" s="92" t="s">
        <v>109</v>
      </c>
      <c r="F24" s="165">
        <v>7713</v>
      </c>
    </row>
    <row r="25" spans="3:6" ht="40.799999999999997" thickBot="1" x14ac:dyDescent="0.35">
      <c r="C25" s="92" t="s">
        <v>110</v>
      </c>
      <c r="D25" s="92" t="s">
        <v>111</v>
      </c>
      <c r="E25" s="92" t="s">
        <v>99</v>
      </c>
      <c r="F25" s="165">
        <v>8616</v>
      </c>
    </row>
    <row r="26" spans="3:6" ht="40.799999999999997" thickBot="1" x14ac:dyDescent="0.35">
      <c r="C26" s="92" t="s">
        <v>112</v>
      </c>
      <c r="D26" s="92" t="s">
        <v>111</v>
      </c>
      <c r="E26" s="92" t="s">
        <v>99</v>
      </c>
      <c r="F26" s="165">
        <v>7008</v>
      </c>
    </row>
    <row r="27" spans="3:6" ht="27.6" thickBot="1" x14ac:dyDescent="0.35">
      <c r="C27" s="92" t="s">
        <v>113</v>
      </c>
      <c r="D27" s="92" t="s">
        <v>114</v>
      </c>
      <c r="E27" s="92" t="s">
        <v>109</v>
      </c>
      <c r="F27" s="165">
        <v>7971</v>
      </c>
    </row>
    <row r="28" spans="3:6" ht="27.6" thickBot="1" x14ac:dyDescent="0.35">
      <c r="C28" s="92" t="s">
        <v>115</v>
      </c>
      <c r="D28" s="92" t="s">
        <v>114</v>
      </c>
      <c r="E28" s="92" t="s">
        <v>101</v>
      </c>
      <c r="F28" s="165">
        <v>12604</v>
      </c>
    </row>
    <row r="29" spans="3:6" ht="40.799999999999997" thickBot="1" x14ac:dyDescent="0.35">
      <c r="C29" s="92" t="s">
        <v>116</v>
      </c>
      <c r="D29" s="92" t="s">
        <v>114</v>
      </c>
      <c r="E29" s="92" t="s">
        <v>91</v>
      </c>
      <c r="F29" s="165">
        <v>8335</v>
      </c>
    </row>
    <row r="30" spans="3:6" ht="40.799999999999997" thickBot="1" x14ac:dyDescent="0.35">
      <c r="C30" s="92" t="s">
        <v>117</v>
      </c>
      <c r="D30" s="92" t="s">
        <v>118</v>
      </c>
      <c r="E30" s="92" t="s">
        <v>119</v>
      </c>
      <c r="F30" s="165">
        <v>12279</v>
      </c>
    </row>
    <row r="31" spans="3:6" ht="27.6" thickBot="1" x14ac:dyDescent="0.35">
      <c r="C31" s="92" t="s">
        <v>120</v>
      </c>
      <c r="D31" s="92" t="s">
        <v>118</v>
      </c>
      <c r="E31" s="92" t="s">
        <v>107</v>
      </c>
      <c r="F31" s="165">
        <v>13314</v>
      </c>
    </row>
    <row r="32" spans="3:6" ht="27.6" thickBot="1" x14ac:dyDescent="0.35">
      <c r="C32" s="92" t="s">
        <v>121</v>
      </c>
      <c r="D32" s="92" t="s">
        <v>118</v>
      </c>
      <c r="E32" s="92" t="s">
        <v>109</v>
      </c>
      <c r="F32" s="165">
        <v>6271</v>
      </c>
    </row>
    <row r="33" spans="3:6" ht="27.6" thickBot="1" x14ac:dyDescent="0.35">
      <c r="C33" s="92" t="s">
        <v>122</v>
      </c>
      <c r="D33" s="92" t="s">
        <v>123</v>
      </c>
      <c r="E33" s="92" t="s">
        <v>119</v>
      </c>
      <c r="F33" s="165">
        <v>10477</v>
      </c>
    </row>
    <row r="34" spans="3:6" ht="27.6" thickBot="1" x14ac:dyDescent="0.35">
      <c r="C34" s="92" t="s">
        <v>124</v>
      </c>
      <c r="D34" s="92" t="s">
        <v>123</v>
      </c>
      <c r="E34" s="92" t="s">
        <v>119</v>
      </c>
      <c r="F34" s="165">
        <v>13603</v>
      </c>
    </row>
    <row r="35" spans="3:6" ht="27.6" thickBot="1" x14ac:dyDescent="0.35">
      <c r="C35" s="92" t="s">
        <v>125</v>
      </c>
      <c r="D35" s="92" t="s">
        <v>123</v>
      </c>
      <c r="E35" s="92" t="s">
        <v>119</v>
      </c>
      <c r="F35" s="165">
        <v>5533</v>
      </c>
    </row>
    <row r="36" spans="3:6" ht="40.799999999999997" thickBot="1" x14ac:dyDescent="0.35">
      <c r="C36" s="92" t="s">
        <v>126</v>
      </c>
      <c r="D36" s="92" t="s">
        <v>103</v>
      </c>
      <c r="E36" s="92" t="s">
        <v>104</v>
      </c>
      <c r="F36" s="165">
        <v>4907</v>
      </c>
    </row>
    <row r="37" spans="3:6" ht="27.6" thickBot="1" x14ac:dyDescent="0.35">
      <c r="C37" s="92" t="s">
        <v>127</v>
      </c>
      <c r="D37" s="92" t="s">
        <v>103</v>
      </c>
      <c r="E37" s="92" t="s">
        <v>104</v>
      </c>
      <c r="F37" s="165">
        <v>3385</v>
      </c>
    </row>
    <row r="38" spans="3:6" ht="40.799999999999997" thickBot="1" x14ac:dyDescent="0.35">
      <c r="C38" s="92" t="s">
        <v>128</v>
      </c>
      <c r="D38" s="92" t="s">
        <v>129</v>
      </c>
      <c r="E38" s="92" t="s">
        <v>86</v>
      </c>
      <c r="F38" s="165">
        <v>10127</v>
      </c>
    </row>
    <row r="39" spans="3:6" ht="40.799999999999997" thickBot="1" x14ac:dyDescent="0.35">
      <c r="C39" s="92" t="s">
        <v>130</v>
      </c>
      <c r="D39" s="92" t="s">
        <v>131</v>
      </c>
      <c r="E39" s="92" t="s">
        <v>119</v>
      </c>
      <c r="F39" s="165">
        <v>5831</v>
      </c>
    </row>
    <row r="40" spans="3:6" ht="40.799999999999997" thickBot="1" x14ac:dyDescent="0.35">
      <c r="C40" s="92" t="s">
        <v>132</v>
      </c>
      <c r="D40" s="92" t="s">
        <v>131</v>
      </c>
      <c r="E40" s="92" t="s">
        <v>119</v>
      </c>
      <c r="F40" s="165">
        <v>6099</v>
      </c>
    </row>
    <row r="41" spans="3:6" ht="40.799999999999997" thickBot="1" x14ac:dyDescent="0.35">
      <c r="C41" s="92" t="s">
        <v>133</v>
      </c>
      <c r="D41" s="92" t="s">
        <v>131</v>
      </c>
      <c r="E41" s="92" t="s">
        <v>119</v>
      </c>
      <c r="F41" s="165">
        <v>9190</v>
      </c>
    </row>
    <row r="42" spans="3:6" ht="40.799999999999997" thickBot="1" x14ac:dyDescent="0.35">
      <c r="C42" s="92" t="s">
        <v>134</v>
      </c>
      <c r="D42" s="92" t="s">
        <v>135</v>
      </c>
      <c r="E42" s="92" t="s">
        <v>101</v>
      </c>
      <c r="F42" s="165">
        <v>13372</v>
      </c>
    </row>
    <row r="43" spans="3:6" ht="40.799999999999997" thickBot="1" x14ac:dyDescent="0.35">
      <c r="C43" s="92" t="s">
        <v>136</v>
      </c>
      <c r="D43" s="92" t="s">
        <v>135</v>
      </c>
      <c r="E43" s="92" t="s">
        <v>107</v>
      </c>
      <c r="F43" s="165">
        <v>11174</v>
      </c>
    </row>
    <row r="44" spans="3:6" ht="40.799999999999997" thickBot="1" x14ac:dyDescent="0.35">
      <c r="C44" s="92" t="s">
        <v>137</v>
      </c>
      <c r="D44" s="92" t="s">
        <v>138</v>
      </c>
      <c r="E44" s="92" t="s">
        <v>109</v>
      </c>
      <c r="F44" s="165">
        <v>7334</v>
      </c>
    </row>
    <row r="45" spans="3:6" ht="40.799999999999997" thickBot="1" x14ac:dyDescent="0.35">
      <c r="C45" s="92" t="s">
        <v>139</v>
      </c>
      <c r="D45" s="92" t="s">
        <v>98</v>
      </c>
      <c r="E45" s="92" t="s">
        <v>99</v>
      </c>
      <c r="F45" s="165">
        <v>5447</v>
      </c>
    </row>
    <row r="46" spans="3:6" ht="40.799999999999997" thickBot="1" x14ac:dyDescent="0.35">
      <c r="C46" s="92" t="s">
        <v>140</v>
      </c>
      <c r="D46" s="92" t="s">
        <v>98</v>
      </c>
      <c r="E46" s="92" t="s">
        <v>99</v>
      </c>
      <c r="F46" s="165">
        <v>11539</v>
      </c>
    </row>
    <row r="47" spans="3:6" ht="15" thickBot="1" x14ac:dyDescent="0.35">
      <c r="C47" s="92" t="s">
        <v>141</v>
      </c>
      <c r="D47" s="92" t="s">
        <v>142</v>
      </c>
      <c r="E47" s="92" t="s">
        <v>99</v>
      </c>
      <c r="F47" s="165">
        <v>13110</v>
      </c>
    </row>
    <row r="48" spans="3:6" ht="27.6" thickBot="1" x14ac:dyDescent="0.35">
      <c r="C48" s="92" t="s">
        <v>143</v>
      </c>
      <c r="D48" s="92" t="s">
        <v>144</v>
      </c>
      <c r="E48" s="92" t="s">
        <v>86</v>
      </c>
      <c r="F48" s="165">
        <v>12461</v>
      </c>
    </row>
    <row r="49" spans="3:6" ht="27.6" thickBot="1" x14ac:dyDescent="0.35">
      <c r="C49" s="92" t="s">
        <v>145</v>
      </c>
      <c r="D49" s="92" t="s">
        <v>144</v>
      </c>
      <c r="E49" s="92" t="s">
        <v>86</v>
      </c>
      <c r="F49" s="165">
        <v>6021</v>
      </c>
    </row>
    <row r="50" spans="3:6" ht="27.6" thickBot="1" x14ac:dyDescent="0.35">
      <c r="C50" s="92" t="s">
        <v>146</v>
      </c>
      <c r="D50" s="92" t="s">
        <v>147</v>
      </c>
      <c r="E50" s="92" t="s">
        <v>109</v>
      </c>
      <c r="F50" s="165">
        <v>6796</v>
      </c>
    </row>
    <row r="51" spans="3:6" ht="27.6" thickBot="1" x14ac:dyDescent="0.35">
      <c r="C51" s="92" t="s">
        <v>148</v>
      </c>
      <c r="D51" s="92" t="s">
        <v>147</v>
      </c>
      <c r="E51" s="92" t="s">
        <v>109</v>
      </c>
      <c r="F51" s="165">
        <v>13650</v>
      </c>
    </row>
    <row r="52" spans="3:6" ht="27.6" thickBot="1" x14ac:dyDescent="0.35">
      <c r="C52" s="92" t="s">
        <v>149</v>
      </c>
      <c r="D52" s="92" t="s">
        <v>150</v>
      </c>
      <c r="E52" s="92" t="s">
        <v>86</v>
      </c>
      <c r="F52" s="165">
        <v>7804</v>
      </c>
    </row>
    <row r="53" spans="3:6" ht="27.6" thickBot="1" x14ac:dyDescent="0.35">
      <c r="C53" s="92" t="s">
        <v>151</v>
      </c>
      <c r="D53" s="92" t="s">
        <v>150</v>
      </c>
      <c r="E53" s="92" t="s">
        <v>86</v>
      </c>
      <c r="F53" s="165">
        <v>11570</v>
      </c>
    </row>
    <row r="54" spans="3:6" ht="40.799999999999997" thickBot="1" x14ac:dyDescent="0.35">
      <c r="C54" s="92" t="s">
        <v>152</v>
      </c>
      <c r="D54" s="92" t="s">
        <v>153</v>
      </c>
      <c r="E54" s="92" t="s">
        <v>109</v>
      </c>
      <c r="F54" s="165">
        <v>8574</v>
      </c>
    </row>
    <row r="55" spans="3:6" ht="40.799999999999997" thickBot="1" x14ac:dyDescent="0.35">
      <c r="C55" s="92" t="s">
        <v>154</v>
      </c>
      <c r="D55" s="92" t="s">
        <v>153</v>
      </c>
      <c r="E55" s="92" t="s">
        <v>109</v>
      </c>
      <c r="F55" s="165">
        <v>5850</v>
      </c>
    </row>
    <row r="56" spans="3:6" ht="27.6" thickBot="1" x14ac:dyDescent="0.35">
      <c r="C56" s="92" t="s">
        <v>155</v>
      </c>
      <c r="D56" s="92" t="s">
        <v>156</v>
      </c>
      <c r="E56" s="92" t="s">
        <v>104</v>
      </c>
      <c r="F56" s="165">
        <v>3886</v>
      </c>
    </row>
    <row r="57" spans="3:6" ht="15" thickBot="1" x14ac:dyDescent="0.35">
      <c r="C57" s="92" t="s">
        <v>157</v>
      </c>
      <c r="D57" s="92" t="s">
        <v>156</v>
      </c>
      <c r="E57" s="92" t="s">
        <v>86</v>
      </c>
      <c r="F57" s="165">
        <v>11800</v>
      </c>
    </row>
    <row r="58" spans="3:6" ht="40.799999999999997" thickBot="1" x14ac:dyDescent="0.35">
      <c r="C58" s="92" t="s">
        <v>158</v>
      </c>
      <c r="D58" s="92" t="s">
        <v>156</v>
      </c>
      <c r="E58" s="92" t="s">
        <v>91</v>
      </c>
      <c r="F58" s="165">
        <v>10874</v>
      </c>
    </row>
    <row r="59" spans="3:6" ht="27.6" thickBot="1" x14ac:dyDescent="0.35">
      <c r="C59" s="92" t="s">
        <v>159</v>
      </c>
      <c r="D59" s="92" t="s">
        <v>160</v>
      </c>
      <c r="E59" s="92" t="s">
        <v>109</v>
      </c>
      <c r="F59" s="165">
        <v>4251</v>
      </c>
    </row>
    <row r="60" spans="3:6" ht="27.6" thickBot="1" x14ac:dyDescent="0.35">
      <c r="C60" s="92" t="s">
        <v>161</v>
      </c>
      <c r="D60" s="92" t="s">
        <v>160</v>
      </c>
      <c r="E60" s="92" t="s">
        <v>109</v>
      </c>
      <c r="F60" s="165">
        <v>14888</v>
      </c>
    </row>
    <row r="61" spans="3:6" ht="27.6" thickBot="1" x14ac:dyDescent="0.35">
      <c r="C61" s="92" t="s">
        <v>162</v>
      </c>
      <c r="D61" s="92" t="s">
        <v>163</v>
      </c>
      <c r="E61" s="92" t="s">
        <v>119</v>
      </c>
      <c r="F61" s="165">
        <v>13809</v>
      </c>
    </row>
    <row r="62" spans="3:6" ht="27.6" thickBot="1" x14ac:dyDescent="0.35">
      <c r="C62" s="92" t="s">
        <v>164</v>
      </c>
      <c r="D62" s="92" t="s">
        <v>163</v>
      </c>
      <c r="E62" s="92" t="s">
        <v>119</v>
      </c>
      <c r="F62" s="165">
        <v>12363</v>
      </c>
    </row>
    <row r="63" spans="3:6" ht="15" thickBot="1" x14ac:dyDescent="0.35">
      <c r="C63" s="92" t="s">
        <v>165</v>
      </c>
      <c r="D63" s="92" t="s">
        <v>166</v>
      </c>
      <c r="E63" s="92" t="s">
        <v>119</v>
      </c>
      <c r="F63" s="165">
        <v>2799</v>
      </c>
    </row>
    <row r="64" spans="3:6" ht="15" thickBot="1" x14ac:dyDescent="0.35">
      <c r="C64" s="92" t="s">
        <v>167</v>
      </c>
      <c r="D64" s="92" t="s">
        <v>166</v>
      </c>
      <c r="E64" s="92" t="s">
        <v>119</v>
      </c>
      <c r="F64" s="165">
        <v>5165</v>
      </c>
    </row>
    <row r="65" spans="3:6" ht="27.6" thickBot="1" x14ac:dyDescent="0.35">
      <c r="C65" s="92" t="s">
        <v>168</v>
      </c>
      <c r="D65" s="92" t="s">
        <v>169</v>
      </c>
      <c r="E65" s="92" t="s">
        <v>101</v>
      </c>
      <c r="F65" s="165">
        <v>6500</v>
      </c>
    </row>
    <row r="66" spans="3:6" ht="27.6" thickBot="1" x14ac:dyDescent="0.35">
      <c r="C66" s="92" t="s">
        <v>170</v>
      </c>
      <c r="D66" s="92" t="s">
        <v>169</v>
      </c>
      <c r="E66" s="92" t="s">
        <v>104</v>
      </c>
      <c r="F66" s="165">
        <v>4887</v>
      </c>
    </row>
    <row r="67" spans="3:6" ht="27.6" thickBot="1" x14ac:dyDescent="0.35">
      <c r="C67" s="92" t="s">
        <v>171</v>
      </c>
      <c r="D67" s="92" t="s">
        <v>169</v>
      </c>
      <c r="E67" s="92" t="s">
        <v>107</v>
      </c>
      <c r="F67" s="165">
        <v>7302</v>
      </c>
    </row>
    <row r="68" spans="3:6" ht="27.6" thickBot="1" x14ac:dyDescent="0.35">
      <c r="C68" s="92" t="s">
        <v>172</v>
      </c>
      <c r="D68" s="92" t="s">
        <v>173</v>
      </c>
      <c r="E68" s="92" t="s">
        <v>107</v>
      </c>
      <c r="F68" s="165">
        <v>7265</v>
      </c>
    </row>
    <row r="69" spans="3:6" ht="15" thickBot="1" x14ac:dyDescent="0.35">
      <c r="C69" s="92" t="s">
        <v>174</v>
      </c>
      <c r="D69" s="92" t="s">
        <v>173</v>
      </c>
      <c r="E69" s="92" t="s">
        <v>107</v>
      </c>
      <c r="F69" s="165">
        <v>9846</v>
      </c>
    </row>
    <row r="70" spans="3:6" ht="27.6" thickBot="1" x14ac:dyDescent="0.35">
      <c r="C70" s="92" t="s">
        <v>175</v>
      </c>
      <c r="D70" s="92" t="s">
        <v>176</v>
      </c>
      <c r="E70" s="92" t="s">
        <v>104</v>
      </c>
      <c r="F70" s="165">
        <v>14425</v>
      </c>
    </row>
    <row r="71" spans="3:6" ht="27.6" thickBot="1" x14ac:dyDescent="0.35">
      <c r="C71" s="92" t="s">
        <v>177</v>
      </c>
      <c r="D71" s="92" t="s">
        <v>176</v>
      </c>
      <c r="E71" s="92" t="s">
        <v>104</v>
      </c>
      <c r="F71" s="165">
        <v>11005</v>
      </c>
    </row>
    <row r="72" spans="3:6" ht="27.6" thickBot="1" x14ac:dyDescent="0.35">
      <c r="C72" s="92" t="s">
        <v>178</v>
      </c>
      <c r="D72" s="92" t="s">
        <v>179</v>
      </c>
      <c r="E72" s="92" t="s">
        <v>109</v>
      </c>
      <c r="F72" s="165">
        <v>9403</v>
      </c>
    </row>
    <row r="73" spans="3:6" ht="27.6" thickBot="1" x14ac:dyDescent="0.35">
      <c r="C73" s="92" t="s">
        <v>180</v>
      </c>
      <c r="D73" s="92" t="s">
        <v>181</v>
      </c>
      <c r="E73" s="92" t="s">
        <v>99</v>
      </c>
      <c r="F73" s="165">
        <v>12048</v>
      </c>
    </row>
    <row r="74" spans="3:6" ht="27.6" thickBot="1" x14ac:dyDescent="0.35">
      <c r="C74" s="92" t="s">
        <v>182</v>
      </c>
      <c r="D74" s="92" t="s">
        <v>181</v>
      </c>
      <c r="E74" s="92" t="s">
        <v>99</v>
      </c>
      <c r="F74" s="165">
        <v>5762</v>
      </c>
    </row>
    <row r="75" spans="3:6" ht="40.799999999999997" thickBot="1" x14ac:dyDescent="0.35">
      <c r="C75" s="92" t="s">
        <v>183</v>
      </c>
      <c r="D75" s="92" t="s">
        <v>184</v>
      </c>
      <c r="E75" s="92" t="s">
        <v>91</v>
      </c>
      <c r="F75" s="165">
        <v>6721</v>
      </c>
    </row>
    <row r="76" spans="3:6" ht="15" thickBot="1" x14ac:dyDescent="0.35">
      <c r="C76" s="92" t="s">
        <v>185</v>
      </c>
      <c r="D76" s="92" t="s">
        <v>184</v>
      </c>
      <c r="E76" s="92" t="s">
        <v>119</v>
      </c>
      <c r="F76" s="165">
        <v>9169</v>
      </c>
    </row>
    <row r="77" spans="3:6" ht="40.799999999999997" thickBot="1" x14ac:dyDescent="0.35">
      <c r="C77" s="92" t="s">
        <v>186</v>
      </c>
      <c r="D77" s="92" t="s">
        <v>118</v>
      </c>
      <c r="E77" s="92" t="s">
        <v>91</v>
      </c>
      <c r="F77" s="165">
        <v>10427</v>
      </c>
    </row>
    <row r="78" spans="3:6" ht="40.799999999999997" thickBot="1" x14ac:dyDescent="0.35">
      <c r="C78" s="92" t="s">
        <v>187</v>
      </c>
      <c r="D78" s="92" t="s">
        <v>135</v>
      </c>
      <c r="E78" s="92" t="s">
        <v>104</v>
      </c>
      <c r="F78" s="165">
        <v>14095</v>
      </c>
    </row>
    <row r="79" spans="3:6" ht="40.799999999999997" thickBot="1" x14ac:dyDescent="0.35">
      <c r="C79" s="92" t="s">
        <v>188</v>
      </c>
      <c r="D79" s="92" t="s">
        <v>93</v>
      </c>
      <c r="E79" s="92" t="s">
        <v>91</v>
      </c>
      <c r="F79" s="165">
        <v>8381</v>
      </c>
    </row>
    <row r="80" spans="3:6" ht="40.799999999999997" thickBot="1" x14ac:dyDescent="0.35">
      <c r="C80" s="92" t="s">
        <v>189</v>
      </c>
      <c r="D80" s="92" t="s">
        <v>93</v>
      </c>
      <c r="E80" s="92" t="s">
        <v>91</v>
      </c>
      <c r="F80" s="165">
        <v>11412</v>
      </c>
    </row>
    <row r="81" spans="3:6" ht="40.799999999999997" thickBot="1" x14ac:dyDescent="0.35">
      <c r="C81" s="92" t="s">
        <v>190</v>
      </c>
      <c r="D81" s="92" t="s">
        <v>144</v>
      </c>
      <c r="E81" s="92" t="s">
        <v>86</v>
      </c>
      <c r="F81" s="165">
        <v>5016</v>
      </c>
    </row>
    <row r="82" spans="3:6" ht="27.6" thickBot="1" x14ac:dyDescent="0.35">
      <c r="C82" s="92" t="s">
        <v>191</v>
      </c>
      <c r="D82" s="92" t="s">
        <v>123</v>
      </c>
      <c r="E82" s="92" t="s">
        <v>119</v>
      </c>
      <c r="F82" s="165">
        <v>3419</v>
      </c>
    </row>
    <row r="83" spans="3:6" ht="27.6" thickBot="1" x14ac:dyDescent="0.35">
      <c r="C83" s="92" t="s">
        <v>192</v>
      </c>
      <c r="D83" s="92" t="s">
        <v>142</v>
      </c>
      <c r="E83" s="92" t="s">
        <v>99</v>
      </c>
      <c r="F83" s="165">
        <v>5486</v>
      </c>
    </row>
    <row r="84" spans="3:6" ht="15" thickBot="1" x14ac:dyDescent="0.35">
      <c r="C84" s="92" t="s">
        <v>193</v>
      </c>
      <c r="D84" s="92" t="s">
        <v>118</v>
      </c>
      <c r="E84" s="92" t="s">
        <v>86</v>
      </c>
      <c r="F84" s="165">
        <v>13724</v>
      </c>
    </row>
    <row r="85" spans="3:6" ht="27.6" thickBot="1" x14ac:dyDescent="0.35">
      <c r="C85" s="92" t="s">
        <v>194</v>
      </c>
      <c r="D85" s="92" t="s">
        <v>142</v>
      </c>
      <c r="E85" s="92" t="s">
        <v>99</v>
      </c>
      <c r="F85" s="165">
        <v>2662</v>
      </c>
    </row>
    <row r="86" spans="3:6" ht="40.799999999999997" thickBot="1" x14ac:dyDescent="0.35">
      <c r="C86" s="92" t="s">
        <v>195</v>
      </c>
      <c r="D86" s="92" t="s">
        <v>98</v>
      </c>
      <c r="E86" s="92" t="s">
        <v>99</v>
      </c>
      <c r="F86" s="165">
        <v>13733</v>
      </c>
    </row>
    <row r="87" spans="3:6" ht="27.6" thickBot="1" x14ac:dyDescent="0.35">
      <c r="C87" s="92" t="s">
        <v>196</v>
      </c>
      <c r="D87" s="92" t="s">
        <v>147</v>
      </c>
      <c r="E87" s="92" t="s">
        <v>109</v>
      </c>
      <c r="F87" s="165">
        <v>3872</v>
      </c>
    </row>
    <row r="88" spans="3:6" ht="27.6" thickBot="1" x14ac:dyDescent="0.35">
      <c r="C88" s="92" t="s">
        <v>197</v>
      </c>
      <c r="D88" s="92" t="s">
        <v>106</v>
      </c>
      <c r="E88" s="92" t="s">
        <v>101</v>
      </c>
      <c r="F88" s="165">
        <v>8369</v>
      </c>
    </row>
    <row r="89" spans="3:6" ht="40.799999999999997" thickBot="1" x14ac:dyDescent="0.35">
      <c r="C89" s="92" t="s">
        <v>198</v>
      </c>
      <c r="D89" s="92" t="s">
        <v>135</v>
      </c>
      <c r="E89" s="92" t="s">
        <v>86</v>
      </c>
      <c r="F89" s="165">
        <v>12573</v>
      </c>
    </row>
  </sheetData>
  <mergeCells count="9">
    <mergeCell ref="H9:K9"/>
    <mergeCell ref="H10:K10"/>
    <mergeCell ref="H11:K11"/>
    <mergeCell ref="K2:O2"/>
    <mergeCell ref="H4:K4"/>
    <mergeCell ref="H5:K5"/>
    <mergeCell ref="H6:K6"/>
    <mergeCell ref="H7:K7"/>
    <mergeCell ref="H8:K8"/>
  </mergeCells>
  <hyperlinks>
    <hyperlink ref="D2" r:id="rId1" xr:uid="{87BE4241-088C-4E2E-85FE-2EFB5D0B8DF5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U1000"/>
  <sheetViews>
    <sheetView topLeftCell="A36" workbookViewId="0">
      <selection activeCell="K68" sqref="K68"/>
    </sheetView>
  </sheetViews>
  <sheetFormatPr baseColWidth="10" defaultColWidth="14.44140625" defaultRowHeight="15" customHeight="1" x14ac:dyDescent="0.3"/>
  <cols>
    <col min="1" max="2" width="10.77734375" customWidth="1"/>
    <col min="3" max="3" width="4.5546875" customWidth="1"/>
    <col min="4" max="4" width="17.77734375" customWidth="1"/>
    <col min="5" max="5" width="10.77734375" customWidth="1"/>
    <col min="6" max="6" width="14.5546875" customWidth="1"/>
    <col min="7" max="9" width="10.77734375" customWidth="1"/>
    <col min="10" max="10" width="43.33203125" customWidth="1"/>
    <col min="11" max="26" width="10.77734375" customWidth="1"/>
  </cols>
  <sheetData>
    <row r="2" spans="2:21" ht="14.4" x14ac:dyDescent="0.3">
      <c r="B2" s="1"/>
    </row>
    <row r="4" spans="2:21" ht="15" customHeight="1" x14ac:dyDescent="0.3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2:21" ht="15" customHeight="1" x14ac:dyDescent="0.3"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2:21" ht="15" customHeight="1" x14ac:dyDescent="0.3">
      <c r="C6" s="1"/>
      <c r="D6" s="153" t="s">
        <v>199</v>
      </c>
      <c r="E6" s="121"/>
      <c r="F6" s="122"/>
      <c r="G6" s="83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2:21" ht="15" customHeight="1" x14ac:dyDescent="0.3"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2:21" ht="15" customHeight="1" x14ac:dyDescent="0.3">
      <c r="C8" s="1"/>
      <c r="D8" s="17" t="s">
        <v>200</v>
      </c>
      <c r="E8" s="17" t="s">
        <v>201</v>
      </c>
      <c r="F8" s="17" t="s">
        <v>202</v>
      </c>
      <c r="G8" s="1"/>
      <c r="H8" s="1"/>
      <c r="I8" s="1"/>
      <c r="J8" s="1"/>
      <c r="K8" s="18" t="s">
        <v>203</v>
      </c>
      <c r="L8" s="1"/>
      <c r="M8" s="149" t="s">
        <v>30</v>
      </c>
      <c r="N8" s="121"/>
      <c r="O8" s="122"/>
      <c r="P8" s="1"/>
      <c r="Q8" s="1"/>
      <c r="R8" s="1"/>
      <c r="S8" s="1"/>
      <c r="T8" s="1"/>
      <c r="U8" s="1"/>
    </row>
    <row r="9" spans="2:21" ht="15" customHeight="1" x14ac:dyDescent="0.3">
      <c r="C9" s="1"/>
      <c r="D9" s="2" t="s">
        <v>204</v>
      </c>
      <c r="E9" s="2" t="s">
        <v>205</v>
      </c>
      <c r="F9" s="2" t="s">
        <v>206</v>
      </c>
      <c r="G9" s="1"/>
      <c r="H9" s="154" t="s">
        <v>207</v>
      </c>
      <c r="I9" s="121"/>
      <c r="J9" s="121"/>
      <c r="K9" s="169">
        <f>COUNTIF(F9:F20,F9)</f>
        <v>6</v>
      </c>
      <c r="L9" s="1"/>
      <c r="M9" s="134"/>
      <c r="N9" s="135"/>
      <c r="O9" s="136"/>
      <c r="P9" s="1"/>
      <c r="Q9" s="1"/>
      <c r="R9" s="1"/>
      <c r="S9" s="1"/>
      <c r="T9" s="1"/>
      <c r="U9" s="1"/>
    </row>
    <row r="10" spans="2:21" ht="15" customHeight="1" x14ac:dyDescent="0.3">
      <c r="C10" s="1"/>
      <c r="D10" s="2" t="s">
        <v>208</v>
      </c>
      <c r="E10" s="2" t="s">
        <v>209</v>
      </c>
      <c r="F10" s="2" t="s">
        <v>210</v>
      </c>
      <c r="G10" s="1"/>
      <c r="H10" s="154" t="s">
        <v>211</v>
      </c>
      <c r="I10" s="121"/>
      <c r="J10" s="121"/>
      <c r="K10" s="3">
        <f>COUNTIF(F9:F20,F10)</f>
        <v>6</v>
      </c>
      <c r="L10" s="1"/>
      <c r="M10" s="150"/>
      <c r="N10" s="151"/>
      <c r="O10" s="152"/>
      <c r="P10" s="1"/>
      <c r="Q10" s="1"/>
      <c r="R10" s="1"/>
      <c r="S10" s="1"/>
      <c r="T10" s="1"/>
      <c r="U10" s="1"/>
    </row>
    <row r="11" spans="2:21" ht="15" customHeight="1" x14ac:dyDescent="0.3">
      <c r="C11" s="1"/>
      <c r="D11" s="2" t="s">
        <v>212</v>
      </c>
      <c r="E11" s="2" t="s">
        <v>209</v>
      </c>
      <c r="F11" s="2" t="s">
        <v>206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2:21" ht="15" customHeight="1" x14ac:dyDescent="0.3">
      <c r="C12" s="1"/>
      <c r="D12" s="2" t="s">
        <v>213</v>
      </c>
      <c r="E12" s="2" t="s">
        <v>214</v>
      </c>
      <c r="F12" s="2" t="s">
        <v>210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2:21" ht="15" customHeight="1" x14ac:dyDescent="0.3">
      <c r="C13" s="1"/>
      <c r="D13" s="2" t="s">
        <v>204</v>
      </c>
      <c r="E13" s="2" t="s">
        <v>205</v>
      </c>
      <c r="F13" s="2" t="s">
        <v>210</v>
      </c>
      <c r="G13" s="1"/>
      <c r="H13" s="1"/>
      <c r="I13" s="1"/>
      <c r="J13" s="1"/>
      <c r="K13" s="18" t="s">
        <v>203</v>
      </c>
      <c r="L13" s="1"/>
      <c r="M13" s="149" t="s">
        <v>30</v>
      </c>
      <c r="N13" s="121"/>
      <c r="O13" s="121"/>
      <c r="P13" s="121"/>
      <c r="Q13" s="122"/>
      <c r="R13" s="1"/>
      <c r="S13" s="1"/>
      <c r="T13" s="1"/>
      <c r="U13" s="1"/>
    </row>
    <row r="14" spans="2:21" ht="15" customHeight="1" x14ac:dyDescent="0.3">
      <c r="C14" s="1"/>
      <c r="D14" s="2" t="s">
        <v>208</v>
      </c>
      <c r="E14" s="2" t="s">
        <v>214</v>
      </c>
      <c r="F14" s="2" t="s">
        <v>210</v>
      </c>
      <c r="G14" s="1"/>
      <c r="H14" s="154" t="s">
        <v>215</v>
      </c>
      <c r="I14" s="121"/>
      <c r="J14" s="121"/>
      <c r="K14" s="3">
        <f>COUNTIFS(E9:E20,E9,F9:F20,F9)</f>
        <v>2</v>
      </c>
      <c r="L14" s="1"/>
      <c r="M14" s="134"/>
      <c r="N14" s="135"/>
      <c r="O14" s="135"/>
      <c r="P14" s="135"/>
      <c r="Q14" s="136"/>
      <c r="R14" s="1"/>
      <c r="S14" s="1"/>
      <c r="T14" s="1"/>
      <c r="U14" s="1"/>
    </row>
    <row r="15" spans="2:21" ht="15" customHeight="1" x14ac:dyDescent="0.3">
      <c r="C15" s="1"/>
      <c r="D15" s="2" t="s">
        <v>212</v>
      </c>
      <c r="E15" s="2" t="s">
        <v>214</v>
      </c>
      <c r="F15" s="2" t="s">
        <v>206</v>
      </c>
      <c r="G15" s="1"/>
      <c r="H15" s="154" t="s">
        <v>216</v>
      </c>
      <c r="I15" s="121"/>
      <c r="J15" s="121"/>
      <c r="K15" s="3">
        <f>COUNTIFS(E9:E20,E12,F9:F20,F10)</f>
        <v>3</v>
      </c>
      <c r="L15" s="1"/>
      <c r="M15" s="150"/>
      <c r="N15" s="151"/>
      <c r="O15" s="151"/>
      <c r="P15" s="151"/>
      <c r="Q15" s="152"/>
      <c r="R15" s="1"/>
      <c r="S15" s="1"/>
      <c r="T15" s="1"/>
      <c r="U15" s="1"/>
    </row>
    <row r="16" spans="2:21" ht="15" customHeight="1" x14ac:dyDescent="0.3">
      <c r="C16" s="1"/>
      <c r="D16" s="2" t="s">
        <v>213</v>
      </c>
      <c r="E16" s="2" t="s">
        <v>205</v>
      </c>
      <c r="F16" s="2" t="s">
        <v>210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3:21" ht="15" customHeight="1" x14ac:dyDescent="0.3">
      <c r="C17" s="1"/>
      <c r="D17" s="2" t="s">
        <v>213</v>
      </c>
      <c r="E17" s="2" t="s">
        <v>209</v>
      </c>
      <c r="F17" s="2" t="s">
        <v>206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3:21" ht="15" customHeight="1" x14ac:dyDescent="0.3">
      <c r="C18" s="1"/>
      <c r="D18" s="2" t="s">
        <v>204</v>
      </c>
      <c r="E18" s="2" t="s">
        <v>214</v>
      </c>
      <c r="F18" s="2" t="s">
        <v>206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3:21" ht="15" customHeight="1" x14ac:dyDescent="0.3">
      <c r="C19" s="1"/>
      <c r="D19" s="2" t="s">
        <v>208</v>
      </c>
      <c r="E19" s="2" t="s">
        <v>214</v>
      </c>
      <c r="F19" s="2" t="s">
        <v>210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3:21" ht="15" customHeight="1" x14ac:dyDescent="0.3">
      <c r="C20" s="1"/>
      <c r="D20" s="2" t="s">
        <v>212</v>
      </c>
      <c r="E20" s="2" t="s">
        <v>205</v>
      </c>
      <c r="F20" s="2" t="s">
        <v>206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3:21" ht="15.75" customHeight="1" x14ac:dyDescent="0.3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3:21" ht="15.75" customHeight="1" x14ac:dyDescent="0.3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3:21" ht="15.75" customHeight="1" x14ac:dyDescent="0.3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3:21" ht="15.75" customHeight="1" x14ac:dyDescent="0.3">
      <c r="C24" s="1"/>
      <c r="D24" s="129" t="s">
        <v>217</v>
      </c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"/>
      <c r="S24" s="1"/>
      <c r="T24" s="1"/>
      <c r="U24" s="1"/>
    </row>
    <row r="25" spans="3:21" ht="15.75" customHeight="1" x14ac:dyDescent="0.3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3:21" ht="15.75" customHeight="1" x14ac:dyDescent="0.3">
      <c r="C26" s="1"/>
      <c r="D26" s="155" t="s">
        <v>218</v>
      </c>
      <c r="E26" s="126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3:21" ht="15.75" customHeight="1" x14ac:dyDescent="0.3"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3:21" ht="15.75" customHeight="1" x14ac:dyDescent="0.3">
      <c r="C28" s="1"/>
      <c r="D28" s="17" t="s">
        <v>219</v>
      </c>
      <c r="E28" s="17" t="s">
        <v>220</v>
      </c>
      <c r="F28" s="17" t="s">
        <v>221</v>
      </c>
      <c r="G28" s="1"/>
      <c r="H28" s="1"/>
      <c r="I28" s="1"/>
      <c r="J28" s="1"/>
      <c r="K28" s="18" t="s">
        <v>203</v>
      </c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3:21" ht="15.75" customHeight="1" x14ac:dyDescent="0.3">
      <c r="C29" s="1"/>
      <c r="D29" s="2" t="s">
        <v>222</v>
      </c>
      <c r="E29" s="2" t="s">
        <v>223</v>
      </c>
      <c r="F29" s="2" t="s">
        <v>224</v>
      </c>
      <c r="G29" s="1"/>
      <c r="H29" s="19" t="s">
        <v>225</v>
      </c>
      <c r="I29" s="19"/>
      <c r="J29" s="20"/>
      <c r="K29" s="3">
        <f>COUNTIF(F29:F38,F29)</f>
        <v>7</v>
      </c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3:21" ht="15.75" customHeight="1" x14ac:dyDescent="0.3">
      <c r="C30" s="1"/>
      <c r="D30" s="2" t="s">
        <v>226</v>
      </c>
      <c r="E30" s="2" t="s">
        <v>227</v>
      </c>
      <c r="F30" s="2" t="s">
        <v>228</v>
      </c>
      <c r="G30" s="1"/>
      <c r="H30" s="19" t="s">
        <v>229</v>
      </c>
      <c r="I30" s="19"/>
      <c r="J30" s="20"/>
      <c r="K30" s="3">
        <f>COUNTIF(F29:F38,F30)</f>
        <v>3</v>
      </c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3:21" ht="15.75" customHeight="1" x14ac:dyDescent="0.3">
      <c r="C31" s="1"/>
      <c r="D31" s="2" t="s">
        <v>230</v>
      </c>
      <c r="E31" s="2" t="s">
        <v>231</v>
      </c>
      <c r="F31" s="2" t="s">
        <v>224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3:21" ht="15.75" customHeight="1" x14ac:dyDescent="0.3">
      <c r="C32" s="1"/>
      <c r="D32" s="2" t="s">
        <v>230</v>
      </c>
      <c r="E32" s="2" t="s">
        <v>231</v>
      </c>
      <c r="F32" s="2" t="s">
        <v>224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3:21" ht="15.75" customHeight="1" x14ac:dyDescent="0.3">
      <c r="C33" s="1"/>
      <c r="D33" s="2" t="s">
        <v>222</v>
      </c>
      <c r="E33" s="2" t="s">
        <v>223</v>
      </c>
      <c r="F33" s="2" t="s">
        <v>224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3:21" ht="15.75" customHeight="1" x14ac:dyDescent="0.3">
      <c r="C34" s="1"/>
      <c r="D34" s="2" t="s">
        <v>226</v>
      </c>
      <c r="E34" s="2" t="s">
        <v>227</v>
      </c>
      <c r="F34" s="2" t="s">
        <v>228</v>
      </c>
      <c r="G34" s="1"/>
      <c r="H34" s="1"/>
      <c r="I34" s="1"/>
      <c r="J34" s="1"/>
      <c r="K34" s="18" t="s">
        <v>203</v>
      </c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3:21" ht="15.75" customHeight="1" x14ac:dyDescent="0.3">
      <c r="C35" s="1"/>
      <c r="D35" s="2" t="s">
        <v>226</v>
      </c>
      <c r="E35" s="2" t="s">
        <v>227</v>
      </c>
      <c r="F35" s="2" t="s">
        <v>228</v>
      </c>
      <c r="G35" s="1"/>
      <c r="H35" s="19" t="s">
        <v>232</v>
      </c>
      <c r="I35" s="19"/>
      <c r="J35" s="20"/>
      <c r="K35" s="3">
        <f>COUNTIFS(D29:D38,D31,F29:F38,F29)</f>
        <v>3</v>
      </c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3:21" ht="15.75" customHeight="1" x14ac:dyDescent="0.3">
      <c r="C36" s="1"/>
      <c r="D36" s="2" t="s">
        <v>222</v>
      </c>
      <c r="E36" s="2" t="s">
        <v>223</v>
      </c>
      <c r="F36" s="2" t="s">
        <v>224</v>
      </c>
      <c r="G36" s="1"/>
      <c r="H36" s="19" t="s">
        <v>233</v>
      </c>
      <c r="I36" s="19"/>
      <c r="J36" s="20"/>
      <c r="K36" s="3">
        <f>COUNTIFS(D29:D38,D29,F29:F38,F29)</f>
        <v>4</v>
      </c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3:21" ht="15.75" customHeight="1" x14ac:dyDescent="0.3">
      <c r="C37" s="1"/>
      <c r="D37" s="2" t="s">
        <v>230</v>
      </c>
      <c r="E37" s="2" t="s">
        <v>231</v>
      </c>
      <c r="F37" s="2" t="s">
        <v>224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3:21" ht="15.75" customHeight="1" x14ac:dyDescent="0.3">
      <c r="C38" s="1"/>
      <c r="D38" s="2" t="s">
        <v>222</v>
      </c>
      <c r="E38" s="2" t="s">
        <v>223</v>
      </c>
      <c r="F38" s="2" t="s">
        <v>224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3:21" ht="15.75" customHeight="1" x14ac:dyDescent="0.3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3:21" ht="15.75" customHeight="1" x14ac:dyDescent="0.3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3:21" ht="15.75" customHeight="1" x14ac:dyDescent="0.3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3:21" ht="15.75" customHeight="1" x14ac:dyDescent="0.3">
      <c r="C42" s="1"/>
      <c r="D42" s="155" t="s">
        <v>234</v>
      </c>
      <c r="E42" s="126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3:21" ht="15.75" customHeight="1" x14ac:dyDescent="0.3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3:21" ht="15.75" customHeight="1" x14ac:dyDescent="0.3">
      <c r="C44" s="1"/>
      <c r="D44" s="17" t="s">
        <v>235</v>
      </c>
      <c r="E44" s="17" t="s">
        <v>236</v>
      </c>
      <c r="F44" s="17" t="s">
        <v>237</v>
      </c>
      <c r="G44" s="1"/>
      <c r="H44" s="1"/>
      <c r="I44" s="1"/>
      <c r="J44" s="1"/>
      <c r="K44" s="18" t="s">
        <v>203</v>
      </c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3:21" ht="15.75" customHeight="1" x14ac:dyDescent="0.3">
      <c r="C45" s="1"/>
      <c r="D45" s="2" t="s">
        <v>238</v>
      </c>
      <c r="E45" s="2" t="s">
        <v>239</v>
      </c>
      <c r="F45" s="2" t="s">
        <v>240</v>
      </c>
      <c r="G45" s="1"/>
      <c r="H45" s="20" t="s">
        <v>241</v>
      </c>
      <c r="I45" s="21"/>
      <c r="J45" s="22"/>
      <c r="K45" s="3">
        <f>COUNTIF(F45:F54,F47)</f>
        <v>5</v>
      </c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3:21" ht="15.75" customHeight="1" x14ac:dyDescent="0.3">
      <c r="C46" s="1"/>
      <c r="D46" s="2" t="s">
        <v>242</v>
      </c>
      <c r="E46" s="2" t="s">
        <v>243</v>
      </c>
      <c r="F46" s="2" t="s">
        <v>240</v>
      </c>
      <c r="G46" s="1"/>
      <c r="H46" s="20" t="s">
        <v>244</v>
      </c>
      <c r="I46" s="21"/>
      <c r="J46" s="22"/>
      <c r="K46" s="3">
        <f>COUNTIF(F45:F54,F45)</f>
        <v>5</v>
      </c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3:21" ht="15.75" customHeight="1" x14ac:dyDescent="0.3">
      <c r="C47" s="1"/>
      <c r="D47" s="2" t="s">
        <v>245</v>
      </c>
      <c r="E47" s="2" t="s">
        <v>246</v>
      </c>
      <c r="F47" s="2" t="s">
        <v>247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3:21" ht="15.75" customHeight="1" x14ac:dyDescent="0.3">
      <c r="C48" s="1"/>
      <c r="D48" s="2" t="s">
        <v>248</v>
      </c>
      <c r="E48" s="2" t="s">
        <v>246</v>
      </c>
      <c r="F48" s="2" t="s">
        <v>247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3:21" ht="15.75" customHeight="1" x14ac:dyDescent="0.3">
      <c r="C49" s="1"/>
      <c r="D49" s="2" t="s">
        <v>249</v>
      </c>
      <c r="E49" s="2" t="s">
        <v>243</v>
      </c>
      <c r="F49" s="2" t="s">
        <v>247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3:21" ht="15.75" customHeight="1" x14ac:dyDescent="0.3">
      <c r="C50" s="1"/>
      <c r="D50" s="2" t="s">
        <v>250</v>
      </c>
      <c r="E50" s="2" t="s">
        <v>239</v>
      </c>
      <c r="F50" s="2" t="s">
        <v>240</v>
      </c>
      <c r="G50" s="1"/>
      <c r="H50" s="1"/>
      <c r="I50" s="1"/>
      <c r="J50" s="1"/>
      <c r="K50" s="18" t="s">
        <v>203</v>
      </c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3:21" ht="15.75" customHeight="1" x14ac:dyDescent="0.3">
      <c r="C51" s="1"/>
      <c r="D51" s="2" t="s">
        <v>251</v>
      </c>
      <c r="E51" s="2" t="s">
        <v>239</v>
      </c>
      <c r="F51" s="2" t="s">
        <v>240</v>
      </c>
      <c r="G51" s="1"/>
      <c r="H51" s="19" t="s">
        <v>252</v>
      </c>
      <c r="I51" s="19"/>
      <c r="J51" s="20"/>
      <c r="K51" s="3">
        <f>COUNTIFS(E45:E54,E45,F45:F54,F45)</f>
        <v>3</v>
      </c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3:21" ht="15.75" customHeight="1" x14ac:dyDescent="0.3">
      <c r="C52" s="1"/>
      <c r="D52" s="2" t="s">
        <v>253</v>
      </c>
      <c r="E52" s="2" t="s">
        <v>243</v>
      </c>
      <c r="F52" s="2" t="s">
        <v>247</v>
      </c>
      <c r="G52" s="1"/>
      <c r="H52" s="19" t="s">
        <v>254</v>
      </c>
      <c r="I52" s="19"/>
      <c r="J52" s="20"/>
      <c r="K52" s="3">
        <f>COUNTIFS(E45:E54,E47,F45:F54,F47)</f>
        <v>2</v>
      </c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3:21" ht="15.75" customHeight="1" x14ac:dyDescent="0.3">
      <c r="C53" s="1"/>
      <c r="D53" s="2" t="s">
        <v>255</v>
      </c>
      <c r="E53" s="2" t="s">
        <v>246</v>
      </c>
      <c r="F53" s="2" t="s">
        <v>240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3:21" ht="15.75" customHeight="1" x14ac:dyDescent="0.3">
      <c r="C54" s="1"/>
      <c r="D54" s="2" t="s">
        <v>256</v>
      </c>
      <c r="E54" s="2" t="s">
        <v>239</v>
      </c>
      <c r="F54" s="2" t="s">
        <v>247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3:21" ht="15.75" customHeight="1" x14ac:dyDescent="0.3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3:21" ht="15.75" customHeight="1" x14ac:dyDescent="0.3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3:21" ht="15.75" customHeight="1" x14ac:dyDescent="0.3">
      <c r="C57" s="1"/>
      <c r="D57" s="155" t="s">
        <v>257</v>
      </c>
      <c r="E57" s="126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3:21" ht="15.75" customHeight="1" x14ac:dyDescent="0.3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3:21" ht="15.75" customHeight="1" x14ac:dyDescent="0.3">
      <c r="C59" s="1"/>
      <c r="D59" s="17" t="s">
        <v>219</v>
      </c>
      <c r="E59" s="17" t="s">
        <v>258</v>
      </c>
      <c r="F59" s="17" t="s">
        <v>221</v>
      </c>
      <c r="G59" s="1"/>
      <c r="H59" s="1"/>
      <c r="I59" s="1"/>
      <c r="J59" s="1"/>
      <c r="K59" s="18" t="s">
        <v>203</v>
      </c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3:21" ht="15.75" customHeight="1" x14ac:dyDescent="0.3">
      <c r="C60" s="1"/>
      <c r="D60" s="2" t="s">
        <v>259</v>
      </c>
      <c r="E60" s="2" t="s">
        <v>243</v>
      </c>
      <c r="F60" s="2" t="s">
        <v>260</v>
      </c>
      <c r="G60" s="1"/>
      <c r="H60" s="20" t="s">
        <v>261</v>
      </c>
      <c r="I60" s="21"/>
      <c r="J60" s="22"/>
      <c r="K60" s="3">
        <f>COUNTIF(F60:F69,F60)</f>
        <v>6</v>
      </c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3:21" ht="15.75" customHeight="1" x14ac:dyDescent="0.3">
      <c r="C61" s="1"/>
      <c r="D61" s="2" t="s">
        <v>262</v>
      </c>
      <c r="E61" s="2" t="s">
        <v>243</v>
      </c>
      <c r="F61" s="2" t="s">
        <v>263</v>
      </c>
      <c r="G61" s="1"/>
      <c r="H61" s="20" t="s">
        <v>264</v>
      </c>
      <c r="I61" s="21"/>
      <c r="J61" s="22"/>
      <c r="K61" s="3">
        <f>COUNTIF(F60:F69,F61)</f>
        <v>4</v>
      </c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3:21" ht="15.75" customHeight="1" x14ac:dyDescent="0.3">
      <c r="C62" s="1"/>
      <c r="D62" s="2" t="s">
        <v>265</v>
      </c>
      <c r="E62" s="2" t="s">
        <v>246</v>
      </c>
      <c r="F62" s="2" t="s">
        <v>260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3:21" ht="15.75" customHeight="1" x14ac:dyDescent="0.3">
      <c r="C63" s="1"/>
      <c r="D63" s="2" t="s">
        <v>266</v>
      </c>
      <c r="E63" s="2" t="s">
        <v>246</v>
      </c>
      <c r="F63" s="2" t="s">
        <v>260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3:21" ht="15.75" customHeight="1" x14ac:dyDescent="0.3">
      <c r="C64" s="1"/>
      <c r="D64" s="2" t="s">
        <v>267</v>
      </c>
      <c r="E64" s="2" t="s">
        <v>268</v>
      </c>
      <c r="F64" s="2" t="s">
        <v>263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3:21" ht="15.75" customHeight="1" x14ac:dyDescent="0.3">
      <c r="C65" s="1"/>
      <c r="D65" s="2" t="s">
        <v>269</v>
      </c>
      <c r="E65" s="2" t="s">
        <v>268</v>
      </c>
      <c r="F65" s="2" t="s">
        <v>263</v>
      </c>
      <c r="G65" s="1"/>
      <c r="H65" s="1"/>
      <c r="I65" s="1"/>
      <c r="J65" s="1"/>
      <c r="K65" s="18" t="s">
        <v>203</v>
      </c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3:21" ht="15.75" customHeight="1" x14ac:dyDescent="0.3">
      <c r="C66" s="1"/>
      <c r="D66" s="2" t="s">
        <v>270</v>
      </c>
      <c r="E66" s="2" t="s">
        <v>243</v>
      </c>
      <c r="F66" s="2" t="s">
        <v>260</v>
      </c>
      <c r="G66" s="1"/>
      <c r="H66" s="20" t="s">
        <v>271</v>
      </c>
      <c r="I66" s="21"/>
      <c r="J66" s="22"/>
      <c r="K66" s="3">
        <f>COUNTIFS(E60:E69,E64,F60:F69,F61)</f>
        <v>3</v>
      </c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3:21" ht="15.75" customHeight="1" x14ac:dyDescent="0.3">
      <c r="C67" s="1"/>
      <c r="D67" s="2" t="s">
        <v>272</v>
      </c>
      <c r="E67" s="2" t="s">
        <v>268</v>
      </c>
      <c r="F67" s="2" t="s">
        <v>263</v>
      </c>
      <c r="G67" s="1"/>
      <c r="H67" s="20" t="s">
        <v>273</v>
      </c>
      <c r="I67" s="21"/>
      <c r="J67" s="22"/>
      <c r="K67" s="3">
        <f>COUNTIFS(E60:E69,E60,F60:F69,F60)</f>
        <v>2</v>
      </c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3:21" ht="15.75" customHeight="1" x14ac:dyDescent="0.3">
      <c r="C68" s="1"/>
      <c r="D68" s="2" t="s">
        <v>274</v>
      </c>
      <c r="E68" s="2" t="s">
        <v>246</v>
      </c>
      <c r="F68" s="2" t="s">
        <v>260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3:21" ht="15.75" customHeight="1" x14ac:dyDescent="0.3">
      <c r="C69" s="1"/>
      <c r="D69" s="2" t="s">
        <v>275</v>
      </c>
      <c r="E69" s="2" t="s">
        <v>276</v>
      </c>
      <c r="F69" s="2" t="s">
        <v>260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3:21" ht="15.75" customHeight="1" x14ac:dyDescent="0.3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3:21" ht="15.75" customHeight="1" x14ac:dyDescent="0.3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3:21" ht="15.75" customHeight="1" x14ac:dyDescent="0.3">
      <c r="C72" s="1"/>
      <c r="D72" s="128"/>
      <c r="E72" s="128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3:21" ht="15.75" customHeight="1" x14ac:dyDescent="0.3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3:21" ht="15.75" customHeight="1" x14ac:dyDescent="0.3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3:21" ht="15.75" customHeight="1" x14ac:dyDescent="0.3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3:21" ht="15.75" customHeight="1" x14ac:dyDescent="0.3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3:21" ht="15.75" customHeight="1" x14ac:dyDescent="0.3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3:21" ht="15.75" customHeight="1" x14ac:dyDescent="0.3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3:21" ht="15.75" customHeight="1" x14ac:dyDescent="0.3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3:21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4">
    <mergeCell ref="M13:Q13"/>
    <mergeCell ref="M14:Q15"/>
    <mergeCell ref="D72:E72"/>
    <mergeCell ref="D6:F6"/>
    <mergeCell ref="M8:O8"/>
    <mergeCell ref="H9:J9"/>
    <mergeCell ref="M9:O10"/>
    <mergeCell ref="H10:J10"/>
    <mergeCell ref="H14:J14"/>
    <mergeCell ref="H15:J15"/>
    <mergeCell ref="D42:E42"/>
    <mergeCell ref="D57:E57"/>
    <mergeCell ref="D24:Q24"/>
    <mergeCell ref="D26:E26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C4D79-97BA-4F1B-B0F7-0DEC10D8F436}">
  <dimension ref="B2:P114"/>
  <sheetViews>
    <sheetView workbookViewId="0">
      <selection activeCell="I8" sqref="I8"/>
    </sheetView>
  </sheetViews>
  <sheetFormatPr baseColWidth="10" defaultColWidth="11.44140625" defaultRowHeight="14.4" x14ac:dyDescent="0.3"/>
  <cols>
    <col min="5" max="5" width="20.21875" customWidth="1"/>
    <col min="7" max="7" width="13.5546875" customWidth="1"/>
    <col min="8" max="8" width="19.77734375" customWidth="1"/>
    <col min="11" max="11" width="21" customWidth="1"/>
  </cols>
  <sheetData>
    <row r="2" spans="2:16" ht="15" thickBot="1" x14ac:dyDescent="0.35">
      <c r="D2" s="156" t="s">
        <v>277</v>
      </c>
      <c r="E2" s="156"/>
      <c r="F2" s="156"/>
      <c r="G2" s="156"/>
      <c r="H2" s="156"/>
    </row>
    <row r="3" spans="2:16" x14ac:dyDescent="0.3">
      <c r="D3" s="43"/>
      <c r="E3" s="44" t="s">
        <v>278</v>
      </c>
      <c r="G3" s="43"/>
      <c r="H3" s="44" t="s">
        <v>279</v>
      </c>
      <c r="J3" s="43"/>
      <c r="K3" s="44" t="s">
        <v>278</v>
      </c>
    </row>
    <row r="4" spans="2:16" ht="15" thickBot="1" x14ac:dyDescent="0.35">
      <c r="C4" s="45"/>
      <c r="D4" s="46" t="s">
        <v>280</v>
      </c>
      <c r="E4" s="47">
        <f>SUMIF(G14:G113,G14,O14:O113)</f>
        <v>3231</v>
      </c>
      <c r="G4" s="46" t="s">
        <v>281</v>
      </c>
      <c r="H4" s="47">
        <f>SUMIF(J14:J113,J14,O14:O113)</f>
        <v>4619</v>
      </c>
      <c r="J4" s="46" t="s">
        <v>282</v>
      </c>
      <c r="K4" s="47">
        <f>SUMIF($K$14:$K$113,K14,$O$14:$O$113)</f>
        <v>143</v>
      </c>
    </row>
    <row r="5" spans="2:16" ht="15" thickBot="1" x14ac:dyDescent="0.35">
      <c r="D5" s="46" t="s">
        <v>283</v>
      </c>
      <c r="E5" s="47">
        <f>SUMIFS(O14:O113,G14:G113,G16)</f>
        <v>3309</v>
      </c>
      <c r="G5" s="48" t="s">
        <v>284</v>
      </c>
      <c r="H5" s="49">
        <f>SUMIF(J14:J113,J20,O14:O113)</f>
        <v>1923</v>
      </c>
      <c r="J5" s="46" t="s">
        <v>285</v>
      </c>
      <c r="K5" s="47">
        <f>SUMIF($K$14:$K$113,K16,$O$14:$O$113)</f>
        <v>15</v>
      </c>
      <c r="M5" s="157" t="s">
        <v>286</v>
      </c>
      <c r="N5" s="157"/>
      <c r="O5" s="157"/>
      <c r="P5" s="157"/>
    </row>
    <row r="6" spans="2:16" x14ac:dyDescent="0.3">
      <c r="D6" s="46" t="s">
        <v>287</v>
      </c>
      <c r="E6" s="47">
        <f>SUMIFS(O14:O113,G14:G113,G20)</f>
        <v>2</v>
      </c>
      <c r="J6" s="46" t="s">
        <v>288</v>
      </c>
      <c r="K6" s="47">
        <f>SUMIF($K$14:$K$113,K17,$O$14:$O$113)</f>
        <v>1091</v>
      </c>
      <c r="M6" s="157"/>
      <c r="N6" s="157"/>
      <c r="O6" s="157"/>
      <c r="P6" s="157"/>
    </row>
    <row r="7" spans="2:16" ht="15" thickBot="1" x14ac:dyDescent="0.35">
      <c r="D7" s="48" t="s">
        <v>289</v>
      </c>
      <c r="E7" s="49">
        <f>SUM(E4:E6)</f>
        <v>6542</v>
      </c>
      <c r="J7" s="46" t="s">
        <v>290</v>
      </c>
      <c r="K7" s="47">
        <f>SUMIF($K$14:$K$113,K20,$O$14:$O$113)</f>
        <v>57</v>
      </c>
    </row>
    <row r="8" spans="2:16" ht="15" thickBot="1" x14ac:dyDescent="0.35">
      <c r="J8" s="48" t="s">
        <v>291</v>
      </c>
      <c r="K8" s="47">
        <f>SUMIF($K$14:$K$113,K31,$O$14:$O$113)</f>
        <v>9</v>
      </c>
    </row>
    <row r="12" spans="2:16" ht="15" thickBot="1" x14ac:dyDescent="0.35"/>
    <row r="13" spans="2:16" ht="24.6" thickBot="1" x14ac:dyDescent="0.35">
      <c r="B13" s="50" t="s">
        <v>292</v>
      </c>
      <c r="C13" s="50" t="s">
        <v>293</v>
      </c>
      <c r="D13" s="50" t="s">
        <v>294</v>
      </c>
      <c r="E13" s="50" t="s">
        <v>295</v>
      </c>
      <c r="F13" s="50" t="s">
        <v>296</v>
      </c>
      <c r="G13" s="50" t="s">
        <v>297</v>
      </c>
      <c r="H13" s="50" t="s">
        <v>298</v>
      </c>
      <c r="I13" s="50" t="s">
        <v>299</v>
      </c>
      <c r="J13" s="50" t="s">
        <v>300</v>
      </c>
      <c r="K13" s="50" t="s">
        <v>301</v>
      </c>
      <c r="L13" s="50" t="s">
        <v>302</v>
      </c>
      <c r="M13" s="50" t="s">
        <v>303</v>
      </c>
      <c r="N13" s="50" t="s">
        <v>304</v>
      </c>
      <c r="O13" s="51" t="s">
        <v>305</v>
      </c>
    </row>
    <row r="14" spans="2:16" ht="61.2" thickTop="1" thickBot="1" x14ac:dyDescent="0.35">
      <c r="B14" s="52" t="s">
        <v>306</v>
      </c>
      <c r="C14" s="52" t="s">
        <v>307</v>
      </c>
      <c r="D14" s="52" t="s">
        <v>308</v>
      </c>
      <c r="E14" s="52" t="s">
        <v>309</v>
      </c>
      <c r="F14" s="52" t="s">
        <v>310</v>
      </c>
      <c r="G14" s="52" t="s">
        <v>311</v>
      </c>
      <c r="H14" s="52" t="s">
        <v>312</v>
      </c>
      <c r="I14" s="52" t="s">
        <v>313</v>
      </c>
      <c r="J14" s="52" t="s">
        <v>314</v>
      </c>
      <c r="K14" s="52" t="s">
        <v>315</v>
      </c>
      <c r="L14" s="52" t="s">
        <v>316</v>
      </c>
      <c r="M14" s="53"/>
      <c r="N14" s="52" t="s">
        <v>317</v>
      </c>
      <c r="O14" s="54">
        <v>1</v>
      </c>
    </row>
    <row r="15" spans="2:16" ht="15.6" thickTop="1" thickBot="1" x14ac:dyDescent="0.35">
      <c r="B15" s="52" t="s">
        <v>306</v>
      </c>
      <c r="C15" s="52" t="s">
        <v>318</v>
      </c>
      <c r="D15" s="52" t="s">
        <v>319</v>
      </c>
      <c r="E15" s="52" t="s">
        <v>320</v>
      </c>
      <c r="F15" s="52" t="s">
        <v>310</v>
      </c>
      <c r="G15" s="52" t="s">
        <v>311</v>
      </c>
      <c r="H15" s="52" t="s">
        <v>321</v>
      </c>
      <c r="I15" s="52" t="s">
        <v>313</v>
      </c>
      <c r="J15" s="52" t="s">
        <v>314</v>
      </c>
      <c r="K15" s="52" t="s">
        <v>322</v>
      </c>
      <c r="L15" s="52" t="s">
        <v>323</v>
      </c>
      <c r="M15" s="53"/>
      <c r="N15" s="52" t="s">
        <v>317</v>
      </c>
      <c r="O15" s="54">
        <v>1</v>
      </c>
    </row>
    <row r="16" spans="2:16" ht="37.200000000000003" thickTop="1" thickBot="1" x14ac:dyDescent="0.35">
      <c r="B16" s="52" t="s">
        <v>306</v>
      </c>
      <c r="C16" s="52" t="s">
        <v>324</v>
      </c>
      <c r="D16" s="52" t="s">
        <v>325</v>
      </c>
      <c r="E16" s="52" t="s">
        <v>326</v>
      </c>
      <c r="F16" s="52" t="s">
        <v>310</v>
      </c>
      <c r="G16" s="52" t="s">
        <v>327</v>
      </c>
      <c r="H16" s="52" t="s">
        <v>328</v>
      </c>
      <c r="I16" s="52" t="s">
        <v>313</v>
      </c>
      <c r="J16" s="52" t="s">
        <v>314</v>
      </c>
      <c r="K16" s="52" t="s">
        <v>329</v>
      </c>
      <c r="L16" s="55" t="s">
        <v>330</v>
      </c>
      <c r="M16" s="53"/>
      <c r="N16" s="52" t="s">
        <v>317</v>
      </c>
      <c r="O16" s="54">
        <v>1</v>
      </c>
    </row>
    <row r="17" spans="2:15" ht="15.6" thickTop="1" thickBot="1" x14ac:dyDescent="0.35">
      <c r="B17" s="52" t="s">
        <v>306</v>
      </c>
      <c r="C17" s="52" t="s">
        <v>331</v>
      </c>
      <c r="D17" s="52" t="s">
        <v>332</v>
      </c>
      <c r="E17" s="52" t="s">
        <v>333</v>
      </c>
      <c r="F17" s="52" t="s">
        <v>310</v>
      </c>
      <c r="G17" s="52" t="s">
        <v>327</v>
      </c>
      <c r="H17" s="52" t="s">
        <v>321</v>
      </c>
      <c r="I17" s="52" t="s">
        <v>313</v>
      </c>
      <c r="J17" s="52" t="s">
        <v>314</v>
      </c>
      <c r="K17" s="52" t="s">
        <v>334</v>
      </c>
      <c r="L17" s="52" t="s">
        <v>335</v>
      </c>
      <c r="M17" s="53"/>
      <c r="N17" s="52" t="s">
        <v>317</v>
      </c>
      <c r="O17" s="54">
        <v>338</v>
      </c>
    </row>
    <row r="18" spans="2:15" ht="15.6" thickTop="1" thickBot="1" x14ac:dyDescent="0.35">
      <c r="B18" s="52" t="s">
        <v>306</v>
      </c>
      <c r="C18" s="52" t="s">
        <v>331</v>
      </c>
      <c r="D18" s="52" t="s">
        <v>336</v>
      </c>
      <c r="E18" s="52" t="s">
        <v>337</v>
      </c>
      <c r="F18" s="52" t="s">
        <v>310</v>
      </c>
      <c r="G18" s="52" t="s">
        <v>327</v>
      </c>
      <c r="H18" s="52" t="s">
        <v>328</v>
      </c>
      <c r="I18" s="52" t="s">
        <v>313</v>
      </c>
      <c r="J18" s="52" t="s">
        <v>314</v>
      </c>
      <c r="K18" s="52" t="s">
        <v>338</v>
      </c>
      <c r="L18" s="52" t="s">
        <v>339</v>
      </c>
      <c r="M18" s="53"/>
      <c r="N18" s="52" t="s">
        <v>317</v>
      </c>
      <c r="O18" s="54">
        <v>2</v>
      </c>
    </row>
    <row r="19" spans="2:15" ht="37.200000000000003" thickTop="1" thickBot="1" x14ac:dyDescent="0.35">
      <c r="B19" s="52" t="s">
        <v>306</v>
      </c>
      <c r="C19" s="52" t="s">
        <v>340</v>
      </c>
      <c r="D19" s="52" t="s">
        <v>341</v>
      </c>
      <c r="E19" s="52" t="s">
        <v>342</v>
      </c>
      <c r="F19" s="52" t="s">
        <v>310</v>
      </c>
      <c r="G19" s="52" t="s">
        <v>327</v>
      </c>
      <c r="H19" s="52" t="s">
        <v>328</v>
      </c>
      <c r="I19" s="52" t="s">
        <v>313</v>
      </c>
      <c r="J19" s="52" t="s">
        <v>314</v>
      </c>
      <c r="K19" s="52" t="s">
        <v>343</v>
      </c>
      <c r="L19" s="52" t="s">
        <v>344</v>
      </c>
      <c r="M19" s="53"/>
      <c r="N19" s="52" t="s">
        <v>317</v>
      </c>
      <c r="O19" s="54">
        <v>1</v>
      </c>
    </row>
    <row r="20" spans="2:15" ht="15.6" thickTop="1" thickBot="1" x14ac:dyDescent="0.35">
      <c r="B20" s="52" t="s">
        <v>306</v>
      </c>
      <c r="C20" s="52" t="s">
        <v>318</v>
      </c>
      <c r="D20" s="52" t="s">
        <v>332</v>
      </c>
      <c r="E20" s="52" t="s">
        <v>333</v>
      </c>
      <c r="F20" s="52" t="s">
        <v>310</v>
      </c>
      <c r="G20" s="52" t="s">
        <v>345</v>
      </c>
      <c r="H20" s="52" t="s">
        <v>321</v>
      </c>
      <c r="I20" s="52" t="s">
        <v>313</v>
      </c>
      <c r="J20" s="52" t="s">
        <v>284</v>
      </c>
      <c r="K20" s="52" t="s">
        <v>346</v>
      </c>
      <c r="L20" s="52" t="s">
        <v>347</v>
      </c>
      <c r="M20" s="53"/>
      <c r="N20" s="52" t="s">
        <v>317</v>
      </c>
      <c r="O20" s="54">
        <v>1</v>
      </c>
    </row>
    <row r="21" spans="2:15" ht="15.6" thickTop="1" thickBot="1" x14ac:dyDescent="0.35">
      <c r="B21" s="52" t="s">
        <v>306</v>
      </c>
      <c r="C21" s="52" t="s">
        <v>331</v>
      </c>
      <c r="D21" s="52" t="s">
        <v>348</v>
      </c>
      <c r="E21" s="52" t="s">
        <v>349</v>
      </c>
      <c r="F21" s="52" t="s">
        <v>310</v>
      </c>
      <c r="G21" s="52" t="s">
        <v>311</v>
      </c>
      <c r="H21" s="52" t="s">
        <v>321</v>
      </c>
      <c r="I21" s="52" t="s">
        <v>313</v>
      </c>
      <c r="J21" s="52" t="s">
        <v>314</v>
      </c>
      <c r="K21" s="52" t="s">
        <v>350</v>
      </c>
      <c r="L21" s="52" t="s">
        <v>351</v>
      </c>
      <c r="M21" s="53"/>
      <c r="N21" s="52" t="s">
        <v>317</v>
      </c>
      <c r="O21" s="54">
        <v>1</v>
      </c>
    </row>
    <row r="22" spans="2:15" ht="15.6" thickTop="1" thickBot="1" x14ac:dyDescent="0.35">
      <c r="B22" s="52" t="s">
        <v>306</v>
      </c>
      <c r="C22" s="52" t="s">
        <v>307</v>
      </c>
      <c r="D22" s="52" t="s">
        <v>336</v>
      </c>
      <c r="E22" s="52" t="s">
        <v>337</v>
      </c>
      <c r="F22" s="52" t="s">
        <v>310</v>
      </c>
      <c r="G22" s="52" t="s">
        <v>311</v>
      </c>
      <c r="H22" s="52" t="s">
        <v>321</v>
      </c>
      <c r="I22" s="52" t="s">
        <v>235</v>
      </c>
      <c r="J22" s="52" t="s">
        <v>314</v>
      </c>
      <c r="K22" s="52" t="s">
        <v>352</v>
      </c>
      <c r="L22" s="55" t="s">
        <v>353</v>
      </c>
      <c r="M22" s="53"/>
      <c r="N22" s="52" t="s">
        <v>317</v>
      </c>
      <c r="O22" s="54">
        <v>4</v>
      </c>
    </row>
    <row r="23" spans="2:15" ht="25.2" thickTop="1" thickBot="1" x14ac:dyDescent="0.35">
      <c r="B23" s="52" t="s">
        <v>306</v>
      </c>
      <c r="C23" s="52" t="s">
        <v>354</v>
      </c>
      <c r="D23" s="52" t="s">
        <v>355</v>
      </c>
      <c r="E23" s="52" t="s">
        <v>356</v>
      </c>
      <c r="F23" s="52" t="s">
        <v>310</v>
      </c>
      <c r="G23" s="52" t="s">
        <v>327</v>
      </c>
      <c r="H23" s="52" t="s">
        <v>321</v>
      </c>
      <c r="I23" s="52" t="s">
        <v>313</v>
      </c>
      <c r="J23" s="52" t="s">
        <v>314</v>
      </c>
      <c r="K23" s="52" t="s">
        <v>346</v>
      </c>
      <c r="L23" s="52" t="s">
        <v>357</v>
      </c>
      <c r="M23" s="53"/>
      <c r="N23" s="52" t="s">
        <v>317</v>
      </c>
      <c r="O23" s="54">
        <v>14</v>
      </c>
    </row>
    <row r="24" spans="2:15" ht="37.200000000000003" thickTop="1" thickBot="1" x14ac:dyDescent="0.35">
      <c r="B24" s="52" t="s">
        <v>306</v>
      </c>
      <c r="C24" s="52" t="s">
        <v>324</v>
      </c>
      <c r="D24" s="52" t="s">
        <v>325</v>
      </c>
      <c r="E24" s="52" t="s">
        <v>326</v>
      </c>
      <c r="F24" s="52" t="s">
        <v>310</v>
      </c>
      <c r="G24" s="52" t="s">
        <v>311</v>
      </c>
      <c r="H24" s="52" t="s">
        <v>321</v>
      </c>
      <c r="I24" s="52" t="s">
        <v>358</v>
      </c>
      <c r="J24" s="52" t="s">
        <v>314</v>
      </c>
      <c r="K24" s="52" t="s">
        <v>315</v>
      </c>
      <c r="L24" s="52" t="s">
        <v>359</v>
      </c>
      <c r="M24" s="53"/>
      <c r="N24" s="52" t="s">
        <v>317</v>
      </c>
      <c r="O24" s="54">
        <v>1</v>
      </c>
    </row>
    <row r="25" spans="2:15" ht="15.6" thickTop="1" thickBot="1" x14ac:dyDescent="0.35">
      <c r="B25" s="52" t="s">
        <v>306</v>
      </c>
      <c r="C25" s="52" t="s">
        <v>307</v>
      </c>
      <c r="D25" s="52" t="s">
        <v>336</v>
      </c>
      <c r="E25" s="52" t="s">
        <v>337</v>
      </c>
      <c r="F25" s="52" t="s">
        <v>310</v>
      </c>
      <c r="G25" s="52" t="s">
        <v>311</v>
      </c>
      <c r="H25" s="52" t="s">
        <v>312</v>
      </c>
      <c r="I25" s="52" t="s">
        <v>313</v>
      </c>
      <c r="J25" s="52" t="s">
        <v>314</v>
      </c>
      <c r="K25" s="52" t="s">
        <v>360</v>
      </c>
      <c r="L25" s="52" t="s">
        <v>361</v>
      </c>
      <c r="M25" s="53"/>
      <c r="N25" s="52" t="s">
        <v>317</v>
      </c>
      <c r="O25" s="54">
        <v>1</v>
      </c>
    </row>
    <row r="26" spans="2:15" ht="15.6" thickTop="1" thickBot="1" x14ac:dyDescent="0.35">
      <c r="B26" s="52" t="s">
        <v>306</v>
      </c>
      <c r="C26" s="52" t="s">
        <v>307</v>
      </c>
      <c r="D26" s="52" t="s">
        <v>336</v>
      </c>
      <c r="E26" s="52" t="s">
        <v>337</v>
      </c>
      <c r="F26" s="52" t="s">
        <v>310</v>
      </c>
      <c r="G26" s="52" t="s">
        <v>311</v>
      </c>
      <c r="H26" s="52" t="s">
        <v>321</v>
      </c>
      <c r="I26" s="52" t="s">
        <v>313</v>
      </c>
      <c r="J26" s="52" t="s">
        <v>314</v>
      </c>
      <c r="K26" s="52" t="s">
        <v>362</v>
      </c>
      <c r="L26" s="55" t="s">
        <v>363</v>
      </c>
      <c r="M26" s="53"/>
      <c r="N26" s="52" t="s">
        <v>317</v>
      </c>
      <c r="O26" s="54">
        <v>8</v>
      </c>
    </row>
    <row r="27" spans="2:15" ht="49.2" thickTop="1" thickBot="1" x14ac:dyDescent="0.35">
      <c r="B27" s="52" t="s">
        <v>306</v>
      </c>
      <c r="C27" s="52" t="s">
        <v>364</v>
      </c>
      <c r="D27" s="52" t="s">
        <v>365</v>
      </c>
      <c r="E27" s="52" t="s">
        <v>366</v>
      </c>
      <c r="F27" s="52" t="s">
        <v>310</v>
      </c>
      <c r="G27" s="52" t="s">
        <v>327</v>
      </c>
      <c r="H27" s="52" t="s">
        <v>321</v>
      </c>
      <c r="I27" s="52" t="s">
        <v>313</v>
      </c>
      <c r="J27" s="52" t="s">
        <v>314</v>
      </c>
      <c r="K27" s="52" t="s">
        <v>352</v>
      </c>
      <c r="L27" s="52" t="s">
        <v>367</v>
      </c>
      <c r="M27" s="53"/>
      <c r="N27" s="52" t="s">
        <v>317</v>
      </c>
      <c r="O27" s="54">
        <v>1</v>
      </c>
    </row>
    <row r="28" spans="2:15" ht="15.6" thickTop="1" thickBot="1" x14ac:dyDescent="0.35">
      <c r="B28" s="52" t="s">
        <v>306</v>
      </c>
      <c r="C28" s="52" t="s">
        <v>368</v>
      </c>
      <c r="D28" s="52" t="s">
        <v>336</v>
      </c>
      <c r="E28" s="52" t="s">
        <v>337</v>
      </c>
      <c r="F28" s="52" t="s">
        <v>310</v>
      </c>
      <c r="G28" s="52" t="s">
        <v>327</v>
      </c>
      <c r="H28" s="52" t="s">
        <v>321</v>
      </c>
      <c r="I28" s="52" t="s">
        <v>313</v>
      </c>
      <c r="J28" s="52" t="s">
        <v>314</v>
      </c>
      <c r="K28" s="52" t="s">
        <v>369</v>
      </c>
      <c r="L28" s="52" t="s">
        <v>370</v>
      </c>
      <c r="M28" s="53"/>
      <c r="N28" s="52" t="s">
        <v>317</v>
      </c>
      <c r="O28" s="54">
        <v>43</v>
      </c>
    </row>
    <row r="29" spans="2:15" ht="15.6" thickTop="1" thickBot="1" x14ac:dyDescent="0.35">
      <c r="B29" s="52" t="s">
        <v>306</v>
      </c>
      <c r="C29" s="52" t="s">
        <v>368</v>
      </c>
      <c r="D29" s="52" t="s">
        <v>332</v>
      </c>
      <c r="E29" s="52" t="s">
        <v>333</v>
      </c>
      <c r="F29" s="52" t="s">
        <v>310</v>
      </c>
      <c r="G29" s="52" t="s">
        <v>327</v>
      </c>
      <c r="H29" s="52" t="s">
        <v>321</v>
      </c>
      <c r="I29" s="52" t="s">
        <v>313</v>
      </c>
      <c r="J29" s="52" t="s">
        <v>284</v>
      </c>
      <c r="K29" s="52" t="s">
        <v>334</v>
      </c>
      <c r="L29" s="55" t="s">
        <v>371</v>
      </c>
      <c r="M29" s="53"/>
      <c r="N29" s="52" t="s">
        <v>317</v>
      </c>
      <c r="O29" s="54">
        <v>6</v>
      </c>
    </row>
    <row r="30" spans="2:15" ht="37.200000000000003" thickTop="1" thickBot="1" x14ac:dyDescent="0.35">
      <c r="B30" s="52" t="s">
        <v>306</v>
      </c>
      <c r="C30" s="52" t="s">
        <v>307</v>
      </c>
      <c r="D30" s="52" t="s">
        <v>372</v>
      </c>
      <c r="E30" s="52" t="s">
        <v>373</v>
      </c>
      <c r="F30" s="52" t="s">
        <v>310</v>
      </c>
      <c r="G30" s="52" t="s">
        <v>311</v>
      </c>
      <c r="H30" s="52" t="s">
        <v>321</v>
      </c>
      <c r="I30" s="52" t="s">
        <v>313</v>
      </c>
      <c r="J30" s="52" t="s">
        <v>284</v>
      </c>
      <c r="K30" s="52" t="s">
        <v>334</v>
      </c>
      <c r="L30" s="52" t="s">
        <v>374</v>
      </c>
      <c r="M30" s="53"/>
      <c r="N30" s="52" t="s">
        <v>317</v>
      </c>
      <c r="O30" s="54">
        <v>1</v>
      </c>
    </row>
    <row r="31" spans="2:15" ht="15.6" thickTop="1" thickBot="1" x14ac:dyDescent="0.35">
      <c r="B31" s="52" t="s">
        <v>306</v>
      </c>
      <c r="C31" s="52" t="s">
        <v>375</v>
      </c>
      <c r="D31" s="52" t="s">
        <v>332</v>
      </c>
      <c r="E31" s="52" t="s">
        <v>333</v>
      </c>
      <c r="F31" s="52" t="s">
        <v>310</v>
      </c>
      <c r="G31" s="52" t="s">
        <v>311</v>
      </c>
      <c r="H31" s="52" t="s">
        <v>321</v>
      </c>
      <c r="I31" s="52" t="s">
        <v>313</v>
      </c>
      <c r="J31" s="52" t="s">
        <v>284</v>
      </c>
      <c r="K31" s="52" t="s">
        <v>376</v>
      </c>
      <c r="L31" s="55" t="s">
        <v>377</v>
      </c>
      <c r="M31" s="53"/>
      <c r="N31" s="52" t="s">
        <v>317</v>
      </c>
      <c r="O31" s="54">
        <v>2</v>
      </c>
    </row>
    <row r="32" spans="2:15" ht="15.6" thickTop="1" thickBot="1" x14ac:dyDescent="0.35">
      <c r="B32" s="52" t="s">
        <v>306</v>
      </c>
      <c r="C32" s="52" t="s">
        <v>318</v>
      </c>
      <c r="D32" s="52" t="s">
        <v>348</v>
      </c>
      <c r="E32" s="52" t="s">
        <v>349</v>
      </c>
      <c r="F32" s="52" t="s">
        <v>310</v>
      </c>
      <c r="G32" s="52" t="s">
        <v>311</v>
      </c>
      <c r="H32" s="52" t="s">
        <v>321</v>
      </c>
      <c r="I32" s="52" t="s">
        <v>313</v>
      </c>
      <c r="J32" s="52" t="s">
        <v>314</v>
      </c>
      <c r="K32" s="52" t="s">
        <v>378</v>
      </c>
      <c r="L32" s="52" t="s">
        <v>379</v>
      </c>
      <c r="M32" s="53"/>
      <c r="N32" s="52" t="s">
        <v>317</v>
      </c>
      <c r="O32" s="54">
        <v>3</v>
      </c>
    </row>
    <row r="33" spans="2:15" ht="61.2" thickTop="1" thickBot="1" x14ac:dyDescent="0.35">
      <c r="B33" s="52" t="s">
        <v>306</v>
      </c>
      <c r="C33" s="52" t="s">
        <v>354</v>
      </c>
      <c r="D33" s="52" t="s">
        <v>380</v>
      </c>
      <c r="E33" s="52" t="s">
        <v>381</v>
      </c>
      <c r="F33" s="52" t="s">
        <v>310</v>
      </c>
      <c r="G33" s="52" t="s">
        <v>327</v>
      </c>
      <c r="H33" s="52" t="s">
        <v>321</v>
      </c>
      <c r="I33" s="52" t="s">
        <v>313</v>
      </c>
      <c r="J33" s="52" t="s">
        <v>284</v>
      </c>
      <c r="K33" s="52" t="s">
        <v>382</v>
      </c>
      <c r="L33" s="55" t="s">
        <v>383</v>
      </c>
      <c r="M33" s="53"/>
      <c r="N33" s="52" t="s">
        <v>317</v>
      </c>
      <c r="O33" s="54">
        <v>2</v>
      </c>
    </row>
    <row r="34" spans="2:15" ht="61.2" thickTop="1" thickBot="1" x14ac:dyDescent="0.35">
      <c r="B34" s="52" t="s">
        <v>306</v>
      </c>
      <c r="C34" s="52" t="s">
        <v>331</v>
      </c>
      <c r="D34" s="52" t="s">
        <v>380</v>
      </c>
      <c r="E34" s="52" t="s">
        <v>381</v>
      </c>
      <c r="F34" s="52" t="s">
        <v>310</v>
      </c>
      <c r="G34" s="52" t="s">
        <v>327</v>
      </c>
      <c r="H34" s="52" t="s">
        <v>312</v>
      </c>
      <c r="I34" s="52" t="s">
        <v>313</v>
      </c>
      <c r="J34" s="52" t="s">
        <v>284</v>
      </c>
      <c r="K34" s="52" t="s">
        <v>382</v>
      </c>
      <c r="L34" s="52" t="s">
        <v>384</v>
      </c>
      <c r="M34" s="53"/>
      <c r="N34" s="52" t="s">
        <v>317</v>
      </c>
      <c r="O34" s="54">
        <v>1</v>
      </c>
    </row>
    <row r="35" spans="2:15" ht="61.2" thickTop="1" thickBot="1" x14ac:dyDescent="0.35">
      <c r="B35" s="52" t="s">
        <v>306</v>
      </c>
      <c r="C35" s="52" t="s">
        <v>324</v>
      </c>
      <c r="D35" s="52" t="s">
        <v>380</v>
      </c>
      <c r="E35" s="52" t="s">
        <v>381</v>
      </c>
      <c r="F35" s="52" t="s">
        <v>310</v>
      </c>
      <c r="G35" s="52" t="s">
        <v>327</v>
      </c>
      <c r="H35" s="52" t="s">
        <v>328</v>
      </c>
      <c r="I35" s="52" t="s">
        <v>313</v>
      </c>
      <c r="J35" s="52" t="s">
        <v>284</v>
      </c>
      <c r="K35" s="52" t="s">
        <v>385</v>
      </c>
      <c r="L35" s="52" t="s">
        <v>386</v>
      </c>
      <c r="M35" s="53"/>
      <c r="N35" s="52" t="s">
        <v>317</v>
      </c>
      <c r="O35" s="54">
        <v>1</v>
      </c>
    </row>
    <row r="36" spans="2:15" ht="61.2" thickTop="1" thickBot="1" x14ac:dyDescent="0.35">
      <c r="B36" s="52" t="s">
        <v>306</v>
      </c>
      <c r="C36" s="52" t="s">
        <v>387</v>
      </c>
      <c r="D36" s="52" t="s">
        <v>388</v>
      </c>
      <c r="E36" s="52" t="s">
        <v>389</v>
      </c>
      <c r="F36" s="52" t="s">
        <v>310</v>
      </c>
      <c r="G36" s="52" t="s">
        <v>327</v>
      </c>
      <c r="H36" s="52" t="s">
        <v>321</v>
      </c>
      <c r="I36" s="52" t="s">
        <v>313</v>
      </c>
      <c r="J36" s="52" t="s">
        <v>314</v>
      </c>
      <c r="K36" s="52" t="s">
        <v>385</v>
      </c>
      <c r="L36" s="52" t="s">
        <v>390</v>
      </c>
      <c r="M36" s="53"/>
      <c r="N36" s="52" t="s">
        <v>317</v>
      </c>
      <c r="O36" s="54">
        <v>118</v>
      </c>
    </row>
    <row r="37" spans="2:15" ht="37.200000000000003" thickTop="1" thickBot="1" x14ac:dyDescent="0.35">
      <c r="B37" s="52" t="s">
        <v>306</v>
      </c>
      <c r="C37" s="52" t="s">
        <v>307</v>
      </c>
      <c r="D37" s="52" t="s">
        <v>372</v>
      </c>
      <c r="E37" s="52" t="s">
        <v>373</v>
      </c>
      <c r="F37" s="52" t="s">
        <v>310</v>
      </c>
      <c r="G37" s="52" t="s">
        <v>327</v>
      </c>
      <c r="H37" s="52" t="s">
        <v>321</v>
      </c>
      <c r="I37" s="52" t="s">
        <v>313</v>
      </c>
      <c r="J37" s="52" t="s">
        <v>314</v>
      </c>
      <c r="K37" s="52" t="s">
        <v>334</v>
      </c>
      <c r="L37" s="52" t="s">
        <v>391</v>
      </c>
      <c r="M37" s="53"/>
      <c r="N37" s="52" t="s">
        <v>317</v>
      </c>
      <c r="O37" s="54">
        <v>7</v>
      </c>
    </row>
    <row r="38" spans="2:15" ht="37.200000000000003" thickTop="1" thickBot="1" x14ac:dyDescent="0.35">
      <c r="B38" s="52" t="s">
        <v>306</v>
      </c>
      <c r="C38" s="52" t="s">
        <v>387</v>
      </c>
      <c r="D38" s="52" t="s">
        <v>392</v>
      </c>
      <c r="E38" s="52" t="s">
        <v>393</v>
      </c>
      <c r="F38" s="52" t="s">
        <v>310</v>
      </c>
      <c r="G38" s="52" t="s">
        <v>327</v>
      </c>
      <c r="H38" s="52" t="s">
        <v>321</v>
      </c>
      <c r="I38" s="52" t="s">
        <v>313</v>
      </c>
      <c r="J38" s="52" t="s">
        <v>314</v>
      </c>
      <c r="K38" s="52" t="s">
        <v>338</v>
      </c>
      <c r="L38" s="52" t="s">
        <v>394</v>
      </c>
      <c r="M38" s="53"/>
      <c r="N38" s="52" t="s">
        <v>317</v>
      </c>
      <c r="O38" s="54">
        <v>7</v>
      </c>
    </row>
    <row r="39" spans="2:15" ht="15.6" thickTop="1" thickBot="1" x14ac:dyDescent="0.35">
      <c r="B39" s="52" t="s">
        <v>306</v>
      </c>
      <c r="C39" s="52" t="s">
        <v>395</v>
      </c>
      <c r="D39" s="52" t="s">
        <v>332</v>
      </c>
      <c r="E39" s="52" t="s">
        <v>333</v>
      </c>
      <c r="F39" s="52" t="s">
        <v>310</v>
      </c>
      <c r="G39" s="52" t="s">
        <v>311</v>
      </c>
      <c r="H39" s="52" t="s">
        <v>321</v>
      </c>
      <c r="I39" s="52" t="s">
        <v>313</v>
      </c>
      <c r="J39" s="52" t="s">
        <v>284</v>
      </c>
      <c r="K39" s="52" t="s">
        <v>352</v>
      </c>
      <c r="L39" s="52" t="s">
        <v>396</v>
      </c>
      <c r="M39" s="53"/>
      <c r="N39" s="52" t="s">
        <v>317</v>
      </c>
      <c r="O39" s="54">
        <v>9</v>
      </c>
    </row>
    <row r="40" spans="2:15" ht="37.200000000000003" thickTop="1" thickBot="1" x14ac:dyDescent="0.35">
      <c r="B40" s="52" t="s">
        <v>306</v>
      </c>
      <c r="C40" s="52" t="s">
        <v>397</v>
      </c>
      <c r="D40" s="52" t="s">
        <v>341</v>
      </c>
      <c r="E40" s="52" t="s">
        <v>342</v>
      </c>
      <c r="F40" s="52" t="s">
        <v>310</v>
      </c>
      <c r="G40" s="52" t="s">
        <v>327</v>
      </c>
      <c r="H40" s="52" t="s">
        <v>321</v>
      </c>
      <c r="I40" s="52" t="s">
        <v>313</v>
      </c>
      <c r="J40" s="52" t="s">
        <v>314</v>
      </c>
      <c r="K40" s="52" t="s">
        <v>369</v>
      </c>
      <c r="L40" s="52" t="s">
        <v>398</v>
      </c>
      <c r="M40" s="53"/>
      <c r="N40" s="52" t="s">
        <v>317</v>
      </c>
      <c r="O40" s="54">
        <v>10</v>
      </c>
    </row>
    <row r="41" spans="2:15" ht="15.6" thickTop="1" thickBot="1" x14ac:dyDescent="0.35">
      <c r="B41" s="52" t="s">
        <v>306</v>
      </c>
      <c r="C41" s="52" t="s">
        <v>364</v>
      </c>
      <c r="D41" s="52" t="s">
        <v>399</v>
      </c>
      <c r="E41" s="52" t="s">
        <v>400</v>
      </c>
      <c r="F41" s="52" t="s">
        <v>310</v>
      </c>
      <c r="G41" s="52" t="s">
        <v>311</v>
      </c>
      <c r="H41" s="52" t="s">
        <v>321</v>
      </c>
      <c r="I41" s="52" t="s">
        <v>313</v>
      </c>
      <c r="J41" s="52" t="s">
        <v>314</v>
      </c>
      <c r="K41" s="52" t="s">
        <v>378</v>
      </c>
      <c r="L41" s="52" t="s">
        <v>401</v>
      </c>
      <c r="M41" s="53"/>
      <c r="N41" s="52" t="s">
        <v>317</v>
      </c>
      <c r="O41" s="54">
        <v>2</v>
      </c>
    </row>
    <row r="42" spans="2:15" ht="61.2" thickTop="1" thickBot="1" x14ac:dyDescent="0.35">
      <c r="B42" s="52" t="s">
        <v>306</v>
      </c>
      <c r="C42" s="52" t="s">
        <v>331</v>
      </c>
      <c r="D42" s="52" t="s">
        <v>380</v>
      </c>
      <c r="E42" s="52" t="s">
        <v>381</v>
      </c>
      <c r="F42" s="52" t="s">
        <v>310</v>
      </c>
      <c r="G42" s="52" t="s">
        <v>327</v>
      </c>
      <c r="H42" s="52" t="s">
        <v>328</v>
      </c>
      <c r="I42" s="52" t="s">
        <v>313</v>
      </c>
      <c r="J42" s="52" t="s">
        <v>284</v>
      </c>
      <c r="K42" s="52" t="s">
        <v>402</v>
      </c>
      <c r="L42" s="52" t="s">
        <v>403</v>
      </c>
      <c r="M42" s="53"/>
      <c r="N42" s="52" t="s">
        <v>317</v>
      </c>
      <c r="O42" s="54">
        <v>1</v>
      </c>
    </row>
    <row r="43" spans="2:15" ht="15.6" thickTop="1" thickBot="1" x14ac:dyDescent="0.35">
      <c r="B43" s="52" t="s">
        <v>306</v>
      </c>
      <c r="C43" s="52" t="s">
        <v>318</v>
      </c>
      <c r="D43" s="52" t="s">
        <v>348</v>
      </c>
      <c r="E43" s="52" t="s">
        <v>349</v>
      </c>
      <c r="F43" s="52" t="s">
        <v>310</v>
      </c>
      <c r="G43" s="52" t="s">
        <v>311</v>
      </c>
      <c r="H43" s="52" t="s">
        <v>321</v>
      </c>
      <c r="I43" s="52" t="s">
        <v>313</v>
      </c>
      <c r="J43" s="52" t="s">
        <v>314</v>
      </c>
      <c r="K43" s="52" t="s">
        <v>404</v>
      </c>
      <c r="L43" s="52" t="s">
        <v>405</v>
      </c>
      <c r="M43" s="53"/>
      <c r="N43" s="52" t="s">
        <v>317</v>
      </c>
      <c r="O43" s="54">
        <v>4</v>
      </c>
    </row>
    <row r="44" spans="2:15" ht="37.200000000000003" thickTop="1" thickBot="1" x14ac:dyDescent="0.35">
      <c r="B44" s="52" t="s">
        <v>306</v>
      </c>
      <c r="C44" s="52" t="s">
        <v>375</v>
      </c>
      <c r="D44" s="52" t="s">
        <v>372</v>
      </c>
      <c r="E44" s="52" t="s">
        <v>373</v>
      </c>
      <c r="F44" s="52" t="s">
        <v>310</v>
      </c>
      <c r="G44" s="52" t="s">
        <v>311</v>
      </c>
      <c r="H44" s="52" t="s">
        <v>321</v>
      </c>
      <c r="I44" s="52" t="s">
        <v>313</v>
      </c>
      <c r="J44" s="52" t="s">
        <v>314</v>
      </c>
      <c r="K44" s="52" t="s">
        <v>334</v>
      </c>
      <c r="L44" s="55" t="s">
        <v>371</v>
      </c>
      <c r="M44" s="53"/>
      <c r="N44" s="52" t="s">
        <v>317</v>
      </c>
      <c r="O44" s="54">
        <v>1</v>
      </c>
    </row>
    <row r="45" spans="2:15" ht="15.6" thickTop="1" thickBot="1" x14ac:dyDescent="0.35">
      <c r="B45" s="52" t="s">
        <v>306</v>
      </c>
      <c r="C45" s="52" t="s">
        <v>354</v>
      </c>
      <c r="D45" s="52" t="s">
        <v>336</v>
      </c>
      <c r="E45" s="52" t="s">
        <v>337</v>
      </c>
      <c r="F45" s="52" t="s">
        <v>310</v>
      </c>
      <c r="G45" s="52" t="s">
        <v>311</v>
      </c>
      <c r="H45" s="52" t="s">
        <v>328</v>
      </c>
      <c r="I45" s="52" t="s">
        <v>313</v>
      </c>
      <c r="J45" s="52" t="s">
        <v>314</v>
      </c>
      <c r="K45" s="52" t="s">
        <v>346</v>
      </c>
      <c r="L45" s="52" t="s">
        <v>406</v>
      </c>
      <c r="M45" s="53"/>
      <c r="N45" s="52" t="s">
        <v>317</v>
      </c>
      <c r="O45" s="54">
        <v>1</v>
      </c>
    </row>
    <row r="46" spans="2:15" ht="15.6" thickTop="1" thickBot="1" x14ac:dyDescent="0.35">
      <c r="B46" s="52" t="s">
        <v>306</v>
      </c>
      <c r="C46" s="52" t="s">
        <v>307</v>
      </c>
      <c r="D46" s="52" t="s">
        <v>407</v>
      </c>
      <c r="E46" s="52" t="s">
        <v>408</v>
      </c>
      <c r="F46" s="52" t="s">
        <v>310</v>
      </c>
      <c r="G46" s="52" t="s">
        <v>327</v>
      </c>
      <c r="H46" s="52" t="s">
        <v>321</v>
      </c>
      <c r="I46" s="52" t="s">
        <v>313</v>
      </c>
      <c r="J46" s="52" t="s">
        <v>314</v>
      </c>
      <c r="K46" s="52" t="s">
        <v>315</v>
      </c>
      <c r="L46" s="52" t="s">
        <v>359</v>
      </c>
      <c r="M46" s="53"/>
      <c r="N46" s="52" t="s">
        <v>317</v>
      </c>
      <c r="O46" s="54">
        <v>126</v>
      </c>
    </row>
    <row r="47" spans="2:15" ht="15.6" thickTop="1" thickBot="1" x14ac:dyDescent="0.35">
      <c r="B47" s="52" t="s">
        <v>306</v>
      </c>
      <c r="C47" s="52" t="s">
        <v>368</v>
      </c>
      <c r="D47" s="52" t="s">
        <v>336</v>
      </c>
      <c r="E47" s="52" t="s">
        <v>337</v>
      </c>
      <c r="F47" s="52" t="s">
        <v>310</v>
      </c>
      <c r="G47" s="52" t="s">
        <v>311</v>
      </c>
      <c r="H47" s="52" t="s">
        <v>328</v>
      </c>
      <c r="I47" s="52" t="s">
        <v>313</v>
      </c>
      <c r="J47" s="52" t="s">
        <v>314</v>
      </c>
      <c r="K47" s="52" t="s">
        <v>346</v>
      </c>
      <c r="L47" s="52" t="s">
        <v>347</v>
      </c>
      <c r="M47" s="53"/>
      <c r="N47" s="52" t="s">
        <v>317</v>
      </c>
      <c r="O47" s="54">
        <v>26</v>
      </c>
    </row>
    <row r="48" spans="2:15" ht="49.2" thickTop="1" thickBot="1" x14ac:dyDescent="0.35">
      <c r="B48" s="52" t="s">
        <v>306</v>
      </c>
      <c r="C48" s="52" t="s">
        <v>395</v>
      </c>
      <c r="D48" s="52" t="s">
        <v>365</v>
      </c>
      <c r="E48" s="52" t="s">
        <v>366</v>
      </c>
      <c r="F48" s="52" t="s">
        <v>310</v>
      </c>
      <c r="G48" s="52" t="s">
        <v>327</v>
      </c>
      <c r="H48" s="52" t="s">
        <v>321</v>
      </c>
      <c r="I48" s="52" t="s">
        <v>313</v>
      </c>
      <c r="J48" s="52" t="s">
        <v>314</v>
      </c>
      <c r="K48" s="52" t="s">
        <v>352</v>
      </c>
      <c r="L48" s="52" t="s">
        <v>409</v>
      </c>
      <c r="M48" s="53"/>
      <c r="N48" s="52" t="s">
        <v>317</v>
      </c>
      <c r="O48" s="54">
        <v>1</v>
      </c>
    </row>
    <row r="49" spans="2:15" ht="37.200000000000003" thickTop="1" thickBot="1" x14ac:dyDescent="0.35">
      <c r="B49" s="52" t="s">
        <v>306</v>
      </c>
      <c r="C49" s="52" t="s">
        <v>397</v>
      </c>
      <c r="D49" s="52" t="s">
        <v>392</v>
      </c>
      <c r="E49" s="52" t="s">
        <v>393</v>
      </c>
      <c r="F49" s="52" t="s">
        <v>310</v>
      </c>
      <c r="G49" s="52" t="s">
        <v>327</v>
      </c>
      <c r="H49" s="52" t="s">
        <v>321</v>
      </c>
      <c r="I49" s="52" t="s">
        <v>313</v>
      </c>
      <c r="J49" s="52" t="s">
        <v>314</v>
      </c>
      <c r="K49" s="52" t="s">
        <v>338</v>
      </c>
      <c r="L49" s="52" t="s">
        <v>410</v>
      </c>
      <c r="M49" s="53"/>
      <c r="N49" s="52" t="s">
        <v>317</v>
      </c>
      <c r="O49" s="54">
        <v>2</v>
      </c>
    </row>
    <row r="50" spans="2:15" ht="15.6" thickTop="1" thickBot="1" x14ac:dyDescent="0.35">
      <c r="B50" s="52" t="s">
        <v>306</v>
      </c>
      <c r="C50" s="52" t="s">
        <v>368</v>
      </c>
      <c r="D50" s="52" t="s">
        <v>336</v>
      </c>
      <c r="E50" s="52" t="s">
        <v>337</v>
      </c>
      <c r="F50" s="52" t="s">
        <v>310</v>
      </c>
      <c r="G50" s="52" t="s">
        <v>311</v>
      </c>
      <c r="H50" s="52" t="s">
        <v>321</v>
      </c>
      <c r="I50" s="52" t="s">
        <v>313</v>
      </c>
      <c r="J50" s="52" t="s">
        <v>314</v>
      </c>
      <c r="K50" s="52" t="s">
        <v>404</v>
      </c>
      <c r="L50" s="55" t="s">
        <v>411</v>
      </c>
      <c r="M50" s="53"/>
      <c r="N50" s="52" t="s">
        <v>317</v>
      </c>
      <c r="O50" s="54">
        <v>3</v>
      </c>
    </row>
    <row r="51" spans="2:15" ht="15.6" thickTop="1" thickBot="1" x14ac:dyDescent="0.35">
      <c r="B51" s="52" t="s">
        <v>306</v>
      </c>
      <c r="C51" s="52" t="s">
        <v>368</v>
      </c>
      <c r="D51" s="52" t="s">
        <v>412</v>
      </c>
      <c r="E51" s="52" t="s">
        <v>413</v>
      </c>
      <c r="F51" s="52" t="s">
        <v>310</v>
      </c>
      <c r="G51" s="52" t="s">
        <v>327</v>
      </c>
      <c r="H51" s="52" t="s">
        <v>321</v>
      </c>
      <c r="I51" s="52" t="s">
        <v>313</v>
      </c>
      <c r="J51" s="52" t="s">
        <v>314</v>
      </c>
      <c r="K51" s="52" t="s">
        <v>369</v>
      </c>
      <c r="L51" s="52" t="s">
        <v>414</v>
      </c>
      <c r="M51" s="53"/>
      <c r="N51" s="52" t="s">
        <v>317</v>
      </c>
      <c r="O51" s="54">
        <v>1</v>
      </c>
    </row>
    <row r="52" spans="2:15" ht="15.6" thickTop="1" thickBot="1" x14ac:dyDescent="0.35">
      <c r="B52" s="52" t="s">
        <v>306</v>
      </c>
      <c r="C52" s="52" t="s">
        <v>364</v>
      </c>
      <c r="D52" s="52" t="s">
        <v>336</v>
      </c>
      <c r="E52" s="52" t="s">
        <v>337</v>
      </c>
      <c r="F52" s="52" t="s">
        <v>310</v>
      </c>
      <c r="G52" s="52" t="s">
        <v>311</v>
      </c>
      <c r="H52" s="52" t="s">
        <v>321</v>
      </c>
      <c r="I52" s="52" t="s">
        <v>313</v>
      </c>
      <c r="J52" s="52" t="s">
        <v>284</v>
      </c>
      <c r="K52" s="52" t="s">
        <v>350</v>
      </c>
      <c r="L52" s="52" t="s">
        <v>415</v>
      </c>
      <c r="M52" s="53"/>
      <c r="N52" s="52" t="s">
        <v>317</v>
      </c>
      <c r="O52" s="54">
        <v>1</v>
      </c>
    </row>
    <row r="53" spans="2:15" ht="37.200000000000003" thickTop="1" thickBot="1" x14ac:dyDescent="0.35">
      <c r="B53" s="52" t="s">
        <v>306</v>
      </c>
      <c r="C53" s="52" t="s">
        <v>324</v>
      </c>
      <c r="D53" s="52" t="s">
        <v>325</v>
      </c>
      <c r="E53" s="52" t="s">
        <v>326</v>
      </c>
      <c r="F53" s="52" t="s">
        <v>310</v>
      </c>
      <c r="G53" s="52" t="s">
        <v>327</v>
      </c>
      <c r="H53" s="52" t="s">
        <v>321</v>
      </c>
      <c r="I53" s="52" t="s">
        <v>313</v>
      </c>
      <c r="J53" s="52" t="s">
        <v>314</v>
      </c>
      <c r="K53" s="52" t="s">
        <v>402</v>
      </c>
      <c r="L53" s="55" t="s">
        <v>416</v>
      </c>
      <c r="M53" s="53"/>
      <c r="N53" s="52" t="s">
        <v>317</v>
      </c>
      <c r="O53" s="54">
        <v>2</v>
      </c>
    </row>
    <row r="54" spans="2:15" ht="15.6" thickTop="1" thickBot="1" x14ac:dyDescent="0.35">
      <c r="B54" s="52" t="s">
        <v>306</v>
      </c>
      <c r="C54" s="52" t="s">
        <v>354</v>
      </c>
      <c r="D54" s="52" t="s">
        <v>417</v>
      </c>
      <c r="E54" s="52" t="s">
        <v>418</v>
      </c>
      <c r="F54" s="52" t="s">
        <v>310</v>
      </c>
      <c r="G54" s="52" t="s">
        <v>311</v>
      </c>
      <c r="H54" s="52" t="s">
        <v>321</v>
      </c>
      <c r="I54" s="52" t="s">
        <v>313</v>
      </c>
      <c r="J54" s="52" t="s">
        <v>314</v>
      </c>
      <c r="K54" s="52" t="s">
        <v>360</v>
      </c>
      <c r="L54" s="52" t="s">
        <v>379</v>
      </c>
      <c r="M54" s="53"/>
      <c r="N54" s="52" t="s">
        <v>317</v>
      </c>
      <c r="O54" s="54">
        <v>59</v>
      </c>
    </row>
    <row r="55" spans="2:15" ht="15.6" thickTop="1" thickBot="1" x14ac:dyDescent="0.35">
      <c r="B55" s="52" t="s">
        <v>306</v>
      </c>
      <c r="C55" s="52" t="s">
        <v>364</v>
      </c>
      <c r="D55" s="52" t="s">
        <v>348</v>
      </c>
      <c r="E55" s="52" t="s">
        <v>349</v>
      </c>
      <c r="F55" s="52" t="s">
        <v>310</v>
      </c>
      <c r="G55" s="52" t="s">
        <v>311</v>
      </c>
      <c r="H55" s="52" t="s">
        <v>321</v>
      </c>
      <c r="I55" s="52" t="s">
        <v>313</v>
      </c>
      <c r="J55" s="52" t="s">
        <v>314</v>
      </c>
      <c r="K55" s="52" t="s">
        <v>419</v>
      </c>
      <c r="L55" s="55" t="s">
        <v>420</v>
      </c>
      <c r="M55" s="53"/>
      <c r="N55" s="52" t="s">
        <v>317</v>
      </c>
      <c r="O55" s="54">
        <v>105</v>
      </c>
    </row>
    <row r="56" spans="2:15" ht="15.6" thickTop="1" thickBot="1" x14ac:dyDescent="0.35">
      <c r="B56" s="52" t="s">
        <v>306</v>
      </c>
      <c r="C56" s="52" t="s">
        <v>307</v>
      </c>
      <c r="D56" s="52" t="s">
        <v>336</v>
      </c>
      <c r="E56" s="52" t="s">
        <v>337</v>
      </c>
      <c r="F56" s="52" t="s">
        <v>310</v>
      </c>
      <c r="G56" s="52" t="s">
        <v>311</v>
      </c>
      <c r="H56" s="52" t="s">
        <v>328</v>
      </c>
      <c r="I56" s="52" t="s">
        <v>313</v>
      </c>
      <c r="J56" s="52" t="s">
        <v>314</v>
      </c>
      <c r="K56" s="52" t="s">
        <v>362</v>
      </c>
      <c r="L56" s="52" t="s">
        <v>421</v>
      </c>
      <c r="M56" s="53"/>
      <c r="N56" s="52" t="s">
        <v>317</v>
      </c>
      <c r="O56" s="54">
        <v>29</v>
      </c>
    </row>
    <row r="57" spans="2:15" ht="25.2" thickTop="1" thickBot="1" x14ac:dyDescent="0.35">
      <c r="B57" s="52" t="s">
        <v>306</v>
      </c>
      <c r="C57" s="52" t="s">
        <v>318</v>
      </c>
      <c r="D57" s="52" t="s">
        <v>422</v>
      </c>
      <c r="E57" s="52" t="s">
        <v>423</v>
      </c>
      <c r="F57" s="52" t="s">
        <v>310</v>
      </c>
      <c r="G57" s="52" t="s">
        <v>311</v>
      </c>
      <c r="H57" s="52" t="s">
        <v>312</v>
      </c>
      <c r="I57" s="52" t="s">
        <v>313</v>
      </c>
      <c r="J57" s="52" t="s">
        <v>314</v>
      </c>
      <c r="K57" s="52" t="s">
        <v>404</v>
      </c>
      <c r="L57" s="52" t="s">
        <v>424</v>
      </c>
      <c r="M57" s="53"/>
      <c r="N57" s="52" t="s">
        <v>317</v>
      </c>
      <c r="O57" s="54">
        <v>9</v>
      </c>
    </row>
    <row r="58" spans="2:15" ht="37.200000000000003" thickTop="1" thickBot="1" x14ac:dyDescent="0.35">
      <c r="B58" s="52" t="s">
        <v>306</v>
      </c>
      <c r="C58" s="52" t="s">
        <v>395</v>
      </c>
      <c r="D58" s="52" t="s">
        <v>372</v>
      </c>
      <c r="E58" s="52" t="s">
        <v>373</v>
      </c>
      <c r="F58" s="52" t="s">
        <v>310</v>
      </c>
      <c r="G58" s="52" t="s">
        <v>311</v>
      </c>
      <c r="H58" s="52" t="s">
        <v>321</v>
      </c>
      <c r="I58" s="52" t="s">
        <v>313</v>
      </c>
      <c r="J58" s="52" t="s">
        <v>314</v>
      </c>
      <c r="K58" s="52" t="s">
        <v>350</v>
      </c>
      <c r="L58" s="52" t="s">
        <v>425</v>
      </c>
      <c r="M58" s="53"/>
      <c r="N58" s="52" t="s">
        <v>317</v>
      </c>
      <c r="O58" s="54">
        <v>17</v>
      </c>
    </row>
    <row r="59" spans="2:15" ht="15.6" thickTop="1" thickBot="1" x14ac:dyDescent="0.35">
      <c r="B59" s="52" t="s">
        <v>306</v>
      </c>
      <c r="C59" s="52" t="s">
        <v>354</v>
      </c>
      <c r="D59" s="52" t="s">
        <v>336</v>
      </c>
      <c r="E59" s="52" t="s">
        <v>337</v>
      </c>
      <c r="F59" s="52" t="s">
        <v>310</v>
      </c>
      <c r="G59" s="52" t="s">
        <v>311</v>
      </c>
      <c r="H59" s="52" t="s">
        <v>321</v>
      </c>
      <c r="I59" s="52" t="s">
        <v>313</v>
      </c>
      <c r="J59" s="52" t="s">
        <v>314</v>
      </c>
      <c r="K59" s="52" t="s">
        <v>360</v>
      </c>
      <c r="L59" s="55" t="s">
        <v>426</v>
      </c>
      <c r="M59" s="53"/>
      <c r="N59" s="52" t="s">
        <v>317</v>
      </c>
      <c r="O59" s="54">
        <v>12</v>
      </c>
    </row>
    <row r="60" spans="2:15" ht="49.2" thickTop="1" thickBot="1" x14ac:dyDescent="0.35">
      <c r="B60" s="52" t="s">
        <v>306</v>
      </c>
      <c r="C60" s="52" t="s">
        <v>395</v>
      </c>
      <c r="D60" s="52" t="s">
        <v>427</v>
      </c>
      <c r="E60" s="52" t="s">
        <v>428</v>
      </c>
      <c r="F60" s="52" t="s">
        <v>310</v>
      </c>
      <c r="G60" s="52" t="s">
        <v>345</v>
      </c>
      <c r="H60" s="52" t="s">
        <v>321</v>
      </c>
      <c r="I60" s="52" t="s">
        <v>313</v>
      </c>
      <c r="J60" s="52" t="s">
        <v>314</v>
      </c>
      <c r="K60" s="52" t="s">
        <v>346</v>
      </c>
      <c r="L60" s="52" t="s">
        <v>357</v>
      </c>
      <c r="M60" s="53"/>
      <c r="N60" s="52" t="s">
        <v>317</v>
      </c>
      <c r="O60" s="54">
        <v>1</v>
      </c>
    </row>
    <row r="61" spans="2:15" ht="15.6" thickTop="1" thickBot="1" x14ac:dyDescent="0.35">
      <c r="B61" s="52" t="s">
        <v>306</v>
      </c>
      <c r="C61" s="52" t="s">
        <v>387</v>
      </c>
      <c r="D61" s="52" t="s">
        <v>336</v>
      </c>
      <c r="E61" s="52" t="s">
        <v>337</v>
      </c>
      <c r="F61" s="52" t="s">
        <v>310</v>
      </c>
      <c r="G61" s="52" t="s">
        <v>311</v>
      </c>
      <c r="H61" s="52" t="s">
        <v>321</v>
      </c>
      <c r="I61" s="52" t="s">
        <v>313</v>
      </c>
      <c r="J61" s="52" t="s">
        <v>314</v>
      </c>
      <c r="K61" s="52" t="s">
        <v>369</v>
      </c>
      <c r="L61" s="55" t="s">
        <v>429</v>
      </c>
      <c r="M61" s="53"/>
      <c r="N61" s="52" t="s">
        <v>317</v>
      </c>
      <c r="O61" s="54">
        <v>2</v>
      </c>
    </row>
    <row r="62" spans="2:15" ht="15.6" thickTop="1" thickBot="1" x14ac:dyDescent="0.35">
      <c r="B62" s="52" t="s">
        <v>306</v>
      </c>
      <c r="C62" s="52" t="s">
        <v>368</v>
      </c>
      <c r="D62" s="52" t="s">
        <v>336</v>
      </c>
      <c r="E62" s="52" t="s">
        <v>337</v>
      </c>
      <c r="F62" s="52" t="s">
        <v>310</v>
      </c>
      <c r="G62" s="52" t="s">
        <v>327</v>
      </c>
      <c r="H62" s="52" t="s">
        <v>321</v>
      </c>
      <c r="I62" s="52" t="s">
        <v>313</v>
      </c>
      <c r="J62" s="52" t="s">
        <v>314</v>
      </c>
      <c r="K62" s="52" t="s">
        <v>430</v>
      </c>
      <c r="L62" s="52" t="s">
        <v>431</v>
      </c>
      <c r="M62" s="53"/>
      <c r="N62" s="52" t="s">
        <v>317</v>
      </c>
      <c r="O62" s="54">
        <v>3</v>
      </c>
    </row>
    <row r="63" spans="2:15" ht="61.2" thickTop="1" thickBot="1" x14ac:dyDescent="0.35">
      <c r="B63" s="52" t="s">
        <v>306</v>
      </c>
      <c r="C63" s="52" t="s">
        <v>307</v>
      </c>
      <c r="D63" s="52" t="s">
        <v>380</v>
      </c>
      <c r="E63" s="52" t="s">
        <v>381</v>
      </c>
      <c r="F63" s="52" t="s">
        <v>310</v>
      </c>
      <c r="G63" s="52" t="s">
        <v>311</v>
      </c>
      <c r="H63" s="52" t="s">
        <v>312</v>
      </c>
      <c r="I63" s="52" t="s">
        <v>313</v>
      </c>
      <c r="J63" s="52" t="s">
        <v>314</v>
      </c>
      <c r="K63" s="52" t="s">
        <v>382</v>
      </c>
      <c r="L63" s="52" t="s">
        <v>432</v>
      </c>
      <c r="M63" s="53"/>
      <c r="N63" s="52" t="s">
        <v>317</v>
      </c>
      <c r="O63" s="54">
        <v>3</v>
      </c>
    </row>
    <row r="64" spans="2:15" ht="37.200000000000003" thickTop="1" thickBot="1" x14ac:dyDescent="0.35">
      <c r="B64" s="52" t="s">
        <v>306</v>
      </c>
      <c r="C64" s="52" t="s">
        <v>307</v>
      </c>
      <c r="D64" s="52" t="s">
        <v>325</v>
      </c>
      <c r="E64" s="52" t="s">
        <v>326</v>
      </c>
      <c r="F64" s="52" t="s">
        <v>310</v>
      </c>
      <c r="G64" s="52" t="s">
        <v>311</v>
      </c>
      <c r="H64" s="52" t="s">
        <v>321</v>
      </c>
      <c r="I64" s="52" t="s">
        <v>313</v>
      </c>
      <c r="J64" s="52" t="s">
        <v>284</v>
      </c>
      <c r="K64" s="52" t="s">
        <v>385</v>
      </c>
      <c r="L64" s="52" t="s">
        <v>433</v>
      </c>
      <c r="M64" s="53"/>
      <c r="N64" s="52" t="s">
        <v>317</v>
      </c>
      <c r="O64" s="54">
        <v>1</v>
      </c>
    </row>
    <row r="65" spans="2:15" ht="25.2" thickTop="1" thickBot="1" x14ac:dyDescent="0.35">
      <c r="B65" s="52" t="s">
        <v>306</v>
      </c>
      <c r="C65" s="52" t="s">
        <v>368</v>
      </c>
      <c r="D65" s="52" t="s">
        <v>434</v>
      </c>
      <c r="E65" s="52" t="s">
        <v>435</v>
      </c>
      <c r="F65" s="52" t="s">
        <v>310</v>
      </c>
      <c r="G65" s="52" t="s">
        <v>327</v>
      </c>
      <c r="H65" s="52" t="s">
        <v>321</v>
      </c>
      <c r="I65" s="52" t="s">
        <v>313</v>
      </c>
      <c r="J65" s="52" t="s">
        <v>314</v>
      </c>
      <c r="K65" s="52" t="s">
        <v>346</v>
      </c>
      <c r="L65" s="52" t="s">
        <v>436</v>
      </c>
      <c r="M65" s="53"/>
      <c r="N65" s="52" t="s">
        <v>317</v>
      </c>
      <c r="O65" s="54">
        <v>2</v>
      </c>
    </row>
    <row r="66" spans="2:15" ht="15.6" thickTop="1" thickBot="1" x14ac:dyDescent="0.35">
      <c r="B66" s="52" t="s">
        <v>306</v>
      </c>
      <c r="C66" s="52" t="s">
        <v>340</v>
      </c>
      <c r="D66" s="52" t="s">
        <v>348</v>
      </c>
      <c r="E66" s="52" t="s">
        <v>349</v>
      </c>
      <c r="F66" s="52" t="s">
        <v>310</v>
      </c>
      <c r="G66" s="52" t="s">
        <v>327</v>
      </c>
      <c r="H66" s="52" t="s">
        <v>321</v>
      </c>
      <c r="I66" s="52" t="s">
        <v>313</v>
      </c>
      <c r="J66" s="52" t="s">
        <v>284</v>
      </c>
      <c r="K66" s="52" t="s">
        <v>334</v>
      </c>
      <c r="L66" s="52" t="s">
        <v>437</v>
      </c>
      <c r="M66" s="53"/>
      <c r="N66" s="52" t="s">
        <v>317</v>
      </c>
      <c r="O66" s="54">
        <v>1</v>
      </c>
    </row>
    <row r="67" spans="2:15" ht="49.2" thickTop="1" thickBot="1" x14ac:dyDescent="0.35">
      <c r="B67" s="52" t="s">
        <v>306</v>
      </c>
      <c r="C67" s="52" t="s">
        <v>364</v>
      </c>
      <c r="D67" s="52" t="s">
        <v>365</v>
      </c>
      <c r="E67" s="52" t="s">
        <v>366</v>
      </c>
      <c r="F67" s="52" t="s">
        <v>310</v>
      </c>
      <c r="G67" s="52" t="s">
        <v>311</v>
      </c>
      <c r="H67" s="52" t="s">
        <v>321</v>
      </c>
      <c r="I67" s="52" t="s">
        <v>313</v>
      </c>
      <c r="J67" s="52" t="s">
        <v>284</v>
      </c>
      <c r="K67" s="52" t="s">
        <v>352</v>
      </c>
      <c r="L67" s="52" t="s">
        <v>438</v>
      </c>
      <c r="M67" s="53"/>
      <c r="N67" s="52" t="s">
        <v>317</v>
      </c>
      <c r="O67" s="54">
        <v>1</v>
      </c>
    </row>
    <row r="68" spans="2:15" ht="61.2" thickTop="1" thickBot="1" x14ac:dyDescent="0.35">
      <c r="B68" s="52" t="s">
        <v>306</v>
      </c>
      <c r="C68" s="52" t="s">
        <v>307</v>
      </c>
      <c r="D68" s="52" t="s">
        <v>388</v>
      </c>
      <c r="E68" s="52" t="s">
        <v>389</v>
      </c>
      <c r="F68" s="52" t="s">
        <v>310</v>
      </c>
      <c r="G68" s="52" t="s">
        <v>327</v>
      </c>
      <c r="H68" s="52" t="s">
        <v>312</v>
      </c>
      <c r="I68" s="52" t="s">
        <v>313</v>
      </c>
      <c r="J68" s="52" t="s">
        <v>284</v>
      </c>
      <c r="K68" s="52" t="s">
        <v>385</v>
      </c>
      <c r="L68" s="52" t="s">
        <v>386</v>
      </c>
      <c r="M68" s="53"/>
      <c r="N68" s="52" t="s">
        <v>317</v>
      </c>
      <c r="O68" s="54">
        <v>2</v>
      </c>
    </row>
    <row r="69" spans="2:15" ht="61.2" thickTop="1" thickBot="1" x14ac:dyDescent="0.35">
      <c r="B69" s="52" t="s">
        <v>306</v>
      </c>
      <c r="C69" s="52" t="s">
        <v>395</v>
      </c>
      <c r="D69" s="52" t="s">
        <v>308</v>
      </c>
      <c r="E69" s="52" t="s">
        <v>309</v>
      </c>
      <c r="F69" s="52" t="s">
        <v>310</v>
      </c>
      <c r="G69" s="52" t="s">
        <v>311</v>
      </c>
      <c r="H69" s="52" t="s">
        <v>321</v>
      </c>
      <c r="I69" s="52" t="s">
        <v>358</v>
      </c>
      <c r="J69" s="52" t="s">
        <v>314</v>
      </c>
      <c r="K69" s="52" t="s">
        <v>346</v>
      </c>
      <c r="L69" s="52" t="s">
        <v>439</v>
      </c>
      <c r="M69" s="53"/>
      <c r="N69" s="52" t="s">
        <v>317</v>
      </c>
      <c r="O69" s="54">
        <v>2</v>
      </c>
    </row>
    <row r="70" spans="2:15" ht="15.6" thickTop="1" thickBot="1" x14ac:dyDescent="0.35">
      <c r="B70" s="52" t="s">
        <v>306</v>
      </c>
      <c r="C70" s="52" t="s">
        <v>307</v>
      </c>
      <c r="D70" s="52" t="s">
        <v>336</v>
      </c>
      <c r="E70" s="52" t="s">
        <v>337</v>
      </c>
      <c r="F70" s="52" t="s">
        <v>310</v>
      </c>
      <c r="G70" s="52" t="s">
        <v>327</v>
      </c>
      <c r="H70" s="52" t="s">
        <v>328</v>
      </c>
      <c r="I70" s="52" t="s">
        <v>313</v>
      </c>
      <c r="J70" s="52" t="s">
        <v>284</v>
      </c>
      <c r="K70" s="52" t="s">
        <v>440</v>
      </c>
      <c r="L70" s="55" t="s">
        <v>441</v>
      </c>
      <c r="M70" s="53"/>
      <c r="N70" s="52" t="s">
        <v>317</v>
      </c>
      <c r="O70" s="54">
        <v>281</v>
      </c>
    </row>
    <row r="71" spans="2:15" ht="15.6" thickTop="1" thickBot="1" x14ac:dyDescent="0.35">
      <c r="B71" s="52" t="s">
        <v>306</v>
      </c>
      <c r="C71" s="52" t="s">
        <v>340</v>
      </c>
      <c r="D71" s="52" t="s">
        <v>336</v>
      </c>
      <c r="E71" s="52" t="s">
        <v>337</v>
      </c>
      <c r="F71" s="52" t="s">
        <v>310</v>
      </c>
      <c r="G71" s="52" t="s">
        <v>311</v>
      </c>
      <c r="H71" s="52" t="s">
        <v>328</v>
      </c>
      <c r="I71" s="52" t="s">
        <v>313</v>
      </c>
      <c r="J71" s="52" t="s">
        <v>284</v>
      </c>
      <c r="K71" s="52" t="s">
        <v>360</v>
      </c>
      <c r="L71" s="52" t="s">
        <v>442</v>
      </c>
      <c r="M71" s="53"/>
      <c r="N71" s="52" t="s">
        <v>317</v>
      </c>
      <c r="O71" s="54">
        <v>1</v>
      </c>
    </row>
    <row r="72" spans="2:15" ht="49.2" thickTop="1" thickBot="1" x14ac:dyDescent="0.35">
      <c r="B72" s="52" t="s">
        <v>306</v>
      </c>
      <c r="C72" s="52" t="s">
        <v>307</v>
      </c>
      <c r="D72" s="52" t="s">
        <v>365</v>
      </c>
      <c r="E72" s="52" t="s">
        <v>366</v>
      </c>
      <c r="F72" s="52" t="s">
        <v>310</v>
      </c>
      <c r="G72" s="52" t="s">
        <v>327</v>
      </c>
      <c r="H72" s="52" t="s">
        <v>321</v>
      </c>
      <c r="I72" s="52" t="s">
        <v>313</v>
      </c>
      <c r="J72" s="52" t="s">
        <v>284</v>
      </c>
      <c r="K72" s="52" t="s">
        <v>352</v>
      </c>
      <c r="L72" s="52" t="s">
        <v>443</v>
      </c>
      <c r="M72" s="53"/>
      <c r="N72" s="52" t="s">
        <v>317</v>
      </c>
      <c r="O72" s="54">
        <v>21</v>
      </c>
    </row>
    <row r="73" spans="2:15" ht="15.6" thickTop="1" thickBot="1" x14ac:dyDescent="0.35">
      <c r="B73" s="52" t="s">
        <v>306</v>
      </c>
      <c r="C73" s="52" t="s">
        <v>368</v>
      </c>
      <c r="D73" s="52" t="s">
        <v>348</v>
      </c>
      <c r="E73" s="52" t="s">
        <v>349</v>
      </c>
      <c r="F73" s="52" t="s">
        <v>310</v>
      </c>
      <c r="G73" s="52" t="s">
        <v>327</v>
      </c>
      <c r="H73" s="52" t="s">
        <v>321</v>
      </c>
      <c r="I73" s="52" t="s">
        <v>313</v>
      </c>
      <c r="J73" s="52" t="s">
        <v>314</v>
      </c>
      <c r="K73" s="52" t="s">
        <v>369</v>
      </c>
      <c r="L73" s="52" t="s">
        <v>444</v>
      </c>
      <c r="M73" s="53"/>
      <c r="N73" s="52" t="s">
        <v>317</v>
      </c>
      <c r="O73" s="54">
        <v>27</v>
      </c>
    </row>
    <row r="74" spans="2:15" ht="15.6" thickTop="1" thickBot="1" x14ac:dyDescent="0.35">
      <c r="B74" s="52" t="s">
        <v>306</v>
      </c>
      <c r="C74" s="52" t="s">
        <v>387</v>
      </c>
      <c r="D74" s="52" t="s">
        <v>336</v>
      </c>
      <c r="E74" s="52" t="s">
        <v>337</v>
      </c>
      <c r="F74" s="52" t="s">
        <v>310</v>
      </c>
      <c r="G74" s="52" t="s">
        <v>327</v>
      </c>
      <c r="H74" s="52" t="s">
        <v>328</v>
      </c>
      <c r="I74" s="52" t="s">
        <v>313</v>
      </c>
      <c r="J74" s="52" t="s">
        <v>314</v>
      </c>
      <c r="K74" s="52" t="s">
        <v>315</v>
      </c>
      <c r="L74" s="52" t="s">
        <v>445</v>
      </c>
      <c r="M74" s="53"/>
      <c r="N74" s="52" t="s">
        <v>317</v>
      </c>
      <c r="O74" s="54">
        <v>5</v>
      </c>
    </row>
    <row r="75" spans="2:15" ht="15.6" thickTop="1" thickBot="1" x14ac:dyDescent="0.35">
      <c r="B75" s="52" t="s">
        <v>306</v>
      </c>
      <c r="C75" s="52" t="s">
        <v>324</v>
      </c>
      <c r="D75" s="52" t="s">
        <v>446</v>
      </c>
      <c r="E75" s="52" t="s">
        <v>447</v>
      </c>
      <c r="F75" s="52" t="s">
        <v>310</v>
      </c>
      <c r="G75" s="52" t="s">
        <v>327</v>
      </c>
      <c r="H75" s="52" t="s">
        <v>328</v>
      </c>
      <c r="I75" s="52" t="s">
        <v>313</v>
      </c>
      <c r="J75" s="52" t="s">
        <v>284</v>
      </c>
      <c r="K75" s="52" t="s">
        <v>430</v>
      </c>
      <c r="L75" s="55" t="s">
        <v>448</v>
      </c>
      <c r="M75" s="53"/>
      <c r="N75" s="52" t="s">
        <v>317</v>
      </c>
      <c r="O75" s="54">
        <v>1</v>
      </c>
    </row>
    <row r="76" spans="2:15" ht="25.2" thickTop="1" thickBot="1" x14ac:dyDescent="0.35">
      <c r="B76" s="52" t="s">
        <v>306</v>
      </c>
      <c r="C76" s="52" t="s">
        <v>307</v>
      </c>
      <c r="D76" s="52" t="s">
        <v>449</v>
      </c>
      <c r="E76" s="52" t="s">
        <v>450</v>
      </c>
      <c r="F76" s="52" t="s">
        <v>310</v>
      </c>
      <c r="G76" s="52" t="s">
        <v>327</v>
      </c>
      <c r="H76" s="52" t="s">
        <v>321</v>
      </c>
      <c r="I76" s="52" t="s">
        <v>313</v>
      </c>
      <c r="J76" s="52" t="s">
        <v>284</v>
      </c>
      <c r="K76" s="52" t="s">
        <v>451</v>
      </c>
      <c r="L76" s="52" t="s">
        <v>452</v>
      </c>
      <c r="M76" s="53"/>
      <c r="N76" s="52" t="s">
        <v>317</v>
      </c>
      <c r="O76" s="54">
        <v>1</v>
      </c>
    </row>
    <row r="77" spans="2:15" ht="49.2" thickTop="1" thickBot="1" x14ac:dyDescent="0.35">
      <c r="B77" s="52" t="s">
        <v>306</v>
      </c>
      <c r="C77" s="52" t="s">
        <v>397</v>
      </c>
      <c r="D77" s="52" t="s">
        <v>427</v>
      </c>
      <c r="E77" s="52" t="s">
        <v>428</v>
      </c>
      <c r="F77" s="52" t="s">
        <v>310</v>
      </c>
      <c r="G77" s="52" t="s">
        <v>311</v>
      </c>
      <c r="H77" s="52" t="s">
        <v>321</v>
      </c>
      <c r="I77" s="52" t="s">
        <v>313</v>
      </c>
      <c r="J77" s="52" t="s">
        <v>314</v>
      </c>
      <c r="K77" s="52" t="s">
        <v>453</v>
      </c>
      <c r="L77" s="52" t="s">
        <v>454</v>
      </c>
      <c r="M77" s="53"/>
      <c r="N77" s="52" t="s">
        <v>317</v>
      </c>
      <c r="O77" s="54">
        <v>5</v>
      </c>
    </row>
    <row r="78" spans="2:15" ht="25.2" thickTop="1" thickBot="1" x14ac:dyDescent="0.35">
      <c r="B78" s="52" t="s">
        <v>306</v>
      </c>
      <c r="C78" s="52" t="s">
        <v>331</v>
      </c>
      <c r="D78" s="52" t="s">
        <v>355</v>
      </c>
      <c r="E78" s="52" t="s">
        <v>356</v>
      </c>
      <c r="F78" s="52" t="s">
        <v>310</v>
      </c>
      <c r="G78" s="52" t="s">
        <v>311</v>
      </c>
      <c r="H78" s="52" t="s">
        <v>321</v>
      </c>
      <c r="I78" s="52" t="s">
        <v>313</v>
      </c>
      <c r="J78" s="52" t="s">
        <v>284</v>
      </c>
      <c r="K78" s="52" t="s">
        <v>369</v>
      </c>
      <c r="L78" s="55" t="s">
        <v>455</v>
      </c>
      <c r="M78" s="53"/>
      <c r="N78" s="52" t="s">
        <v>317</v>
      </c>
      <c r="O78" s="54">
        <v>1</v>
      </c>
    </row>
    <row r="79" spans="2:15" ht="61.2" thickTop="1" thickBot="1" x14ac:dyDescent="0.35">
      <c r="B79" s="52" t="s">
        <v>306</v>
      </c>
      <c r="C79" s="52" t="s">
        <v>395</v>
      </c>
      <c r="D79" s="52" t="s">
        <v>308</v>
      </c>
      <c r="E79" s="52" t="s">
        <v>309</v>
      </c>
      <c r="F79" s="52" t="s">
        <v>310</v>
      </c>
      <c r="G79" s="52" t="s">
        <v>311</v>
      </c>
      <c r="H79" s="52" t="s">
        <v>328</v>
      </c>
      <c r="I79" s="52" t="s">
        <v>313</v>
      </c>
      <c r="J79" s="52" t="s">
        <v>314</v>
      </c>
      <c r="K79" s="52" t="s">
        <v>360</v>
      </c>
      <c r="L79" s="52" t="s">
        <v>456</v>
      </c>
      <c r="M79" s="53"/>
      <c r="N79" s="52" t="s">
        <v>317</v>
      </c>
      <c r="O79" s="56">
        <v>2730</v>
      </c>
    </row>
    <row r="80" spans="2:15" ht="15.6" thickTop="1" thickBot="1" x14ac:dyDescent="0.35">
      <c r="B80" s="52" t="s">
        <v>306</v>
      </c>
      <c r="C80" s="52" t="s">
        <v>307</v>
      </c>
      <c r="D80" s="52" t="s">
        <v>332</v>
      </c>
      <c r="E80" s="52" t="s">
        <v>333</v>
      </c>
      <c r="F80" s="52" t="s">
        <v>310</v>
      </c>
      <c r="G80" s="52" t="s">
        <v>327</v>
      </c>
      <c r="H80" s="52" t="s">
        <v>321</v>
      </c>
      <c r="I80" s="52" t="s">
        <v>313</v>
      </c>
      <c r="J80" s="52" t="s">
        <v>284</v>
      </c>
      <c r="K80" s="52" t="s">
        <v>457</v>
      </c>
      <c r="L80" s="55" t="s">
        <v>457</v>
      </c>
      <c r="M80" s="53"/>
      <c r="N80" s="52" t="s">
        <v>317</v>
      </c>
      <c r="O80" s="56">
        <v>1440</v>
      </c>
    </row>
    <row r="81" spans="2:15" ht="61.2" thickTop="1" thickBot="1" x14ac:dyDescent="0.35">
      <c r="B81" s="52" t="s">
        <v>306</v>
      </c>
      <c r="C81" s="52" t="s">
        <v>307</v>
      </c>
      <c r="D81" s="52" t="s">
        <v>380</v>
      </c>
      <c r="E81" s="52" t="s">
        <v>381</v>
      </c>
      <c r="F81" s="52" t="s">
        <v>310</v>
      </c>
      <c r="G81" s="52" t="s">
        <v>311</v>
      </c>
      <c r="H81" s="52" t="s">
        <v>321</v>
      </c>
      <c r="I81" s="52" t="s">
        <v>313</v>
      </c>
      <c r="J81" s="52" t="s">
        <v>314</v>
      </c>
      <c r="K81" s="52" t="s">
        <v>458</v>
      </c>
      <c r="L81" s="55" t="s">
        <v>459</v>
      </c>
      <c r="M81" s="53"/>
      <c r="N81" s="52" t="s">
        <v>317</v>
      </c>
      <c r="O81" s="54">
        <v>22</v>
      </c>
    </row>
    <row r="82" spans="2:15" ht="15.6" thickTop="1" thickBot="1" x14ac:dyDescent="0.35">
      <c r="B82" s="52" t="s">
        <v>306</v>
      </c>
      <c r="C82" s="52" t="s">
        <v>331</v>
      </c>
      <c r="D82" s="52" t="s">
        <v>336</v>
      </c>
      <c r="E82" s="52" t="s">
        <v>337</v>
      </c>
      <c r="F82" s="52" t="s">
        <v>310</v>
      </c>
      <c r="G82" s="52" t="s">
        <v>327</v>
      </c>
      <c r="H82" s="52" t="s">
        <v>328</v>
      </c>
      <c r="I82" s="52" t="s">
        <v>313</v>
      </c>
      <c r="J82" s="52" t="s">
        <v>314</v>
      </c>
      <c r="K82" s="52" t="s">
        <v>360</v>
      </c>
      <c r="L82" s="52" t="s">
        <v>460</v>
      </c>
      <c r="M82" s="53"/>
      <c r="N82" s="52" t="s">
        <v>317</v>
      </c>
      <c r="O82" s="54">
        <v>4</v>
      </c>
    </row>
    <row r="83" spans="2:15" ht="25.2" thickTop="1" thickBot="1" x14ac:dyDescent="0.35">
      <c r="B83" s="52" t="s">
        <v>306</v>
      </c>
      <c r="C83" s="52" t="s">
        <v>331</v>
      </c>
      <c r="D83" s="52" t="s">
        <v>422</v>
      </c>
      <c r="E83" s="52" t="s">
        <v>423</v>
      </c>
      <c r="F83" s="52" t="s">
        <v>310</v>
      </c>
      <c r="G83" s="52" t="s">
        <v>327</v>
      </c>
      <c r="H83" s="52" t="s">
        <v>321</v>
      </c>
      <c r="I83" s="52" t="s">
        <v>313</v>
      </c>
      <c r="J83" s="52" t="s">
        <v>314</v>
      </c>
      <c r="K83" s="52" t="s">
        <v>369</v>
      </c>
      <c r="L83" s="52" t="s">
        <v>461</v>
      </c>
      <c r="M83" s="53"/>
      <c r="N83" s="52" t="s">
        <v>317</v>
      </c>
      <c r="O83" s="54">
        <v>25</v>
      </c>
    </row>
    <row r="84" spans="2:15" ht="15.6" thickTop="1" thickBot="1" x14ac:dyDescent="0.35">
      <c r="B84" s="52" t="s">
        <v>306</v>
      </c>
      <c r="C84" s="52" t="s">
        <v>307</v>
      </c>
      <c r="D84" s="52" t="s">
        <v>407</v>
      </c>
      <c r="E84" s="52" t="s">
        <v>408</v>
      </c>
      <c r="F84" s="52" t="s">
        <v>310</v>
      </c>
      <c r="G84" s="52" t="s">
        <v>311</v>
      </c>
      <c r="H84" s="52" t="s">
        <v>328</v>
      </c>
      <c r="I84" s="52" t="s">
        <v>313</v>
      </c>
      <c r="J84" s="52" t="s">
        <v>314</v>
      </c>
      <c r="K84" s="52" t="s">
        <v>362</v>
      </c>
      <c r="L84" s="52" t="s">
        <v>462</v>
      </c>
      <c r="M84" s="53"/>
      <c r="N84" s="52" t="s">
        <v>317</v>
      </c>
      <c r="O84" s="54">
        <v>7</v>
      </c>
    </row>
    <row r="85" spans="2:15" ht="37.200000000000003" thickTop="1" thickBot="1" x14ac:dyDescent="0.35">
      <c r="B85" s="52" t="s">
        <v>306</v>
      </c>
      <c r="C85" s="52" t="s">
        <v>331</v>
      </c>
      <c r="D85" s="52" t="s">
        <v>463</v>
      </c>
      <c r="E85" s="52" t="s">
        <v>464</v>
      </c>
      <c r="F85" s="52" t="s">
        <v>310</v>
      </c>
      <c r="G85" s="52" t="s">
        <v>327</v>
      </c>
      <c r="H85" s="52" t="s">
        <v>321</v>
      </c>
      <c r="I85" s="52" t="s">
        <v>313</v>
      </c>
      <c r="J85" s="52" t="s">
        <v>284</v>
      </c>
      <c r="K85" s="52" t="s">
        <v>360</v>
      </c>
      <c r="L85" s="52" t="s">
        <v>465</v>
      </c>
      <c r="M85" s="53"/>
      <c r="N85" s="52" t="s">
        <v>317</v>
      </c>
      <c r="O85" s="54">
        <v>2</v>
      </c>
    </row>
    <row r="86" spans="2:15" ht="15.6" thickTop="1" thickBot="1" x14ac:dyDescent="0.35">
      <c r="B86" s="52" t="s">
        <v>306</v>
      </c>
      <c r="C86" s="52" t="s">
        <v>364</v>
      </c>
      <c r="D86" s="52" t="s">
        <v>319</v>
      </c>
      <c r="E86" s="52" t="s">
        <v>320</v>
      </c>
      <c r="F86" s="52" t="s">
        <v>310</v>
      </c>
      <c r="G86" s="52" t="s">
        <v>311</v>
      </c>
      <c r="H86" s="52" t="s">
        <v>321</v>
      </c>
      <c r="I86" s="52" t="s">
        <v>358</v>
      </c>
      <c r="J86" s="52" t="s">
        <v>284</v>
      </c>
      <c r="K86" s="52" t="s">
        <v>376</v>
      </c>
      <c r="L86" s="52" t="s">
        <v>466</v>
      </c>
      <c r="M86" s="53"/>
      <c r="N86" s="52" t="s">
        <v>317</v>
      </c>
      <c r="O86" s="54">
        <v>1</v>
      </c>
    </row>
    <row r="87" spans="2:15" ht="37.200000000000003" thickTop="1" thickBot="1" x14ac:dyDescent="0.35">
      <c r="B87" s="52" t="s">
        <v>306</v>
      </c>
      <c r="C87" s="52" t="s">
        <v>340</v>
      </c>
      <c r="D87" s="52" t="s">
        <v>372</v>
      </c>
      <c r="E87" s="52" t="s">
        <v>373</v>
      </c>
      <c r="F87" s="52" t="s">
        <v>310</v>
      </c>
      <c r="G87" s="52" t="s">
        <v>327</v>
      </c>
      <c r="H87" s="52" t="s">
        <v>321</v>
      </c>
      <c r="I87" s="52" t="s">
        <v>313</v>
      </c>
      <c r="J87" s="52" t="s">
        <v>314</v>
      </c>
      <c r="K87" s="52" t="s">
        <v>350</v>
      </c>
      <c r="L87" s="52" t="s">
        <v>467</v>
      </c>
      <c r="M87" s="53"/>
      <c r="N87" s="52" t="s">
        <v>317</v>
      </c>
      <c r="O87" s="54">
        <v>1</v>
      </c>
    </row>
    <row r="88" spans="2:15" ht="61.2" thickTop="1" thickBot="1" x14ac:dyDescent="0.35">
      <c r="B88" s="52" t="s">
        <v>306</v>
      </c>
      <c r="C88" s="52" t="s">
        <v>368</v>
      </c>
      <c r="D88" s="52" t="s">
        <v>380</v>
      </c>
      <c r="E88" s="52" t="s">
        <v>381</v>
      </c>
      <c r="F88" s="52" t="s">
        <v>310</v>
      </c>
      <c r="G88" s="52" t="s">
        <v>311</v>
      </c>
      <c r="H88" s="52" t="s">
        <v>321</v>
      </c>
      <c r="I88" s="52" t="s">
        <v>313</v>
      </c>
      <c r="J88" s="52" t="s">
        <v>284</v>
      </c>
      <c r="K88" s="52" t="s">
        <v>385</v>
      </c>
      <c r="L88" s="55" t="s">
        <v>468</v>
      </c>
      <c r="M88" s="53"/>
      <c r="N88" s="52" t="s">
        <v>317</v>
      </c>
      <c r="O88" s="54">
        <v>1</v>
      </c>
    </row>
    <row r="89" spans="2:15" ht="15.6" thickTop="1" thickBot="1" x14ac:dyDescent="0.35">
      <c r="B89" s="52" t="s">
        <v>306</v>
      </c>
      <c r="C89" s="52" t="s">
        <v>307</v>
      </c>
      <c r="D89" s="52" t="s">
        <v>348</v>
      </c>
      <c r="E89" s="52" t="s">
        <v>349</v>
      </c>
      <c r="F89" s="52" t="s">
        <v>310</v>
      </c>
      <c r="G89" s="52" t="s">
        <v>311</v>
      </c>
      <c r="H89" s="52" t="s">
        <v>321</v>
      </c>
      <c r="I89" s="52" t="s">
        <v>313</v>
      </c>
      <c r="J89" s="52" t="s">
        <v>314</v>
      </c>
      <c r="K89" s="52" t="s">
        <v>419</v>
      </c>
      <c r="L89" s="52" t="s">
        <v>469</v>
      </c>
      <c r="M89" s="53"/>
      <c r="N89" s="52" t="s">
        <v>317</v>
      </c>
      <c r="O89" s="54">
        <v>25</v>
      </c>
    </row>
    <row r="90" spans="2:15" ht="15.6" thickTop="1" thickBot="1" x14ac:dyDescent="0.35">
      <c r="B90" s="52" t="s">
        <v>306</v>
      </c>
      <c r="C90" s="52" t="s">
        <v>307</v>
      </c>
      <c r="D90" s="52" t="s">
        <v>470</v>
      </c>
      <c r="E90" s="52" t="s">
        <v>471</v>
      </c>
      <c r="F90" s="52" t="s">
        <v>310</v>
      </c>
      <c r="G90" s="52" t="s">
        <v>311</v>
      </c>
      <c r="H90" s="52" t="s">
        <v>321</v>
      </c>
      <c r="I90" s="52" t="s">
        <v>313</v>
      </c>
      <c r="J90" s="52" t="s">
        <v>284</v>
      </c>
      <c r="K90" s="52" t="s">
        <v>346</v>
      </c>
      <c r="L90" s="52" t="s">
        <v>472</v>
      </c>
      <c r="M90" s="53"/>
      <c r="N90" s="52" t="s">
        <v>317</v>
      </c>
      <c r="O90" s="54">
        <v>10</v>
      </c>
    </row>
    <row r="91" spans="2:15" ht="15.6" thickTop="1" thickBot="1" x14ac:dyDescent="0.35">
      <c r="B91" s="52" t="s">
        <v>306</v>
      </c>
      <c r="C91" s="52" t="s">
        <v>395</v>
      </c>
      <c r="D91" s="52" t="s">
        <v>336</v>
      </c>
      <c r="E91" s="52" t="s">
        <v>337</v>
      </c>
      <c r="F91" s="52" t="s">
        <v>310</v>
      </c>
      <c r="G91" s="52" t="s">
        <v>311</v>
      </c>
      <c r="H91" s="52" t="s">
        <v>328</v>
      </c>
      <c r="I91" s="52" t="s">
        <v>313</v>
      </c>
      <c r="J91" s="52" t="s">
        <v>314</v>
      </c>
      <c r="K91" s="52" t="s">
        <v>352</v>
      </c>
      <c r="L91" s="52" t="s">
        <v>473</v>
      </c>
      <c r="M91" s="53"/>
      <c r="N91" s="52" t="s">
        <v>317</v>
      </c>
      <c r="O91" s="54">
        <v>12</v>
      </c>
    </row>
    <row r="92" spans="2:15" ht="25.2" thickTop="1" thickBot="1" x14ac:dyDescent="0.35">
      <c r="B92" s="52" t="s">
        <v>306</v>
      </c>
      <c r="C92" s="52" t="s">
        <v>331</v>
      </c>
      <c r="D92" s="52" t="s">
        <v>422</v>
      </c>
      <c r="E92" s="52" t="s">
        <v>423</v>
      </c>
      <c r="F92" s="52" t="s">
        <v>310</v>
      </c>
      <c r="G92" s="52" t="s">
        <v>327</v>
      </c>
      <c r="H92" s="52" t="s">
        <v>321</v>
      </c>
      <c r="I92" s="52" t="s">
        <v>313</v>
      </c>
      <c r="J92" s="52" t="s">
        <v>284</v>
      </c>
      <c r="K92" s="52" t="s">
        <v>322</v>
      </c>
      <c r="L92" s="55" t="s">
        <v>474</v>
      </c>
      <c r="M92" s="53"/>
      <c r="N92" s="52" t="s">
        <v>317</v>
      </c>
      <c r="O92" s="54">
        <v>8</v>
      </c>
    </row>
    <row r="93" spans="2:15" ht="15.6" thickTop="1" thickBot="1" x14ac:dyDescent="0.35">
      <c r="B93" s="52" t="s">
        <v>306</v>
      </c>
      <c r="C93" s="52" t="s">
        <v>387</v>
      </c>
      <c r="D93" s="52" t="s">
        <v>407</v>
      </c>
      <c r="E93" s="52" t="s">
        <v>408</v>
      </c>
      <c r="F93" s="52" t="s">
        <v>310</v>
      </c>
      <c r="G93" s="52" t="s">
        <v>327</v>
      </c>
      <c r="H93" s="52" t="s">
        <v>321</v>
      </c>
      <c r="I93" s="52" t="s">
        <v>313</v>
      </c>
      <c r="J93" s="52" t="s">
        <v>284</v>
      </c>
      <c r="K93" s="52" t="s">
        <v>360</v>
      </c>
      <c r="L93" s="52" t="s">
        <v>475</v>
      </c>
      <c r="M93" s="53"/>
      <c r="N93" s="52" t="s">
        <v>317</v>
      </c>
      <c r="O93" s="54">
        <v>13</v>
      </c>
    </row>
    <row r="94" spans="2:15" ht="15.6" thickTop="1" thickBot="1" x14ac:dyDescent="0.35">
      <c r="B94" s="52" t="s">
        <v>306</v>
      </c>
      <c r="C94" s="52" t="s">
        <v>387</v>
      </c>
      <c r="D94" s="52" t="s">
        <v>336</v>
      </c>
      <c r="E94" s="52" t="s">
        <v>337</v>
      </c>
      <c r="F94" s="52" t="s">
        <v>310</v>
      </c>
      <c r="G94" s="52" t="s">
        <v>311</v>
      </c>
      <c r="H94" s="52" t="s">
        <v>321</v>
      </c>
      <c r="I94" s="52" t="s">
        <v>313</v>
      </c>
      <c r="J94" s="52" t="s">
        <v>314</v>
      </c>
      <c r="K94" s="52" t="s">
        <v>322</v>
      </c>
      <c r="L94" s="52" t="s">
        <v>476</v>
      </c>
      <c r="M94" s="53"/>
      <c r="N94" s="52" t="s">
        <v>317</v>
      </c>
      <c r="O94" s="54">
        <v>9</v>
      </c>
    </row>
    <row r="95" spans="2:15" ht="15.6" thickTop="1" thickBot="1" x14ac:dyDescent="0.35">
      <c r="B95" s="52" t="s">
        <v>306</v>
      </c>
      <c r="C95" s="52" t="s">
        <v>354</v>
      </c>
      <c r="D95" s="52" t="s">
        <v>399</v>
      </c>
      <c r="E95" s="52" t="s">
        <v>400</v>
      </c>
      <c r="F95" s="52" t="s">
        <v>310</v>
      </c>
      <c r="G95" s="52" t="s">
        <v>327</v>
      </c>
      <c r="H95" s="52" t="s">
        <v>321</v>
      </c>
      <c r="I95" s="52" t="s">
        <v>313</v>
      </c>
      <c r="J95" s="52" t="s">
        <v>314</v>
      </c>
      <c r="K95" s="52" t="s">
        <v>369</v>
      </c>
      <c r="L95" s="52" t="s">
        <v>477</v>
      </c>
      <c r="M95" s="53"/>
      <c r="N95" s="52" t="s">
        <v>317</v>
      </c>
      <c r="O95" s="54">
        <v>2</v>
      </c>
    </row>
    <row r="96" spans="2:15" ht="61.2" thickTop="1" thickBot="1" x14ac:dyDescent="0.35">
      <c r="B96" s="52" t="s">
        <v>306</v>
      </c>
      <c r="C96" s="52" t="s">
        <v>397</v>
      </c>
      <c r="D96" s="52" t="s">
        <v>308</v>
      </c>
      <c r="E96" s="52" t="s">
        <v>309</v>
      </c>
      <c r="F96" s="52" t="s">
        <v>310</v>
      </c>
      <c r="G96" s="52" t="s">
        <v>311</v>
      </c>
      <c r="H96" s="52" t="s">
        <v>312</v>
      </c>
      <c r="I96" s="52" t="s">
        <v>313</v>
      </c>
      <c r="J96" s="52" t="s">
        <v>314</v>
      </c>
      <c r="K96" s="52" t="s">
        <v>376</v>
      </c>
      <c r="L96" s="55" t="s">
        <v>377</v>
      </c>
      <c r="M96" s="53"/>
      <c r="N96" s="52" t="s">
        <v>317</v>
      </c>
      <c r="O96" s="54">
        <v>4</v>
      </c>
    </row>
    <row r="97" spans="2:15" ht="15.6" thickTop="1" thickBot="1" x14ac:dyDescent="0.35">
      <c r="B97" s="52" t="s">
        <v>306</v>
      </c>
      <c r="C97" s="52" t="s">
        <v>307</v>
      </c>
      <c r="D97" s="52" t="s">
        <v>332</v>
      </c>
      <c r="E97" s="52" t="s">
        <v>333</v>
      </c>
      <c r="F97" s="52" t="s">
        <v>310</v>
      </c>
      <c r="G97" s="52" t="s">
        <v>311</v>
      </c>
      <c r="H97" s="52" t="s">
        <v>312</v>
      </c>
      <c r="I97" s="52" t="s">
        <v>313</v>
      </c>
      <c r="J97" s="52" t="s">
        <v>314</v>
      </c>
      <c r="K97" s="52" t="s">
        <v>352</v>
      </c>
      <c r="L97" s="52" t="s">
        <v>478</v>
      </c>
      <c r="M97" s="53"/>
      <c r="N97" s="52" t="s">
        <v>317</v>
      </c>
      <c r="O97" s="54">
        <v>2</v>
      </c>
    </row>
    <row r="98" spans="2:15" ht="15.6" thickTop="1" thickBot="1" x14ac:dyDescent="0.35">
      <c r="B98" s="52" t="s">
        <v>306</v>
      </c>
      <c r="C98" s="52" t="s">
        <v>364</v>
      </c>
      <c r="D98" s="52" t="s">
        <v>417</v>
      </c>
      <c r="E98" s="52" t="s">
        <v>418</v>
      </c>
      <c r="F98" s="52" t="s">
        <v>310</v>
      </c>
      <c r="G98" s="52" t="s">
        <v>311</v>
      </c>
      <c r="H98" s="52" t="s">
        <v>328</v>
      </c>
      <c r="I98" s="52" t="s">
        <v>313</v>
      </c>
      <c r="J98" s="52" t="s">
        <v>284</v>
      </c>
      <c r="K98" s="52" t="s">
        <v>315</v>
      </c>
      <c r="L98" s="55" t="s">
        <v>479</v>
      </c>
      <c r="M98" s="53"/>
      <c r="N98" s="52" t="s">
        <v>317</v>
      </c>
      <c r="O98" s="54">
        <v>1</v>
      </c>
    </row>
    <row r="99" spans="2:15" ht="15.6" thickTop="1" thickBot="1" x14ac:dyDescent="0.35">
      <c r="B99" s="52" t="s">
        <v>306</v>
      </c>
      <c r="C99" s="52" t="s">
        <v>354</v>
      </c>
      <c r="D99" s="52" t="s">
        <v>348</v>
      </c>
      <c r="E99" s="52" t="s">
        <v>349</v>
      </c>
      <c r="F99" s="52" t="s">
        <v>310</v>
      </c>
      <c r="G99" s="52" t="s">
        <v>327</v>
      </c>
      <c r="H99" s="52" t="s">
        <v>321</v>
      </c>
      <c r="I99" s="52" t="s">
        <v>313</v>
      </c>
      <c r="J99" s="52" t="s">
        <v>284</v>
      </c>
      <c r="K99" s="52" t="s">
        <v>329</v>
      </c>
      <c r="L99" s="55" t="s">
        <v>480</v>
      </c>
      <c r="M99" s="53"/>
      <c r="N99" s="52" t="s">
        <v>317</v>
      </c>
      <c r="O99" s="54">
        <v>1</v>
      </c>
    </row>
    <row r="100" spans="2:15" ht="15.6" thickTop="1" thickBot="1" x14ac:dyDescent="0.35">
      <c r="B100" s="52" t="s">
        <v>306</v>
      </c>
      <c r="C100" s="52" t="s">
        <v>318</v>
      </c>
      <c r="D100" s="52" t="s">
        <v>332</v>
      </c>
      <c r="E100" s="52" t="s">
        <v>333</v>
      </c>
      <c r="F100" s="52" t="s">
        <v>310</v>
      </c>
      <c r="G100" s="52" t="s">
        <v>311</v>
      </c>
      <c r="H100" s="52" t="s">
        <v>321</v>
      </c>
      <c r="I100" s="52" t="s">
        <v>313</v>
      </c>
      <c r="J100" s="52" t="s">
        <v>284</v>
      </c>
      <c r="K100" s="52" t="s">
        <v>352</v>
      </c>
      <c r="L100" s="52" t="s">
        <v>481</v>
      </c>
      <c r="M100" s="53"/>
      <c r="N100" s="52" t="s">
        <v>317</v>
      </c>
      <c r="O100" s="54">
        <v>71</v>
      </c>
    </row>
    <row r="101" spans="2:15" ht="15.6" thickTop="1" thickBot="1" x14ac:dyDescent="0.35">
      <c r="B101" s="52" t="s">
        <v>306</v>
      </c>
      <c r="C101" s="52" t="s">
        <v>307</v>
      </c>
      <c r="D101" s="52" t="s">
        <v>348</v>
      </c>
      <c r="E101" s="52" t="s">
        <v>349</v>
      </c>
      <c r="F101" s="52" t="s">
        <v>310</v>
      </c>
      <c r="G101" s="52" t="s">
        <v>327</v>
      </c>
      <c r="H101" s="52" t="s">
        <v>321</v>
      </c>
      <c r="I101" s="52" t="s">
        <v>313</v>
      </c>
      <c r="J101" s="52" t="s">
        <v>314</v>
      </c>
      <c r="K101" s="52" t="s">
        <v>334</v>
      </c>
      <c r="L101" s="52" t="s">
        <v>482</v>
      </c>
      <c r="M101" s="53"/>
      <c r="N101" s="52" t="s">
        <v>317</v>
      </c>
      <c r="O101" s="54">
        <v>737</v>
      </c>
    </row>
    <row r="102" spans="2:15" ht="15.6" thickTop="1" thickBot="1" x14ac:dyDescent="0.35">
      <c r="B102" s="52" t="s">
        <v>306</v>
      </c>
      <c r="C102" s="52" t="s">
        <v>331</v>
      </c>
      <c r="D102" s="52" t="s">
        <v>417</v>
      </c>
      <c r="E102" s="52" t="s">
        <v>418</v>
      </c>
      <c r="F102" s="52" t="s">
        <v>310</v>
      </c>
      <c r="G102" s="52" t="s">
        <v>327</v>
      </c>
      <c r="H102" s="52" t="s">
        <v>321</v>
      </c>
      <c r="I102" s="52" t="s">
        <v>313</v>
      </c>
      <c r="J102" s="52" t="s">
        <v>284</v>
      </c>
      <c r="K102" s="52" t="s">
        <v>360</v>
      </c>
      <c r="L102" s="52" t="s">
        <v>483</v>
      </c>
      <c r="M102" s="53"/>
      <c r="N102" s="52" t="s">
        <v>317</v>
      </c>
      <c r="O102" s="54">
        <v>12</v>
      </c>
    </row>
    <row r="103" spans="2:15" ht="15.6" thickTop="1" thickBot="1" x14ac:dyDescent="0.35">
      <c r="B103" s="52" t="s">
        <v>306</v>
      </c>
      <c r="C103" s="52" t="s">
        <v>368</v>
      </c>
      <c r="D103" s="52" t="s">
        <v>336</v>
      </c>
      <c r="E103" s="52" t="s">
        <v>337</v>
      </c>
      <c r="F103" s="52" t="s">
        <v>310</v>
      </c>
      <c r="G103" s="52" t="s">
        <v>327</v>
      </c>
      <c r="H103" s="52" t="s">
        <v>321</v>
      </c>
      <c r="I103" s="52" t="s">
        <v>313</v>
      </c>
      <c r="J103" s="52" t="s">
        <v>314</v>
      </c>
      <c r="K103" s="52" t="s">
        <v>322</v>
      </c>
      <c r="L103" s="52" t="s">
        <v>484</v>
      </c>
      <c r="M103" s="53"/>
      <c r="N103" s="52" t="s">
        <v>317</v>
      </c>
      <c r="O103" s="54">
        <v>3</v>
      </c>
    </row>
    <row r="104" spans="2:15" ht="49.2" thickTop="1" thickBot="1" x14ac:dyDescent="0.35">
      <c r="B104" s="52" t="s">
        <v>306</v>
      </c>
      <c r="C104" s="52" t="s">
        <v>364</v>
      </c>
      <c r="D104" s="52" t="s">
        <v>365</v>
      </c>
      <c r="E104" s="52" t="s">
        <v>366</v>
      </c>
      <c r="F104" s="52" t="s">
        <v>310</v>
      </c>
      <c r="G104" s="52" t="s">
        <v>311</v>
      </c>
      <c r="H104" s="52" t="s">
        <v>321</v>
      </c>
      <c r="I104" s="52" t="s">
        <v>313</v>
      </c>
      <c r="J104" s="52" t="s">
        <v>284</v>
      </c>
      <c r="K104" s="52" t="s">
        <v>352</v>
      </c>
      <c r="L104" s="52" t="s">
        <v>485</v>
      </c>
      <c r="M104" s="53"/>
      <c r="N104" s="52" t="s">
        <v>317</v>
      </c>
      <c r="O104" s="54">
        <v>5</v>
      </c>
    </row>
    <row r="105" spans="2:15" ht="15.6" thickTop="1" thickBot="1" x14ac:dyDescent="0.35">
      <c r="B105" s="52" t="s">
        <v>306</v>
      </c>
      <c r="C105" s="52" t="s">
        <v>307</v>
      </c>
      <c r="D105" s="52" t="s">
        <v>336</v>
      </c>
      <c r="E105" s="52" t="s">
        <v>337</v>
      </c>
      <c r="F105" s="52" t="s">
        <v>310</v>
      </c>
      <c r="G105" s="52" t="s">
        <v>311</v>
      </c>
      <c r="H105" s="52" t="s">
        <v>328</v>
      </c>
      <c r="I105" s="52" t="s">
        <v>313</v>
      </c>
      <c r="J105" s="52" t="s">
        <v>314</v>
      </c>
      <c r="K105" s="52" t="s">
        <v>315</v>
      </c>
      <c r="L105" s="55" t="s">
        <v>486</v>
      </c>
      <c r="M105" s="53"/>
      <c r="N105" s="52" t="s">
        <v>317</v>
      </c>
      <c r="O105" s="54">
        <v>9</v>
      </c>
    </row>
    <row r="106" spans="2:15" ht="15.6" thickTop="1" thickBot="1" x14ac:dyDescent="0.35">
      <c r="B106" s="52" t="s">
        <v>306</v>
      </c>
      <c r="C106" s="52" t="s">
        <v>395</v>
      </c>
      <c r="D106" s="52" t="s">
        <v>319</v>
      </c>
      <c r="E106" s="52" t="s">
        <v>320</v>
      </c>
      <c r="F106" s="52" t="s">
        <v>310</v>
      </c>
      <c r="G106" s="52" t="s">
        <v>327</v>
      </c>
      <c r="H106" s="52" t="s">
        <v>321</v>
      </c>
      <c r="I106" s="52" t="s">
        <v>313</v>
      </c>
      <c r="J106" s="52" t="s">
        <v>284</v>
      </c>
      <c r="K106" s="52" t="s">
        <v>376</v>
      </c>
      <c r="L106" s="55" t="s">
        <v>226</v>
      </c>
      <c r="M106" s="53"/>
      <c r="N106" s="52" t="s">
        <v>317</v>
      </c>
      <c r="O106" s="54">
        <v>2</v>
      </c>
    </row>
    <row r="107" spans="2:15" ht="61.2" thickTop="1" thickBot="1" x14ac:dyDescent="0.35">
      <c r="B107" s="52" t="s">
        <v>306</v>
      </c>
      <c r="C107" s="52" t="s">
        <v>364</v>
      </c>
      <c r="D107" s="52" t="s">
        <v>308</v>
      </c>
      <c r="E107" s="52" t="s">
        <v>309</v>
      </c>
      <c r="F107" s="52" t="s">
        <v>310</v>
      </c>
      <c r="G107" s="52" t="s">
        <v>311</v>
      </c>
      <c r="H107" s="52" t="s">
        <v>321</v>
      </c>
      <c r="I107" s="52" t="s">
        <v>313</v>
      </c>
      <c r="J107" s="52" t="s">
        <v>314</v>
      </c>
      <c r="K107" s="52" t="s">
        <v>329</v>
      </c>
      <c r="L107" s="52" t="s">
        <v>487</v>
      </c>
      <c r="M107" s="53"/>
      <c r="N107" s="52" t="s">
        <v>317</v>
      </c>
      <c r="O107" s="54">
        <v>1</v>
      </c>
    </row>
    <row r="108" spans="2:15" ht="49.2" thickTop="1" thickBot="1" x14ac:dyDescent="0.35">
      <c r="B108" s="52" t="s">
        <v>306</v>
      </c>
      <c r="C108" s="52" t="s">
        <v>364</v>
      </c>
      <c r="D108" s="52" t="s">
        <v>365</v>
      </c>
      <c r="E108" s="52" t="s">
        <v>366</v>
      </c>
      <c r="F108" s="52" t="s">
        <v>310</v>
      </c>
      <c r="G108" s="52" t="s">
        <v>311</v>
      </c>
      <c r="H108" s="52" t="s">
        <v>328</v>
      </c>
      <c r="I108" s="52" t="s">
        <v>313</v>
      </c>
      <c r="J108" s="52" t="s">
        <v>314</v>
      </c>
      <c r="K108" s="52" t="s">
        <v>352</v>
      </c>
      <c r="L108" s="52" t="s">
        <v>488</v>
      </c>
      <c r="M108" s="53"/>
      <c r="N108" s="52" t="s">
        <v>317</v>
      </c>
      <c r="O108" s="54">
        <v>2</v>
      </c>
    </row>
    <row r="109" spans="2:15" ht="61.2" thickTop="1" thickBot="1" x14ac:dyDescent="0.35">
      <c r="B109" s="52" t="s">
        <v>306</v>
      </c>
      <c r="C109" s="52" t="s">
        <v>318</v>
      </c>
      <c r="D109" s="52" t="s">
        <v>380</v>
      </c>
      <c r="E109" s="52" t="s">
        <v>381</v>
      </c>
      <c r="F109" s="52" t="s">
        <v>310</v>
      </c>
      <c r="G109" s="52" t="s">
        <v>311</v>
      </c>
      <c r="H109" s="52" t="s">
        <v>321</v>
      </c>
      <c r="I109" s="52" t="s">
        <v>235</v>
      </c>
      <c r="J109" s="52" t="s">
        <v>284</v>
      </c>
      <c r="K109" s="52" t="s">
        <v>382</v>
      </c>
      <c r="L109" s="52" t="s">
        <v>385</v>
      </c>
      <c r="M109" s="53"/>
      <c r="N109" s="52" t="s">
        <v>317</v>
      </c>
      <c r="O109" s="54">
        <v>2</v>
      </c>
    </row>
    <row r="110" spans="2:15" ht="61.2" thickTop="1" thickBot="1" x14ac:dyDescent="0.35">
      <c r="B110" s="52" t="s">
        <v>306</v>
      </c>
      <c r="C110" s="52" t="s">
        <v>354</v>
      </c>
      <c r="D110" s="52" t="s">
        <v>380</v>
      </c>
      <c r="E110" s="52" t="s">
        <v>381</v>
      </c>
      <c r="F110" s="52" t="s">
        <v>310</v>
      </c>
      <c r="G110" s="52" t="s">
        <v>327</v>
      </c>
      <c r="H110" s="52" t="s">
        <v>321</v>
      </c>
      <c r="I110" s="52" t="s">
        <v>313</v>
      </c>
      <c r="J110" s="52" t="s">
        <v>284</v>
      </c>
      <c r="K110" s="52" t="s">
        <v>382</v>
      </c>
      <c r="L110" s="55" t="s">
        <v>489</v>
      </c>
      <c r="M110" s="53"/>
      <c r="N110" s="52" t="s">
        <v>317</v>
      </c>
      <c r="O110" s="54">
        <v>3</v>
      </c>
    </row>
    <row r="111" spans="2:15" ht="61.2" thickTop="1" thickBot="1" x14ac:dyDescent="0.35">
      <c r="B111" s="52" t="s">
        <v>306</v>
      </c>
      <c r="C111" s="52" t="s">
        <v>387</v>
      </c>
      <c r="D111" s="52" t="s">
        <v>308</v>
      </c>
      <c r="E111" s="52" t="s">
        <v>309</v>
      </c>
      <c r="F111" s="52" t="s">
        <v>310</v>
      </c>
      <c r="G111" s="52" t="s">
        <v>327</v>
      </c>
      <c r="H111" s="52" t="s">
        <v>321</v>
      </c>
      <c r="I111" s="52" t="s">
        <v>313</v>
      </c>
      <c r="J111" s="52" t="s">
        <v>314</v>
      </c>
      <c r="K111" s="52" t="s">
        <v>329</v>
      </c>
      <c r="L111" s="52" t="s">
        <v>490</v>
      </c>
      <c r="M111" s="53"/>
      <c r="N111" s="52" t="s">
        <v>317</v>
      </c>
      <c r="O111" s="54">
        <v>12</v>
      </c>
    </row>
    <row r="112" spans="2:15" ht="15.6" thickTop="1" thickBot="1" x14ac:dyDescent="0.35">
      <c r="B112" s="57" t="s">
        <v>306</v>
      </c>
      <c r="C112" s="57" t="s">
        <v>307</v>
      </c>
      <c r="D112" s="57" t="s">
        <v>491</v>
      </c>
      <c r="E112" s="57" t="s">
        <v>492</v>
      </c>
      <c r="F112" s="57" t="s">
        <v>310</v>
      </c>
      <c r="G112" s="57" t="s">
        <v>327</v>
      </c>
      <c r="H112" s="57" t="s">
        <v>321</v>
      </c>
      <c r="I112" s="57" t="s">
        <v>313</v>
      </c>
      <c r="J112" s="57" t="s">
        <v>284</v>
      </c>
      <c r="K112" s="57" t="s">
        <v>350</v>
      </c>
      <c r="L112" s="57" t="s">
        <v>493</v>
      </c>
      <c r="M112" s="58"/>
      <c r="N112" s="57" t="s">
        <v>317</v>
      </c>
      <c r="O112" s="59">
        <v>12</v>
      </c>
    </row>
    <row r="113" spans="2:15" ht="37.200000000000003" thickTop="1" thickBot="1" x14ac:dyDescent="0.35">
      <c r="B113" s="52" t="s">
        <v>306</v>
      </c>
      <c r="C113" s="52" t="s">
        <v>307</v>
      </c>
      <c r="D113" s="52" t="s">
        <v>463</v>
      </c>
      <c r="E113" s="52" t="s">
        <v>464</v>
      </c>
      <c r="F113" s="52" t="s">
        <v>310</v>
      </c>
      <c r="G113" s="52" t="s">
        <v>327</v>
      </c>
      <c r="H113" s="52" t="s">
        <v>321</v>
      </c>
      <c r="I113" s="52" t="s">
        <v>313</v>
      </c>
      <c r="J113" s="52" t="s">
        <v>284</v>
      </c>
      <c r="K113" s="52" t="s">
        <v>360</v>
      </c>
      <c r="L113" s="52" t="s">
        <v>494</v>
      </c>
      <c r="M113" s="53"/>
      <c r="N113" s="52" t="s">
        <v>317</v>
      </c>
      <c r="O113" s="54">
        <v>3</v>
      </c>
    </row>
    <row r="114" spans="2:15" ht="15" thickTop="1" x14ac:dyDescent="0.3"/>
  </sheetData>
  <mergeCells count="2">
    <mergeCell ref="D2:H2"/>
    <mergeCell ref="M5:P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AE4BF-7E25-424D-A7E8-31F95DB5011C}">
  <dimension ref="B3:U28"/>
  <sheetViews>
    <sheetView tabSelected="1" workbookViewId="0">
      <selection activeCell="O27" sqref="O27"/>
    </sheetView>
  </sheetViews>
  <sheetFormatPr baseColWidth="10" defaultColWidth="11.44140625" defaultRowHeight="14.4" x14ac:dyDescent="0.3"/>
  <cols>
    <col min="6" max="6" width="12.88671875" bestFit="1" customWidth="1"/>
    <col min="11" max="11" width="17" customWidth="1"/>
    <col min="15" max="15" width="14.77734375" bestFit="1" customWidth="1"/>
  </cols>
  <sheetData>
    <row r="3" spans="2:21" ht="15" thickBot="1" x14ac:dyDescent="0.35"/>
    <row r="4" spans="2:21" ht="24" thickBot="1" x14ac:dyDescent="0.35">
      <c r="B4" s="107" t="s">
        <v>495</v>
      </c>
      <c r="C4" s="108"/>
      <c r="D4" s="108"/>
      <c r="E4" s="108"/>
      <c r="F4" s="108"/>
      <c r="G4" s="108"/>
      <c r="H4" s="108"/>
      <c r="I4" s="109"/>
      <c r="J4" s="60"/>
      <c r="K4" s="110" t="s">
        <v>496</v>
      </c>
      <c r="L4" s="110"/>
      <c r="M4" s="110"/>
      <c r="N4" s="110"/>
      <c r="O4" s="110"/>
    </row>
    <row r="5" spans="2:21" ht="29.4" thickBot="1" x14ac:dyDescent="0.35">
      <c r="B5" s="61" t="s">
        <v>497</v>
      </c>
      <c r="C5" s="62" t="s">
        <v>202</v>
      </c>
      <c r="D5" s="62" t="s">
        <v>498</v>
      </c>
      <c r="E5" s="62" t="s">
        <v>499</v>
      </c>
      <c r="F5" s="62" t="s">
        <v>500</v>
      </c>
      <c r="G5" s="62" t="s">
        <v>501</v>
      </c>
      <c r="H5" s="62" t="s">
        <v>0</v>
      </c>
      <c r="I5" s="62" t="s">
        <v>502</v>
      </c>
      <c r="J5" s="63"/>
      <c r="K5" s="64" t="s">
        <v>503</v>
      </c>
      <c r="L5" s="111" t="s">
        <v>504</v>
      </c>
      <c r="M5" s="112"/>
      <c r="N5" s="113"/>
      <c r="O5" s="64" t="s">
        <v>505</v>
      </c>
      <c r="Q5" s="99" t="s">
        <v>506</v>
      </c>
      <c r="R5" s="99"/>
      <c r="S5" s="99"/>
      <c r="T5" s="99"/>
      <c r="U5" s="99"/>
    </row>
    <row r="6" spans="2:21" ht="15" thickBot="1" x14ac:dyDescent="0.35">
      <c r="B6" s="65">
        <v>1</v>
      </c>
      <c r="C6" s="66">
        <v>1010</v>
      </c>
      <c r="D6" s="67">
        <v>40603</v>
      </c>
      <c r="E6" s="66">
        <v>450</v>
      </c>
      <c r="F6" s="171">
        <v>1000000</v>
      </c>
      <c r="G6" s="66">
        <v>4010</v>
      </c>
      <c r="H6" s="68" t="s">
        <v>507</v>
      </c>
      <c r="I6" s="66">
        <v>1</v>
      </c>
      <c r="J6" s="63"/>
      <c r="K6" s="170" t="s">
        <v>711</v>
      </c>
      <c r="L6" s="100" t="s">
        <v>508</v>
      </c>
      <c r="M6" s="101"/>
      <c r="N6" s="102"/>
      <c r="O6" s="175">
        <f>COUNT(F6:F22)</f>
        <v>17</v>
      </c>
      <c r="Q6" s="99"/>
      <c r="R6" s="99"/>
      <c r="S6" s="99"/>
      <c r="T6" s="99"/>
      <c r="U6" s="99"/>
    </row>
    <row r="7" spans="2:21" ht="15" thickBot="1" x14ac:dyDescent="0.35">
      <c r="B7" s="65">
        <v>1</v>
      </c>
      <c r="C7" s="66">
        <v>1040</v>
      </c>
      <c r="D7" s="67">
        <v>40605</v>
      </c>
      <c r="E7" s="66">
        <v>453</v>
      </c>
      <c r="F7" s="171">
        <v>8000000</v>
      </c>
      <c r="G7" s="66">
        <v>4010</v>
      </c>
      <c r="H7" s="68" t="s">
        <v>507</v>
      </c>
      <c r="I7" s="66">
        <v>2</v>
      </c>
      <c r="J7" s="63"/>
      <c r="K7" s="170" t="s">
        <v>711</v>
      </c>
      <c r="L7" s="100" t="s">
        <v>509</v>
      </c>
      <c r="M7" s="101"/>
      <c r="N7" s="102"/>
      <c r="O7" s="69">
        <f>COUNT(_xlfn.UNIQUE(C6:C22))</f>
        <v>8</v>
      </c>
      <c r="Q7" s="99"/>
      <c r="R7" s="99"/>
      <c r="S7" s="99"/>
      <c r="T7" s="99"/>
      <c r="U7" s="99"/>
    </row>
    <row r="8" spans="2:21" ht="15" thickBot="1" x14ac:dyDescent="0.35">
      <c r="B8" s="65">
        <v>1</v>
      </c>
      <c r="C8" s="66">
        <v>1050</v>
      </c>
      <c r="D8" s="67">
        <v>40607</v>
      </c>
      <c r="E8" s="66">
        <v>454</v>
      </c>
      <c r="F8" s="171">
        <v>3000000</v>
      </c>
      <c r="G8" s="66">
        <v>4050</v>
      </c>
      <c r="H8" s="68" t="s">
        <v>510</v>
      </c>
      <c r="I8" s="66">
        <v>3</v>
      </c>
      <c r="J8" s="63"/>
      <c r="K8" s="170" t="s">
        <v>711</v>
      </c>
      <c r="L8" s="100" t="s">
        <v>511</v>
      </c>
      <c r="M8" s="101"/>
      <c r="N8" s="102"/>
      <c r="O8" s="69">
        <f>COUNT(_xlfn.UNIQUE(E6:E22))</f>
        <v>17</v>
      </c>
      <c r="Q8" s="99"/>
      <c r="R8" s="99"/>
      <c r="S8" s="99"/>
      <c r="T8" s="99"/>
      <c r="U8" s="99"/>
    </row>
    <row r="9" spans="2:21" ht="15" thickBot="1" x14ac:dyDescent="0.35">
      <c r="B9" s="65">
        <v>1</v>
      </c>
      <c r="C9" s="66">
        <v>1020</v>
      </c>
      <c r="D9" s="67">
        <v>40603</v>
      </c>
      <c r="E9" s="66">
        <v>459</v>
      </c>
      <c r="F9" s="171">
        <v>2780000</v>
      </c>
      <c r="G9" s="66">
        <v>5090</v>
      </c>
      <c r="H9" s="68" t="s">
        <v>512</v>
      </c>
      <c r="I9" s="66">
        <v>3</v>
      </c>
      <c r="J9" s="63"/>
      <c r="K9" s="170" t="s">
        <v>714</v>
      </c>
      <c r="L9" s="100" t="s">
        <v>513</v>
      </c>
      <c r="M9" s="101"/>
      <c r="N9" s="102"/>
      <c r="O9" s="174">
        <f>COUNTIF($B$6:$B$22,B6)</f>
        <v>5</v>
      </c>
    </row>
    <row r="10" spans="2:21" ht="15" thickBot="1" x14ac:dyDescent="0.35">
      <c r="B10" s="65">
        <v>1</v>
      </c>
      <c r="C10" s="66">
        <v>1010</v>
      </c>
      <c r="D10" s="67">
        <v>40607</v>
      </c>
      <c r="E10" s="66">
        <v>462</v>
      </c>
      <c r="F10" s="171">
        <v>3450000</v>
      </c>
      <c r="G10" s="66">
        <v>5090</v>
      </c>
      <c r="H10" s="68" t="s">
        <v>512</v>
      </c>
      <c r="I10" s="66">
        <v>1</v>
      </c>
      <c r="J10" s="63"/>
      <c r="K10" s="170" t="s">
        <v>714</v>
      </c>
      <c r="L10" s="100" t="s">
        <v>514</v>
      </c>
      <c r="M10" s="101"/>
      <c r="N10" s="102"/>
      <c r="O10" s="174">
        <f>COUNTIF($B$6:$B$22,B11)</f>
        <v>4</v>
      </c>
    </row>
    <row r="11" spans="2:21" ht="15" thickBot="1" x14ac:dyDescent="0.35">
      <c r="B11" s="65">
        <v>2</v>
      </c>
      <c r="C11" s="66">
        <v>1020</v>
      </c>
      <c r="D11" s="67">
        <v>40606</v>
      </c>
      <c r="E11" s="66">
        <v>451</v>
      </c>
      <c r="F11" s="171">
        <v>1200000</v>
      </c>
      <c r="G11" s="66">
        <v>4020</v>
      </c>
      <c r="H11" s="68" t="s">
        <v>515</v>
      </c>
      <c r="I11" s="66">
        <v>3</v>
      </c>
      <c r="J11" s="63"/>
      <c r="K11" s="170" t="s">
        <v>714</v>
      </c>
      <c r="L11" s="100" t="s">
        <v>516</v>
      </c>
      <c r="M11" s="101"/>
      <c r="N11" s="102"/>
      <c r="O11" s="174">
        <f>COUNTIF($B$6:$B$22,B15)</f>
        <v>8</v>
      </c>
      <c r="Q11" s="103" t="s">
        <v>517</v>
      </c>
      <c r="R11" s="103"/>
      <c r="S11" s="103"/>
    </row>
    <row r="12" spans="2:21" ht="15" thickBot="1" x14ac:dyDescent="0.35">
      <c r="B12" s="65">
        <v>2</v>
      </c>
      <c r="C12" s="66">
        <v>1020</v>
      </c>
      <c r="D12" s="67">
        <v>40606</v>
      </c>
      <c r="E12" s="66">
        <v>455</v>
      </c>
      <c r="F12" s="171">
        <v>2500000</v>
      </c>
      <c r="G12" s="66">
        <v>4020</v>
      </c>
      <c r="H12" s="68" t="s">
        <v>515</v>
      </c>
      <c r="I12" s="66">
        <v>1</v>
      </c>
      <c r="J12" s="63"/>
      <c r="K12" s="170" t="s">
        <v>714</v>
      </c>
      <c r="L12" s="100" t="s">
        <v>518</v>
      </c>
      <c r="M12" s="101"/>
      <c r="N12" s="102"/>
      <c r="O12" s="174">
        <f>COUNTIF($G$6:$G$22,G9)</f>
        <v>2</v>
      </c>
      <c r="Q12" s="103"/>
      <c r="R12" s="103"/>
      <c r="S12" s="103"/>
    </row>
    <row r="13" spans="2:21" ht="15" thickBot="1" x14ac:dyDescent="0.35">
      <c r="B13" s="65">
        <v>2</v>
      </c>
      <c r="C13" s="66">
        <v>1040</v>
      </c>
      <c r="D13" s="67">
        <v>40607</v>
      </c>
      <c r="E13" s="66">
        <v>457</v>
      </c>
      <c r="F13" s="171">
        <v>7200000</v>
      </c>
      <c r="G13" s="66">
        <v>4060</v>
      </c>
      <c r="H13" s="68" t="s">
        <v>519</v>
      </c>
      <c r="I13" s="66">
        <v>2</v>
      </c>
      <c r="J13" s="63"/>
      <c r="K13" s="170" t="s">
        <v>714</v>
      </c>
      <c r="L13" s="100" t="s">
        <v>520</v>
      </c>
      <c r="M13" s="101"/>
      <c r="N13" s="102"/>
      <c r="O13" s="174">
        <f>COUNTIF($C$6:$C$22,1040)</f>
        <v>3</v>
      </c>
      <c r="Q13" s="103"/>
      <c r="R13" s="103"/>
      <c r="S13" s="103"/>
    </row>
    <row r="14" spans="2:21" ht="15" thickBot="1" x14ac:dyDescent="0.35">
      <c r="B14" s="65">
        <v>2</v>
      </c>
      <c r="C14" s="66">
        <v>1040</v>
      </c>
      <c r="D14" s="67">
        <v>40603</v>
      </c>
      <c r="E14" s="66">
        <v>463</v>
      </c>
      <c r="F14" s="171">
        <v>3800000</v>
      </c>
      <c r="G14" s="66">
        <v>4090</v>
      </c>
      <c r="H14" s="68" t="s">
        <v>521</v>
      </c>
      <c r="I14" s="66">
        <v>3</v>
      </c>
      <c r="J14" s="63"/>
      <c r="K14" s="170" t="s">
        <v>714</v>
      </c>
      <c r="L14" s="100" t="s">
        <v>522</v>
      </c>
      <c r="M14" s="101"/>
      <c r="N14" s="102"/>
      <c r="O14" s="174">
        <f>COUNTIF($D$6:$D$22,D6)</f>
        <v>3</v>
      </c>
      <c r="Q14" s="103"/>
      <c r="R14" s="103"/>
      <c r="S14" s="103"/>
    </row>
    <row r="15" spans="2:21" ht="15" thickBot="1" x14ac:dyDescent="0.35">
      <c r="B15" s="65">
        <v>3</v>
      </c>
      <c r="C15" s="66">
        <v>1030</v>
      </c>
      <c r="D15" s="67">
        <v>40604</v>
      </c>
      <c r="E15" s="66">
        <v>452</v>
      </c>
      <c r="F15" s="171">
        <v>6500000</v>
      </c>
      <c r="G15" s="66">
        <v>4030</v>
      </c>
      <c r="H15" s="68" t="s">
        <v>523</v>
      </c>
      <c r="I15" s="66">
        <v>2</v>
      </c>
      <c r="J15" s="63"/>
      <c r="K15" s="170" t="s">
        <v>713</v>
      </c>
      <c r="L15" s="100" t="s">
        <v>524</v>
      </c>
      <c r="M15" s="101"/>
      <c r="N15" s="102"/>
      <c r="O15" s="173">
        <f>SUMIF($B$6:$B$22,B12,$F$6:$F$22)</f>
        <v>14700000</v>
      </c>
      <c r="Q15" s="103"/>
      <c r="R15" s="103"/>
      <c r="S15" s="103"/>
    </row>
    <row r="16" spans="2:21" ht="15" thickBot="1" x14ac:dyDescent="0.35">
      <c r="B16" s="65">
        <v>3</v>
      </c>
      <c r="C16" s="66">
        <v>1030</v>
      </c>
      <c r="D16" s="67">
        <v>40606</v>
      </c>
      <c r="E16" s="66">
        <v>456</v>
      </c>
      <c r="F16" s="171">
        <v>7250000</v>
      </c>
      <c r="G16" s="66">
        <v>4080</v>
      </c>
      <c r="H16" s="68" t="s">
        <v>525</v>
      </c>
      <c r="I16" s="66">
        <v>3</v>
      </c>
      <c r="J16" s="63"/>
      <c r="K16" s="170" t="s">
        <v>713</v>
      </c>
      <c r="L16" s="100" t="s">
        <v>526</v>
      </c>
      <c r="M16" s="101"/>
      <c r="N16" s="102"/>
      <c r="O16" s="173">
        <f>SUMIF($G$6:$G$22,4010,$F$6:$F$22)</f>
        <v>15790000</v>
      </c>
      <c r="Q16" s="103"/>
      <c r="R16" s="103"/>
      <c r="S16" s="103"/>
    </row>
    <row r="17" spans="2:19" ht="15" thickBot="1" x14ac:dyDescent="0.35">
      <c r="B17" s="65">
        <v>3</v>
      </c>
      <c r="C17" s="66">
        <v>1010</v>
      </c>
      <c r="D17" s="67">
        <v>40604</v>
      </c>
      <c r="E17" s="66">
        <v>458</v>
      </c>
      <c r="F17" s="171">
        <v>5500000</v>
      </c>
      <c r="G17" s="66">
        <v>4030</v>
      </c>
      <c r="H17" s="68" t="s">
        <v>523</v>
      </c>
      <c r="I17" s="66">
        <v>1</v>
      </c>
      <c r="J17" s="63"/>
      <c r="K17" s="170" t="s">
        <v>713</v>
      </c>
      <c r="L17" s="100" t="s">
        <v>527</v>
      </c>
      <c r="M17" s="101"/>
      <c r="N17" s="102"/>
      <c r="O17" s="173">
        <f>SUMIF($D$6:$D$22,"03/03/2011",$F$6:$F$22)</f>
        <v>21335500</v>
      </c>
      <c r="Q17" s="103"/>
      <c r="R17" s="103"/>
      <c r="S17" s="103"/>
    </row>
    <row r="18" spans="2:19" ht="15" thickBot="1" x14ac:dyDescent="0.35">
      <c r="B18" s="65">
        <v>3</v>
      </c>
      <c r="C18" s="66">
        <v>1030</v>
      </c>
      <c r="D18" s="67">
        <v>40605</v>
      </c>
      <c r="E18" s="66">
        <v>460</v>
      </c>
      <c r="F18" s="171">
        <v>6790000</v>
      </c>
      <c r="G18" s="66">
        <v>4010</v>
      </c>
      <c r="H18" s="68" t="s">
        <v>507</v>
      </c>
      <c r="I18" s="66">
        <v>3</v>
      </c>
      <c r="J18" s="63"/>
      <c r="K18" s="170" t="s">
        <v>712</v>
      </c>
      <c r="L18" s="100" t="s">
        <v>528</v>
      </c>
      <c r="M18" s="101"/>
      <c r="N18" s="102"/>
      <c r="O18" s="172">
        <f>SUM($F$6:$F$22)</f>
        <v>65515500</v>
      </c>
      <c r="Q18" s="103"/>
      <c r="R18" s="103"/>
      <c r="S18" s="103"/>
    </row>
    <row r="19" spans="2:19" ht="15" thickBot="1" x14ac:dyDescent="0.35">
      <c r="B19" s="65">
        <v>3</v>
      </c>
      <c r="C19" s="66">
        <v>1050</v>
      </c>
      <c r="D19" s="67">
        <v>40605</v>
      </c>
      <c r="E19" s="66">
        <v>461</v>
      </c>
      <c r="F19" s="171">
        <v>1260000</v>
      </c>
      <c r="G19" s="66">
        <v>4020</v>
      </c>
      <c r="H19" s="68" t="s">
        <v>515</v>
      </c>
      <c r="I19" s="66">
        <v>2</v>
      </c>
      <c r="J19" s="63"/>
      <c r="K19" s="170" t="s">
        <v>715</v>
      </c>
      <c r="L19" s="100" t="s">
        <v>529</v>
      </c>
      <c r="M19" s="101"/>
      <c r="N19" s="102"/>
      <c r="O19" s="172">
        <f>AVERAGE($F$6:$F$22)</f>
        <v>3853852.9411764704</v>
      </c>
      <c r="Q19" s="103"/>
      <c r="R19" s="103"/>
      <c r="S19" s="103"/>
    </row>
    <row r="20" spans="2:19" ht="15" thickBot="1" x14ac:dyDescent="0.35">
      <c r="B20" s="65">
        <v>3</v>
      </c>
      <c r="C20" s="66">
        <v>1070</v>
      </c>
      <c r="D20" s="67">
        <v>40605</v>
      </c>
      <c r="E20" s="66">
        <v>465</v>
      </c>
      <c r="F20" s="171">
        <v>2500000</v>
      </c>
      <c r="G20" s="66">
        <v>4030</v>
      </c>
      <c r="H20" s="68" t="s">
        <v>523</v>
      </c>
      <c r="I20" s="66">
        <v>1</v>
      </c>
      <c r="J20" s="63"/>
      <c r="K20" s="170" t="s">
        <v>716</v>
      </c>
      <c r="L20" s="100" t="s">
        <v>530</v>
      </c>
      <c r="M20" s="101"/>
      <c r="N20" s="102"/>
      <c r="O20" s="173">
        <f>AVERAGEIF($B$6:$B$22,B6,$F$6:$F$22)</f>
        <v>3646000</v>
      </c>
      <c r="Q20" s="103"/>
      <c r="R20" s="103"/>
      <c r="S20" s="103"/>
    </row>
    <row r="21" spans="2:19" ht="15" thickBot="1" x14ac:dyDescent="0.35">
      <c r="B21" s="65">
        <v>3</v>
      </c>
      <c r="C21" s="66">
        <v>1090</v>
      </c>
      <c r="D21" s="67">
        <v>40605</v>
      </c>
      <c r="E21" s="66">
        <v>466</v>
      </c>
      <c r="F21" s="171">
        <v>1250500</v>
      </c>
      <c r="G21" s="66">
        <v>4050</v>
      </c>
      <c r="H21" s="68" t="s">
        <v>510</v>
      </c>
      <c r="I21" s="66">
        <v>2</v>
      </c>
      <c r="J21" s="63"/>
      <c r="K21" s="170" t="s">
        <v>716</v>
      </c>
      <c r="L21" s="100" t="s">
        <v>531</v>
      </c>
      <c r="M21" s="101"/>
      <c r="N21" s="102"/>
      <c r="O21" s="173">
        <f>AVERAGEIF($B$6:$B$22,B11,$F$6:$F$22)</f>
        <v>3675000</v>
      </c>
      <c r="Q21" s="103"/>
      <c r="R21" s="103"/>
      <c r="S21" s="103"/>
    </row>
    <row r="22" spans="2:19" ht="15" thickBot="1" x14ac:dyDescent="0.35">
      <c r="B22" s="65">
        <v>3</v>
      </c>
      <c r="C22" s="66">
        <v>1110</v>
      </c>
      <c r="D22" s="67">
        <v>40605</v>
      </c>
      <c r="E22" s="66">
        <v>464</v>
      </c>
      <c r="F22" s="171">
        <v>1535000</v>
      </c>
      <c r="G22" s="66">
        <v>4060</v>
      </c>
      <c r="H22" s="68" t="s">
        <v>519</v>
      </c>
      <c r="I22" s="66">
        <v>3</v>
      </c>
      <c r="J22" s="63"/>
      <c r="K22" s="170" t="s">
        <v>716</v>
      </c>
      <c r="L22" s="100" t="s">
        <v>532</v>
      </c>
      <c r="M22" s="101"/>
      <c r="N22" s="102"/>
      <c r="O22" s="173">
        <f>AVERAGEIF($B$6:$B$22,B15,$F$6:$F$22)</f>
        <v>4073187.5</v>
      </c>
      <c r="Q22" s="103"/>
      <c r="R22" s="103"/>
      <c r="S22" s="103"/>
    </row>
    <row r="23" spans="2:19" ht="29.4" thickBot="1" x14ac:dyDescent="0.35">
      <c r="B23" s="61" t="s">
        <v>497</v>
      </c>
      <c r="C23" s="62" t="s">
        <v>202</v>
      </c>
      <c r="D23" s="62" t="s">
        <v>498</v>
      </c>
      <c r="E23" s="62" t="s">
        <v>499</v>
      </c>
      <c r="F23" s="62" t="s">
        <v>500</v>
      </c>
      <c r="G23" s="62" t="s">
        <v>501</v>
      </c>
      <c r="H23" s="62" t="s">
        <v>0</v>
      </c>
      <c r="I23" s="62" t="s">
        <v>502</v>
      </c>
      <c r="J23" s="63"/>
      <c r="K23" s="177" t="s">
        <v>717</v>
      </c>
      <c r="L23" s="104" t="s">
        <v>533</v>
      </c>
      <c r="M23" s="105"/>
      <c r="N23" s="106"/>
      <c r="O23" s="176">
        <f>_xlfn.MAXIFS($F$6:$F$22,$B$6:$B$22,3)</f>
        <v>7250000</v>
      </c>
      <c r="Q23" s="103"/>
      <c r="R23" s="103"/>
      <c r="S23" s="103"/>
    </row>
    <row r="24" spans="2:19" ht="15" thickBot="1" x14ac:dyDescent="0.35">
      <c r="B24" s="70"/>
      <c r="C24" s="70"/>
      <c r="D24" s="70"/>
      <c r="E24" s="70"/>
      <c r="F24" s="70"/>
      <c r="G24" s="70"/>
      <c r="H24" s="70"/>
      <c r="I24" s="70"/>
      <c r="J24" s="63"/>
      <c r="K24" s="177" t="s">
        <v>718</v>
      </c>
      <c r="L24" s="104" t="s">
        <v>534</v>
      </c>
      <c r="M24" s="105"/>
      <c r="N24" s="106"/>
      <c r="O24" s="176">
        <f>_xlfn.MINIFS($F$6:$F$22,$B$6:$B$22,1)</f>
        <v>1000000</v>
      </c>
    </row>
    <row r="25" spans="2:19" ht="15" thickBot="1" x14ac:dyDescent="0.35">
      <c r="B25" s="70"/>
      <c r="C25" s="60"/>
      <c r="D25" s="60"/>
      <c r="E25" s="60"/>
      <c r="F25" s="70"/>
      <c r="G25" s="60"/>
      <c r="H25" s="60"/>
      <c r="I25" s="60"/>
      <c r="J25" s="63"/>
      <c r="K25" s="177" t="s">
        <v>717</v>
      </c>
      <c r="L25" s="100" t="s">
        <v>535</v>
      </c>
      <c r="M25" s="101"/>
      <c r="N25" s="102"/>
      <c r="O25" s="173">
        <f>_xlfn.MAXIFS($F$6:$F$22,$F$6:$F$22,"&gt;2000000",$H$6:$H$22,H11)</f>
        <v>2500000</v>
      </c>
    </row>
    <row r="26" spans="2:19" ht="15" thickBot="1" x14ac:dyDescent="0.35">
      <c r="B26" s="60"/>
      <c r="C26" s="71"/>
      <c r="D26" s="66"/>
      <c r="E26" s="72"/>
      <c r="F26" s="60"/>
      <c r="G26" s="60"/>
      <c r="H26" s="60"/>
      <c r="I26" s="60"/>
      <c r="J26" s="63"/>
      <c r="K26" s="69"/>
      <c r="L26" s="114" t="s">
        <v>536</v>
      </c>
      <c r="M26" s="101"/>
      <c r="N26" s="102"/>
      <c r="O26" s="173">
        <f>_xlfn.MAXIFS($F$6:$F$22,$F$6:$F$22,"&lt;5000000",$I$6:$I$22,2)</f>
        <v>1260000</v>
      </c>
    </row>
    <row r="28" spans="2:19" x14ac:dyDescent="0.3">
      <c r="E28" s="73"/>
    </row>
  </sheetData>
  <mergeCells count="26">
    <mergeCell ref="L24:N24"/>
    <mergeCell ref="L25:N25"/>
    <mergeCell ref="L26:N26"/>
    <mergeCell ref="L10:N10"/>
    <mergeCell ref="L11:N11"/>
    <mergeCell ref="L21:N21"/>
    <mergeCell ref="L12:N12"/>
    <mergeCell ref="L13:N13"/>
    <mergeCell ref="L14:N14"/>
    <mergeCell ref="L15:N15"/>
    <mergeCell ref="L16:N16"/>
    <mergeCell ref="L17:N17"/>
    <mergeCell ref="L18:N18"/>
    <mergeCell ref="B4:I4"/>
    <mergeCell ref="K4:O4"/>
    <mergeCell ref="L5:N5"/>
    <mergeCell ref="L6:N6"/>
    <mergeCell ref="L7:N7"/>
    <mergeCell ref="Q5:U8"/>
    <mergeCell ref="L8:N8"/>
    <mergeCell ref="L9:N9"/>
    <mergeCell ref="L19:N19"/>
    <mergeCell ref="L20:N20"/>
    <mergeCell ref="Q11:S23"/>
    <mergeCell ref="L22:N22"/>
    <mergeCell ref="L23:N2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6e9ad84-96ad-442c-832c-6f02f6d96502" xsi:nil="true"/>
    <lcf76f155ced4ddcb4097134ff3c332f xmlns="30c3531d-a82c-4fe4-a671-65285a98242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90326F80146249B9CEFD6721322BE8" ma:contentTypeVersion="15" ma:contentTypeDescription="Create a new document." ma:contentTypeScope="" ma:versionID="a20eceacb715b9c77054a48d3f624110">
  <xsd:schema xmlns:xsd="http://www.w3.org/2001/XMLSchema" xmlns:xs="http://www.w3.org/2001/XMLSchema" xmlns:p="http://schemas.microsoft.com/office/2006/metadata/properties" xmlns:ns2="30c3531d-a82c-4fe4-a671-65285a982429" xmlns:ns3="d6e9ad84-96ad-442c-832c-6f02f6d96502" targetNamespace="http://schemas.microsoft.com/office/2006/metadata/properties" ma:root="true" ma:fieldsID="c56ca509b7bb9e1e54452623b01b852d" ns2:_="" ns3:_="">
    <xsd:import namespace="30c3531d-a82c-4fe4-a671-65285a982429"/>
    <xsd:import namespace="d6e9ad84-96ad-442c-832c-6f02f6d965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c3531d-a82c-4fe4-a671-65285a9824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e9ad84-96ad-442c-832c-6f02f6d9650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ecb02a40-df1c-4b9e-bb3f-43706273198f}" ma:internalName="TaxCatchAll" ma:showField="CatchAllData" ma:web="d6e9ad84-96ad-442c-832c-6f02f6d965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79C12E-BA86-46F5-9444-DD1EA07E3D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264AB3-4473-4459-A155-5BF113E6F022}">
  <ds:schemaRefs>
    <ds:schemaRef ds:uri="http://schemas.microsoft.com/office/2006/metadata/properties"/>
    <ds:schemaRef ds:uri="http://schemas.microsoft.com/office/infopath/2007/PartnerControls"/>
    <ds:schemaRef ds:uri="d6e9ad84-96ad-442c-832c-6f02f6d96502"/>
    <ds:schemaRef ds:uri="30c3531d-a82c-4fe4-a671-65285a982429"/>
  </ds:schemaRefs>
</ds:datastoreItem>
</file>

<file path=customXml/itemProps3.xml><?xml version="1.0" encoding="utf-8"?>
<ds:datastoreItem xmlns:ds="http://schemas.openxmlformats.org/officeDocument/2006/customXml" ds:itemID="{B85765A9-A905-4EB4-B7E8-FB946CE3C1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c3531d-a82c-4fe4-a671-65285a982429"/>
    <ds:schemaRef ds:uri="d6e9ad84-96ad-442c-832c-6f02f6d965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anclar datos y porcentajes</vt:lpstr>
      <vt:lpstr>Suma si y suma conjunto</vt:lpstr>
      <vt:lpstr>F1</vt:lpstr>
      <vt:lpstr>contar, contar si</vt:lpstr>
      <vt:lpstr>FUSIÓN 1</vt:lpstr>
      <vt:lpstr>FUSION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Fragata</dc:creator>
  <cp:keywords/>
  <dc:description/>
  <cp:lastModifiedBy>HARBEY EMIR CELY MENDOZA</cp:lastModifiedBy>
  <cp:revision/>
  <dcterms:created xsi:type="dcterms:W3CDTF">2022-03-18T15:24:59Z</dcterms:created>
  <dcterms:modified xsi:type="dcterms:W3CDTF">2026-08-22T15:53:27Z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0x010100C190326F80146249B9CEFD6721322BE8</vt:lpwstr>
  </property>
</Properties>
</file>