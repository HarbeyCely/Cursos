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D29D45A4-FD55-45D0-A8C6-07B80F45EE6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blasDinamicas" sheetId="4" r:id="rId1"/>
    <sheet name="Dashboard" sheetId="5" r:id="rId2"/>
    <sheet name="Base de Datos" sheetId="1" r:id="rId3"/>
    <sheet name="Referencia" sheetId="3" r:id="rId4"/>
  </sheets>
  <definedNames>
    <definedName name="_xlchart.v5.0" hidden="1">TablasDinamicas!$N$21</definedName>
    <definedName name="_xlchart.v5.1" hidden="1">TablasDinamicas!$N$22:$N$31</definedName>
    <definedName name="_xlchart.v5.10" hidden="1">TablasDinamicas!$N$22:$N$31</definedName>
    <definedName name="_xlchart.v5.11" hidden="1">TablasDinamicas!$O$21</definedName>
    <definedName name="_xlchart.v5.12" hidden="1">TablasDinamicas!$O$22:$O$31</definedName>
    <definedName name="_xlchart.v5.2" hidden="1">TablasDinamicas!$O$20</definedName>
    <definedName name="_xlchart.v5.3" hidden="1">TablasDinamicas!$O$21</definedName>
    <definedName name="_xlchart.v5.4" hidden="1">TablasDinamicas!$O$22:$O$31</definedName>
    <definedName name="_xlchart.v5.5" hidden="1">TablasDinamicas!$N$21</definedName>
    <definedName name="_xlchart.v5.6" hidden="1">TablasDinamicas!$N$22:$N$31</definedName>
    <definedName name="_xlchart.v5.7" hidden="1">TablasDinamicas!$O$21</definedName>
    <definedName name="_xlchart.v5.8" hidden="1">TablasDinamicas!$O$22:$O$31</definedName>
    <definedName name="_xlchart.v5.9" hidden="1">TablasDinamicas!$N$21</definedName>
    <definedName name="NativeTimeline_Fecha_de_Orden">#N/A</definedName>
    <definedName name="SegmentaciónDeDatos_Categoría">#N/A</definedName>
    <definedName name="SegmentaciónDeDatos_Nombre_de_Cliente">#N/A</definedName>
    <definedName name="SegmentaciónDeDatos_Región">#N/A</definedName>
  </definedNames>
  <calcPr calcId="191029"/>
  <pivotCaches>
    <pivotCache cacheId="2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4" l="1"/>
  <c r="O30" i="4"/>
  <c r="O29" i="4"/>
  <c r="O28" i="4"/>
  <c r="O27" i="4"/>
  <c r="O26" i="4"/>
  <c r="O25" i="4"/>
  <c r="O24" i="4"/>
  <c r="O23" i="4"/>
  <c r="O22" i="4"/>
</calcChain>
</file>

<file path=xl/sharedStrings.xml><?xml version="1.0" encoding="utf-8"?>
<sst xmlns="http://schemas.openxmlformats.org/spreadsheetml/2006/main" count="2292" uniqueCount="690">
  <si>
    <t>Folio</t>
  </si>
  <si>
    <t>Fecha de Orden</t>
  </si>
  <si>
    <t>Núm. Cliente</t>
  </si>
  <si>
    <t>Nombre de Cliente</t>
  </si>
  <si>
    <t>Ciudad</t>
  </si>
  <si>
    <t>Departamento</t>
  </si>
  <si>
    <t>Vendedor</t>
  </si>
  <si>
    <t>Región</t>
  </si>
  <si>
    <t>Fecha de Entrega</t>
  </si>
  <si>
    <t>Transportadora</t>
  </si>
  <si>
    <t>Forma de Pago</t>
  </si>
  <si>
    <t>Nombre del Producto</t>
  </si>
  <si>
    <t>Categoría</t>
  </si>
  <si>
    <t>Precio Unitario</t>
  </si>
  <si>
    <t>Cantidad</t>
  </si>
  <si>
    <t>Ingreso Total</t>
  </si>
  <si>
    <t>FO-0001</t>
  </si>
  <si>
    <t>CL-0001</t>
  </si>
  <si>
    <t>Juan Valdez</t>
  </si>
  <si>
    <t>Barranquilla</t>
  </si>
  <si>
    <t>Risaralda</t>
  </si>
  <si>
    <t>V-719</t>
  </si>
  <si>
    <t>Sur</t>
  </si>
  <si>
    <t>Coordinadora</t>
  </si>
  <si>
    <t>Nequi</t>
  </si>
  <si>
    <t>Aceite</t>
  </si>
  <si>
    <t>Aceites</t>
  </si>
  <si>
    <t>FO-0002</t>
  </si>
  <si>
    <t>CL-0002</t>
  </si>
  <si>
    <t>Postobón</t>
  </si>
  <si>
    <t>Cartagena</t>
  </si>
  <si>
    <t>Santander</t>
  </si>
  <si>
    <t>V-221</t>
  </si>
  <si>
    <t>Este</t>
  </si>
  <si>
    <t>Envía</t>
  </si>
  <si>
    <t>Papa</t>
  </si>
  <si>
    <t>Verduras</t>
  </si>
  <si>
    <t>FO-0003</t>
  </si>
  <si>
    <t>CL-0003</t>
  </si>
  <si>
    <t>Sura</t>
  </si>
  <si>
    <t>Pereira</t>
  </si>
  <si>
    <t>Valle del Cauca</t>
  </si>
  <si>
    <t>V-638</t>
  </si>
  <si>
    <t>Norte</t>
  </si>
  <si>
    <t>Cheque</t>
  </si>
  <si>
    <t>Azúcar</t>
  </si>
  <si>
    <t>Dulces</t>
  </si>
  <si>
    <t>FO-0004</t>
  </si>
  <si>
    <t>CL-0004</t>
  </si>
  <si>
    <t>Bogotá</t>
  </si>
  <si>
    <t>Norte de Santander</t>
  </si>
  <si>
    <t>V-485</t>
  </si>
  <si>
    <t>Leche</t>
  </si>
  <si>
    <t>Lácteos</t>
  </si>
  <si>
    <t>FO-0005</t>
  </si>
  <si>
    <t>CL-0005</t>
  </si>
  <si>
    <t>Arturo Calle</t>
  </si>
  <si>
    <t>Bolívar</t>
  </si>
  <si>
    <t>V-295</t>
  </si>
  <si>
    <t>Deprisa</t>
  </si>
  <si>
    <t>Crédito</t>
  </si>
  <si>
    <t>Café</t>
  </si>
  <si>
    <t>Bebidas</t>
  </si>
  <si>
    <t>FO-0006</t>
  </si>
  <si>
    <t>CL-0006</t>
  </si>
  <si>
    <t>Medellín</t>
  </si>
  <si>
    <t>Caldas</t>
  </si>
  <si>
    <t>V-895</t>
  </si>
  <si>
    <t>Oeste</t>
  </si>
  <si>
    <t>Efectivo</t>
  </si>
  <si>
    <t>Frijoles</t>
  </si>
  <si>
    <t>Granos</t>
  </si>
  <si>
    <t>FO-0007</t>
  </si>
  <si>
    <t>CL-0007</t>
  </si>
  <si>
    <t>Bavaria</t>
  </si>
  <si>
    <t>Antioquia</t>
  </si>
  <si>
    <t>V-361</t>
  </si>
  <si>
    <t>Servientrega</t>
  </si>
  <si>
    <t>Pasta</t>
  </si>
  <si>
    <t>FO-0008</t>
  </si>
  <si>
    <t>CL-0008</t>
  </si>
  <si>
    <t>V-768</t>
  </si>
  <si>
    <t>FO-0009</t>
  </si>
  <si>
    <t>CL-0009</t>
  </si>
  <si>
    <t>Alpina</t>
  </si>
  <si>
    <t>Manizales</t>
  </si>
  <si>
    <t>V-778</t>
  </si>
  <si>
    <t>Pollo</t>
  </si>
  <si>
    <t>Carnes</t>
  </si>
  <si>
    <t>FO-0010</t>
  </si>
  <si>
    <t>CL-0010</t>
  </si>
  <si>
    <t>Nutresa</t>
  </si>
  <si>
    <t>V-994</t>
  </si>
  <si>
    <t>Sal</t>
  </si>
  <si>
    <t>Condimentos</t>
  </si>
  <si>
    <t>FO-0011</t>
  </si>
  <si>
    <t>CL-0011</t>
  </si>
  <si>
    <t>Cúcuta</t>
  </si>
  <si>
    <t>V-672</t>
  </si>
  <si>
    <t>FO-0012</t>
  </si>
  <si>
    <t>CL-0012</t>
  </si>
  <si>
    <t>V-288</t>
  </si>
  <si>
    <t>FO-0013</t>
  </si>
  <si>
    <t>CL-0013</t>
  </si>
  <si>
    <t>V-215</t>
  </si>
  <si>
    <t>FO-0014</t>
  </si>
  <si>
    <t>CL-0014</t>
  </si>
  <si>
    <t>Santa Marta</t>
  </si>
  <si>
    <t>Atlántico</t>
  </si>
  <si>
    <t>V-466</t>
  </si>
  <si>
    <t>Huevos</t>
  </si>
  <si>
    <t>Proteínas</t>
  </si>
  <si>
    <t>FO-0015</t>
  </si>
  <si>
    <t>CL-0015</t>
  </si>
  <si>
    <t>Cali</t>
  </si>
  <si>
    <t>V-801</t>
  </si>
  <si>
    <t>FO-0016</t>
  </si>
  <si>
    <t>CL-0016</t>
  </si>
  <si>
    <t>V-360</t>
  </si>
  <si>
    <t>FO-0017</t>
  </si>
  <si>
    <t>CL-0017</t>
  </si>
  <si>
    <t>V-592</t>
  </si>
  <si>
    <t>TCC</t>
  </si>
  <si>
    <t>FO-0018</t>
  </si>
  <si>
    <t>CL-0018</t>
  </si>
  <si>
    <t>V-598</t>
  </si>
  <si>
    <t>FO-0019</t>
  </si>
  <si>
    <t>CL-0019</t>
  </si>
  <si>
    <t>V-806</t>
  </si>
  <si>
    <t>Carne de res</t>
  </si>
  <si>
    <t>FO-0020</t>
  </si>
  <si>
    <t>CL-0020</t>
  </si>
  <si>
    <t>V-988</t>
  </si>
  <si>
    <t>FO-0021</t>
  </si>
  <si>
    <t>CL-0021</t>
  </si>
  <si>
    <t>V-863</t>
  </si>
  <si>
    <t>FO-0022</t>
  </si>
  <si>
    <t>CL-0022</t>
  </si>
  <si>
    <t>V-923</t>
  </si>
  <si>
    <t>Pan</t>
  </si>
  <si>
    <t>Panadería</t>
  </si>
  <si>
    <t>FO-0023</t>
  </si>
  <si>
    <t>CL-0023</t>
  </si>
  <si>
    <t>V-555</t>
  </si>
  <si>
    <t>FO-0024</t>
  </si>
  <si>
    <t>CL-0024</t>
  </si>
  <si>
    <t>V-375</t>
  </si>
  <si>
    <t>Arroz</t>
  </si>
  <si>
    <t>FO-0025</t>
  </si>
  <si>
    <t>CL-0025</t>
  </si>
  <si>
    <t>Cundinamarca</t>
  </si>
  <si>
    <t>V-580</t>
  </si>
  <si>
    <t>FO-0026</t>
  </si>
  <si>
    <t>CL-0026</t>
  </si>
  <si>
    <t>V-159</t>
  </si>
  <si>
    <t>FO-0027</t>
  </si>
  <si>
    <t>CL-0027</t>
  </si>
  <si>
    <t>Colombina</t>
  </si>
  <si>
    <t>V-769</t>
  </si>
  <si>
    <t>FO-0028</t>
  </si>
  <si>
    <t>CL-0028</t>
  </si>
  <si>
    <t>V-698</t>
  </si>
  <si>
    <t>FO-0029</t>
  </si>
  <si>
    <t>CL-0029</t>
  </si>
  <si>
    <t>Ramo</t>
  </si>
  <si>
    <t>V-223</t>
  </si>
  <si>
    <t>FO-0030</t>
  </si>
  <si>
    <t>CL-0030</t>
  </si>
  <si>
    <t>Magdalena</t>
  </si>
  <si>
    <t>V-114</t>
  </si>
  <si>
    <t>FO-0031</t>
  </si>
  <si>
    <t>CL-0031</t>
  </si>
  <si>
    <t>V-450</t>
  </si>
  <si>
    <t>FO-0032</t>
  </si>
  <si>
    <t>CL-0032</t>
  </si>
  <si>
    <t>V-289</t>
  </si>
  <si>
    <t>FO-0033</t>
  </si>
  <si>
    <t>CL-0033</t>
  </si>
  <si>
    <t>V-115</t>
  </si>
  <si>
    <t>FO-0034</t>
  </si>
  <si>
    <t>CL-0034</t>
  </si>
  <si>
    <t>V-496</t>
  </si>
  <si>
    <t>FO-0035</t>
  </si>
  <si>
    <t>CL-0035</t>
  </si>
  <si>
    <t>V-886</t>
  </si>
  <si>
    <t>FO-0036</t>
  </si>
  <si>
    <t>CL-0036</t>
  </si>
  <si>
    <t>V-217</t>
  </si>
  <si>
    <t>FO-0037</t>
  </si>
  <si>
    <t>CL-0037</t>
  </si>
  <si>
    <t>Grupo Éxito</t>
  </si>
  <si>
    <t>V-293</t>
  </si>
  <si>
    <t>FO-0038</t>
  </si>
  <si>
    <t>CL-0038</t>
  </si>
  <si>
    <t>V-543</t>
  </si>
  <si>
    <t>FO-0039</t>
  </si>
  <si>
    <t>CL-0039</t>
  </si>
  <si>
    <t>Bucaramanga</t>
  </si>
  <si>
    <t>V-613</t>
  </si>
  <si>
    <t>FO-0040</t>
  </si>
  <si>
    <t>CL-0040</t>
  </si>
  <si>
    <t>V-242</t>
  </si>
  <si>
    <t>FO-0041</t>
  </si>
  <si>
    <t>CL-0041</t>
  </si>
  <si>
    <t>FO-0042</t>
  </si>
  <si>
    <t>CL-0042</t>
  </si>
  <si>
    <t>V-872</t>
  </si>
  <si>
    <t>FO-0043</t>
  </si>
  <si>
    <t>CL-0043</t>
  </si>
  <si>
    <t>V-426</t>
  </si>
  <si>
    <t>Arepas</t>
  </si>
  <si>
    <t>FO-0044</t>
  </si>
  <si>
    <t>CL-0044</t>
  </si>
  <si>
    <t>V-811</t>
  </si>
  <si>
    <t>FO-0045</t>
  </si>
  <si>
    <t>CL-0045</t>
  </si>
  <si>
    <t>V-234</t>
  </si>
  <si>
    <t>FO-0046</t>
  </si>
  <si>
    <t>CL-0046</t>
  </si>
  <si>
    <t>V-655</t>
  </si>
  <si>
    <t>FO-0047</t>
  </si>
  <si>
    <t>CL-0047</t>
  </si>
  <si>
    <t>V-628</t>
  </si>
  <si>
    <t>FO-0048</t>
  </si>
  <si>
    <t>CL-0048</t>
  </si>
  <si>
    <t>V-489</t>
  </si>
  <si>
    <t>FO-0049</t>
  </si>
  <si>
    <t>CL-0049</t>
  </si>
  <si>
    <t>V-550</t>
  </si>
  <si>
    <t>FO-0050</t>
  </si>
  <si>
    <t>CL-0050</t>
  </si>
  <si>
    <t>V-230</t>
  </si>
  <si>
    <t>FO-0051</t>
  </si>
  <si>
    <t>CL-0051</t>
  </si>
  <si>
    <t>V-136</t>
  </si>
  <si>
    <t>FO-0052</t>
  </si>
  <si>
    <t>CL-0052</t>
  </si>
  <si>
    <t>V-888</t>
  </si>
  <si>
    <t>FO-0053</t>
  </si>
  <si>
    <t>CL-0053</t>
  </si>
  <si>
    <t>V-634</t>
  </si>
  <si>
    <t>FO-0054</t>
  </si>
  <si>
    <t>CL-0054</t>
  </si>
  <si>
    <t>V-889</t>
  </si>
  <si>
    <t>FO-0055</t>
  </si>
  <si>
    <t>CL-0055</t>
  </si>
  <si>
    <t>V-142</t>
  </si>
  <si>
    <t>FO-0056</t>
  </si>
  <si>
    <t>CL-0056</t>
  </si>
  <si>
    <t>V-274</t>
  </si>
  <si>
    <t>Tomate</t>
  </si>
  <si>
    <t>FO-0057</t>
  </si>
  <si>
    <t>CL-0057</t>
  </si>
  <si>
    <t>V-777</t>
  </si>
  <si>
    <t>FO-0058</t>
  </si>
  <si>
    <t>CL-0058</t>
  </si>
  <si>
    <t>V-921</t>
  </si>
  <si>
    <t>FO-0059</t>
  </si>
  <si>
    <t>CL-0059</t>
  </si>
  <si>
    <t>V-876</t>
  </si>
  <si>
    <t>FO-0060</t>
  </si>
  <si>
    <t>CL-0060</t>
  </si>
  <si>
    <t>V-843</t>
  </si>
  <si>
    <t>FO-0061</t>
  </si>
  <si>
    <t>CL-0061</t>
  </si>
  <si>
    <t>V-302</t>
  </si>
  <si>
    <t>FO-0062</t>
  </si>
  <si>
    <t>CL-0062</t>
  </si>
  <si>
    <t>V-984</t>
  </si>
  <si>
    <t>FO-0063</t>
  </si>
  <si>
    <t>CL-0063</t>
  </si>
  <si>
    <t>FO-0064</t>
  </si>
  <si>
    <t>CL-0064</t>
  </si>
  <si>
    <t>V-654</t>
  </si>
  <si>
    <t>FO-0065</t>
  </si>
  <si>
    <t>CL-0065</t>
  </si>
  <si>
    <t>V-488</t>
  </si>
  <si>
    <t>FO-0066</t>
  </si>
  <si>
    <t>CL-0066</t>
  </si>
  <si>
    <t>V-265</t>
  </si>
  <si>
    <t>FO-0067</t>
  </si>
  <si>
    <t>CL-0067</t>
  </si>
  <si>
    <t>V-693</t>
  </si>
  <si>
    <t>FO-0068</t>
  </si>
  <si>
    <t>CL-0068</t>
  </si>
  <si>
    <t>V-357</t>
  </si>
  <si>
    <t>FO-0069</t>
  </si>
  <si>
    <t>CL-0069</t>
  </si>
  <si>
    <t>V-728</t>
  </si>
  <si>
    <t>FO-0070</t>
  </si>
  <si>
    <t>CL-0070</t>
  </si>
  <si>
    <t>V-401</t>
  </si>
  <si>
    <t>FO-0071</t>
  </si>
  <si>
    <t>CL-0071</t>
  </si>
  <si>
    <t>V-212</t>
  </si>
  <si>
    <t>FO-0072</t>
  </si>
  <si>
    <t>CL-0072</t>
  </si>
  <si>
    <t>V-519</t>
  </si>
  <si>
    <t>FO-0073</t>
  </si>
  <si>
    <t>CL-0073</t>
  </si>
  <si>
    <t>V-705</t>
  </si>
  <si>
    <t>FO-0074</t>
  </si>
  <si>
    <t>CL-0074</t>
  </si>
  <si>
    <t>V-113</t>
  </si>
  <si>
    <t>FO-0075</t>
  </si>
  <si>
    <t>CL-0075</t>
  </si>
  <si>
    <t>V-331</t>
  </si>
  <si>
    <t>FO-0076</t>
  </si>
  <si>
    <t>CL-0076</t>
  </si>
  <si>
    <t>V-509</t>
  </si>
  <si>
    <t>FO-0077</t>
  </si>
  <si>
    <t>CL-0077</t>
  </si>
  <si>
    <t>V-399</t>
  </si>
  <si>
    <t>FO-0078</t>
  </si>
  <si>
    <t>CL-0078</t>
  </si>
  <si>
    <t>V-800</t>
  </si>
  <si>
    <t>FO-0079</t>
  </si>
  <si>
    <t>CL-0079</t>
  </si>
  <si>
    <t>V-933</t>
  </si>
  <si>
    <t>FO-0080</t>
  </si>
  <si>
    <t>CL-0080</t>
  </si>
  <si>
    <t>V-767</t>
  </si>
  <si>
    <t>FO-0081</t>
  </si>
  <si>
    <t>CL-0081</t>
  </si>
  <si>
    <t>FO-0082</t>
  </si>
  <si>
    <t>CL-0082</t>
  </si>
  <si>
    <t>V-220</t>
  </si>
  <si>
    <t>FO-0083</t>
  </si>
  <si>
    <t>CL-0083</t>
  </si>
  <si>
    <t>V-137</t>
  </si>
  <si>
    <t>FO-0084</t>
  </si>
  <si>
    <t>CL-0084</t>
  </si>
  <si>
    <t>V-257</t>
  </si>
  <si>
    <t>FO-0085</t>
  </si>
  <si>
    <t>CL-0085</t>
  </si>
  <si>
    <t>V-558</t>
  </si>
  <si>
    <t>FO-0086</t>
  </si>
  <si>
    <t>CL-0086</t>
  </si>
  <si>
    <t>FO-0087</t>
  </si>
  <si>
    <t>CL-0087</t>
  </si>
  <si>
    <t>V-689</t>
  </si>
  <si>
    <t>FO-0088</t>
  </si>
  <si>
    <t>CL-0088</t>
  </si>
  <si>
    <t>V-893</t>
  </si>
  <si>
    <t>FO-0089</t>
  </si>
  <si>
    <t>CL-0089</t>
  </si>
  <si>
    <t>V-476</t>
  </si>
  <si>
    <t>FO-0090</t>
  </si>
  <si>
    <t>CL-0090</t>
  </si>
  <si>
    <t>V-569</t>
  </si>
  <si>
    <t>FO-0091</t>
  </si>
  <si>
    <t>CL-0091</t>
  </si>
  <si>
    <t>V-105</t>
  </si>
  <si>
    <t>FO-0092</t>
  </si>
  <si>
    <t>CL-0092</t>
  </si>
  <si>
    <t>V-765</t>
  </si>
  <si>
    <t>FO-0093</t>
  </si>
  <si>
    <t>CL-0093</t>
  </si>
  <si>
    <t>V-307</t>
  </si>
  <si>
    <t>FO-0094</t>
  </si>
  <si>
    <t>CL-0094</t>
  </si>
  <si>
    <t>V-938</t>
  </si>
  <si>
    <t>FO-0095</t>
  </si>
  <si>
    <t>CL-0095</t>
  </si>
  <si>
    <t>V-467</t>
  </si>
  <si>
    <t>FO-0096</t>
  </si>
  <si>
    <t>CL-0096</t>
  </si>
  <si>
    <t>V-860</t>
  </si>
  <si>
    <t>FO-0097</t>
  </si>
  <si>
    <t>CL-0097</t>
  </si>
  <si>
    <t>V-741</t>
  </si>
  <si>
    <t>FO-0098</t>
  </si>
  <si>
    <t>CL-0098</t>
  </si>
  <si>
    <t>V-772</t>
  </si>
  <si>
    <t>FO-0099</t>
  </si>
  <si>
    <t>CL-0099</t>
  </si>
  <si>
    <t>V-677</t>
  </si>
  <si>
    <t>FO-0100</t>
  </si>
  <si>
    <t>CL-0100</t>
  </si>
  <si>
    <t>V-290</t>
  </si>
  <si>
    <t>FO-0101</t>
  </si>
  <si>
    <t>CL-0101</t>
  </si>
  <si>
    <t>V-662</t>
  </si>
  <si>
    <t>FO-0102</t>
  </si>
  <si>
    <t>CL-0102</t>
  </si>
  <si>
    <t>V-174</t>
  </si>
  <si>
    <t>FO-0103</t>
  </si>
  <si>
    <t>CL-0103</t>
  </si>
  <si>
    <t>V-939</t>
  </si>
  <si>
    <t>FO-0104</t>
  </si>
  <si>
    <t>CL-0104</t>
  </si>
  <si>
    <t>V-802</t>
  </si>
  <si>
    <t>FO-0105</t>
  </si>
  <si>
    <t>CL-0105</t>
  </si>
  <si>
    <t>V-203</t>
  </si>
  <si>
    <t>FO-0106</t>
  </si>
  <si>
    <t>CL-0106</t>
  </si>
  <si>
    <t>FO-0107</t>
  </si>
  <si>
    <t>CL-0107</t>
  </si>
  <si>
    <t>V-280</t>
  </si>
  <si>
    <t>FO-0108</t>
  </si>
  <si>
    <t>CL-0108</t>
  </si>
  <si>
    <t>V-352</t>
  </si>
  <si>
    <t>FO-0109</t>
  </si>
  <si>
    <t>CL-0109</t>
  </si>
  <si>
    <t>V-434</t>
  </si>
  <si>
    <t>FO-0110</t>
  </si>
  <si>
    <t>CL-0110</t>
  </si>
  <si>
    <t>V-315</t>
  </si>
  <si>
    <t>FO-0111</t>
  </si>
  <si>
    <t>CL-0111</t>
  </si>
  <si>
    <t>FO-0112</t>
  </si>
  <si>
    <t>CL-0112</t>
  </si>
  <si>
    <t>V-809</t>
  </si>
  <si>
    <t>FO-0113</t>
  </si>
  <si>
    <t>CL-0113</t>
  </si>
  <si>
    <t>V-471</t>
  </si>
  <si>
    <t>FO-0114</t>
  </si>
  <si>
    <t>CL-0114</t>
  </si>
  <si>
    <t>V-588</t>
  </si>
  <si>
    <t>FO-0115</t>
  </si>
  <si>
    <t>CL-0115</t>
  </si>
  <si>
    <t>V-678</t>
  </si>
  <si>
    <t>FO-0116</t>
  </si>
  <si>
    <t>CL-0116</t>
  </si>
  <si>
    <t>V-335</t>
  </si>
  <si>
    <t>FO-0117</t>
  </si>
  <si>
    <t>CL-0117</t>
  </si>
  <si>
    <t>V-185</t>
  </si>
  <si>
    <t>FO-0118</t>
  </si>
  <si>
    <t>CL-0118</t>
  </si>
  <si>
    <t>V-620</t>
  </si>
  <si>
    <t>FO-0119</t>
  </si>
  <si>
    <t>CL-0119</t>
  </si>
  <si>
    <t>V-587</t>
  </si>
  <si>
    <t>FO-0120</t>
  </si>
  <si>
    <t>CL-0120</t>
  </si>
  <si>
    <t>V-472</t>
  </si>
  <si>
    <t>FO-0121</t>
  </si>
  <si>
    <t>CL-0121</t>
  </si>
  <si>
    <t>V-339</t>
  </si>
  <si>
    <t>FO-0122</t>
  </si>
  <si>
    <t>CL-0122</t>
  </si>
  <si>
    <t>V-739</t>
  </si>
  <si>
    <t>FO-0123</t>
  </si>
  <si>
    <t>CL-0123</t>
  </si>
  <si>
    <t>V-722</t>
  </si>
  <si>
    <t>FO-0124</t>
  </si>
  <si>
    <t>CL-0124</t>
  </si>
  <si>
    <t>V-637</t>
  </si>
  <si>
    <t>FO-0125</t>
  </si>
  <si>
    <t>CL-0125</t>
  </si>
  <si>
    <t>FO-0126</t>
  </si>
  <si>
    <t>CL-0126</t>
  </si>
  <si>
    <t>V-297</t>
  </si>
  <si>
    <t>FO-0127</t>
  </si>
  <si>
    <t>CL-0127</t>
  </si>
  <si>
    <t>V-449</t>
  </si>
  <si>
    <t>FO-0128</t>
  </si>
  <si>
    <t>CL-0128</t>
  </si>
  <si>
    <t>V-878</t>
  </si>
  <si>
    <t>FO-0129</t>
  </si>
  <si>
    <t>CL-0129</t>
  </si>
  <si>
    <t>V-983</t>
  </si>
  <si>
    <t>FO-0130</t>
  </si>
  <si>
    <t>CL-0130</t>
  </si>
  <si>
    <t>V-173</t>
  </si>
  <si>
    <t>FO-0131</t>
  </si>
  <si>
    <t>CL-0131</t>
  </si>
  <si>
    <t>V-538</t>
  </si>
  <si>
    <t>FO-0132</t>
  </si>
  <si>
    <t>CL-0132</t>
  </si>
  <si>
    <t>V-679</t>
  </si>
  <si>
    <t>FO-0133</t>
  </si>
  <si>
    <t>CL-0133</t>
  </si>
  <si>
    <t>V-440</t>
  </si>
  <si>
    <t>FO-0134</t>
  </si>
  <si>
    <t>CL-0134</t>
  </si>
  <si>
    <t>V-107</t>
  </si>
  <si>
    <t>FO-0135</t>
  </si>
  <si>
    <t>CL-0135</t>
  </si>
  <si>
    <t>V-704</t>
  </si>
  <si>
    <t>FO-0136</t>
  </si>
  <si>
    <t>CL-0136</t>
  </si>
  <si>
    <t>FO-0137</t>
  </si>
  <si>
    <t>CL-0137</t>
  </si>
  <si>
    <t>V-607</t>
  </si>
  <si>
    <t>FO-0138</t>
  </si>
  <si>
    <t>CL-0138</t>
  </si>
  <si>
    <t>V-857</t>
  </si>
  <si>
    <t>FO-0139</t>
  </si>
  <si>
    <t>CL-0139</t>
  </si>
  <si>
    <t>V-626</t>
  </si>
  <si>
    <t>FO-0140</t>
  </si>
  <si>
    <t>CL-0140</t>
  </si>
  <si>
    <t>V-742</t>
  </si>
  <si>
    <t>FO-0141</t>
  </si>
  <si>
    <t>CL-0141</t>
  </si>
  <si>
    <t>V-978</t>
  </si>
  <si>
    <t>FO-0142</t>
  </si>
  <si>
    <t>CL-0142</t>
  </si>
  <si>
    <t>FO-0143</t>
  </si>
  <si>
    <t>CL-0143</t>
  </si>
  <si>
    <t>V-285</t>
  </si>
  <si>
    <t>FO-0144</t>
  </si>
  <si>
    <t>CL-0144</t>
  </si>
  <si>
    <t>V-701</t>
  </si>
  <si>
    <t>FO-0145</t>
  </si>
  <si>
    <t>CL-0145</t>
  </si>
  <si>
    <t>V-419</t>
  </si>
  <si>
    <t>FO-0146</t>
  </si>
  <si>
    <t>CL-0146</t>
  </si>
  <si>
    <t>V-673</t>
  </si>
  <si>
    <t>FO-0147</t>
  </si>
  <si>
    <t>CL-0147</t>
  </si>
  <si>
    <t>V-342</t>
  </si>
  <si>
    <t>FO-0148</t>
  </si>
  <si>
    <t>CL-0148</t>
  </si>
  <si>
    <t>V-623</t>
  </si>
  <si>
    <t>FO-0149</t>
  </si>
  <si>
    <t>CL-0149</t>
  </si>
  <si>
    <t>FO-0150</t>
  </si>
  <si>
    <t>CL-0150</t>
  </si>
  <si>
    <t>V-520</t>
  </si>
  <si>
    <t>FO-0151</t>
  </si>
  <si>
    <t>CL-0151</t>
  </si>
  <si>
    <t>V-261</t>
  </si>
  <si>
    <t>FO-0152</t>
  </si>
  <si>
    <t>CL-0152</t>
  </si>
  <si>
    <t>V-457</t>
  </si>
  <si>
    <t>FO-0153</t>
  </si>
  <si>
    <t>CL-0153</t>
  </si>
  <si>
    <t>V-170</t>
  </si>
  <si>
    <t>FO-0154</t>
  </si>
  <si>
    <t>CL-0154</t>
  </si>
  <si>
    <t>V-982</t>
  </si>
  <si>
    <t>FO-0155</t>
  </si>
  <si>
    <t>CL-0155</t>
  </si>
  <si>
    <t>V-284</t>
  </si>
  <si>
    <t>FO-0156</t>
  </si>
  <si>
    <t>CL-0156</t>
  </si>
  <si>
    <t>FO-0157</t>
  </si>
  <si>
    <t>CL-0157</t>
  </si>
  <si>
    <t>V-838</t>
  </si>
  <si>
    <t>FO-0158</t>
  </si>
  <si>
    <t>CL-0158</t>
  </si>
  <si>
    <t>V-323</t>
  </si>
  <si>
    <t>FO-0159</t>
  </si>
  <si>
    <t>CL-0159</t>
  </si>
  <si>
    <t>V-651</t>
  </si>
  <si>
    <t>FO-0160</t>
  </si>
  <si>
    <t>CL-0160</t>
  </si>
  <si>
    <t>V-616</t>
  </si>
  <si>
    <t>FO-0161</t>
  </si>
  <si>
    <t>CL-0161</t>
  </si>
  <si>
    <t>V-402</t>
  </si>
  <si>
    <t>FO-0162</t>
  </si>
  <si>
    <t>CL-0162</t>
  </si>
  <si>
    <t>V-826</t>
  </si>
  <si>
    <t>FO-0163</t>
  </si>
  <si>
    <t>CL-0163</t>
  </si>
  <si>
    <t>V-150</t>
  </si>
  <si>
    <t>FO-0164</t>
  </si>
  <si>
    <t>CL-0164</t>
  </si>
  <si>
    <t>V-603</t>
  </si>
  <si>
    <t>FO-0165</t>
  </si>
  <si>
    <t>CL-0165</t>
  </si>
  <si>
    <t>V-665</t>
  </si>
  <si>
    <t>FO-0166</t>
  </si>
  <si>
    <t>CL-0166</t>
  </si>
  <si>
    <t>FO-0167</t>
  </si>
  <si>
    <t>CL-0167</t>
  </si>
  <si>
    <t>V-681</t>
  </si>
  <si>
    <t>FO-0168</t>
  </si>
  <si>
    <t>CL-0168</t>
  </si>
  <si>
    <t>V-304</t>
  </si>
  <si>
    <t>FO-0169</t>
  </si>
  <si>
    <t>CL-0169</t>
  </si>
  <si>
    <t>V-641</t>
  </si>
  <si>
    <t>FO-0170</t>
  </si>
  <si>
    <t>CL-0170</t>
  </si>
  <si>
    <t>V-931</t>
  </si>
  <si>
    <t>FO-0171</t>
  </si>
  <si>
    <t>CL-0171</t>
  </si>
  <si>
    <t>V-313</t>
  </si>
  <si>
    <t>FO-0172</t>
  </si>
  <si>
    <t>CL-0172</t>
  </si>
  <si>
    <t>V-906</t>
  </si>
  <si>
    <t>FO-0173</t>
  </si>
  <si>
    <t>CL-0173</t>
  </si>
  <si>
    <t>V-952</t>
  </si>
  <si>
    <t>FO-0174</t>
  </si>
  <si>
    <t>CL-0174</t>
  </si>
  <si>
    <t>FO-0175</t>
  </si>
  <si>
    <t>CL-0175</t>
  </si>
  <si>
    <t>V-749</t>
  </si>
  <si>
    <t>FO-0176</t>
  </si>
  <si>
    <t>CL-0176</t>
  </si>
  <si>
    <t>V-243</t>
  </si>
  <si>
    <t>FO-0177</t>
  </si>
  <si>
    <t>CL-0177</t>
  </si>
  <si>
    <t>V-218</t>
  </si>
  <si>
    <t>FO-0178</t>
  </si>
  <si>
    <t>CL-0178</t>
  </si>
  <si>
    <t>V-130</t>
  </si>
  <si>
    <t>FO-0179</t>
  </si>
  <si>
    <t>CL-0179</t>
  </si>
  <si>
    <t>V-516</t>
  </si>
  <si>
    <t>FO-0180</t>
  </si>
  <si>
    <t>CL-0180</t>
  </si>
  <si>
    <t>FO-0181</t>
  </si>
  <si>
    <t>CL-0181</t>
  </si>
  <si>
    <t>V-713</t>
  </si>
  <si>
    <t>FO-0182</t>
  </si>
  <si>
    <t>CL-0182</t>
  </si>
  <si>
    <t>FO-0183</t>
  </si>
  <si>
    <t>CL-0183</t>
  </si>
  <si>
    <t>V-208</t>
  </si>
  <si>
    <t>FO-0184</t>
  </si>
  <si>
    <t>CL-0184</t>
  </si>
  <si>
    <t>V-928</t>
  </si>
  <si>
    <t>FO-0185</t>
  </si>
  <si>
    <t>CL-0185</t>
  </si>
  <si>
    <t>FO-0186</t>
  </si>
  <si>
    <t>CL-0186</t>
  </si>
  <si>
    <t>V-416</t>
  </si>
  <si>
    <t>FO-0187</t>
  </si>
  <si>
    <t>CL-0187</t>
  </si>
  <si>
    <t>V-836</t>
  </si>
  <si>
    <t>FO-0188</t>
  </si>
  <si>
    <t>CL-0188</t>
  </si>
  <si>
    <t>V-410</t>
  </si>
  <si>
    <t>FO-0189</t>
  </si>
  <si>
    <t>CL-0189</t>
  </si>
  <si>
    <t>V-414</t>
  </si>
  <si>
    <t>FO-0190</t>
  </si>
  <si>
    <t>CL-0190</t>
  </si>
  <si>
    <t>V-823</t>
  </si>
  <si>
    <t>FO-0191</t>
  </si>
  <si>
    <t>CL-0191</t>
  </si>
  <si>
    <t>V-214</t>
  </si>
  <si>
    <t>FO-0192</t>
  </si>
  <si>
    <t>CL-0192</t>
  </si>
  <si>
    <t>V-135</t>
  </si>
  <si>
    <t>FO-0193</t>
  </si>
  <si>
    <t>CL-0193</t>
  </si>
  <si>
    <t>V-565</t>
  </si>
  <si>
    <t>FO-0194</t>
  </si>
  <si>
    <t>CL-0194</t>
  </si>
  <si>
    <t>V-148</t>
  </si>
  <si>
    <t>FO-0195</t>
  </si>
  <si>
    <t>CL-0195</t>
  </si>
  <si>
    <t>FO-0196</t>
  </si>
  <si>
    <t>CL-0196</t>
  </si>
  <si>
    <t>V-716</t>
  </si>
  <si>
    <t>FO-0197</t>
  </si>
  <si>
    <t>CL-0197</t>
  </si>
  <si>
    <t>V-232</t>
  </si>
  <si>
    <t>FO-0198</t>
  </si>
  <si>
    <t>CL-0198</t>
  </si>
  <si>
    <t>V-418</t>
  </si>
  <si>
    <t>FO-0199</t>
  </si>
  <si>
    <t>CL-0199</t>
  </si>
  <si>
    <t>V-459</t>
  </si>
  <si>
    <t>FO-0200</t>
  </si>
  <si>
    <t>CL-0200</t>
  </si>
  <si>
    <t>V-899</t>
  </si>
  <si>
    <t>Cómo crear un DASHBOARD interactivo en Excel en menos de 10 min! - YouTube</t>
  </si>
  <si>
    <t>Video de apoyo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</si>
  <si>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</si>
  <si>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</si>
  <si>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</si>
  <si>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</si>
  <si>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</si>
  <si>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</si>
  <si>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</si>
  <si>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</si>
  <si>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</si>
  <si>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</si>
  <si>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</si>
  <si>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</si>
  <si>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</si>
  <si>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</si>
  <si>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Ingreso Total</t>
  </si>
  <si>
    <t>Ventas</t>
  </si>
  <si>
    <t>$0-$200k</t>
  </si>
  <si>
    <t>$200k-$400k</t>
  </si>
  <si>
    <t>$400k-$600k</t>
  </si>
  <si>
    <t>$600k-$800k</t>
  </si>
  <si>
    <t>$800k-$1M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</si>
</sst>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164" formatCode="dd/mm/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64" fontId="2" fillId="0" borderId="1"/>
    <xf numFmtId="165" fontId="2" fillId="0" borderId="1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1"/>
    <xf numFmtId="165" fontId="2" fillId="0" borderId="1" xfId="2"/>
    <xf numFmtId="0" fontId="3" fillId="0" borderId="0" xfId="3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0" fontId="0" fillId="2" borderId="0" xfId="0" applyFill="1"/>
    <xf numFmtId="44" fontId="0" fillId="0" borderId="0" xfId="0" applyNumberFormat="1" applyAlignment="1">
      <alignment horizontal="left"/>
    </xf>
  </cellXfs>
  <cellStyles count="4">
    <cellStyle name="currency_style" xfId="2" xr:uid="{00000000-0005-0000-0000-000002000000}"/>
    <cellStyle name="date_style" xfId="1" xr:uid="{00000000-0005-0000-0000-000001000000}"/>
    <cellStyle name="Hipervínculo" xfId="3" builtinId="8"/>
    <cellStyle name="Normal" xfId="0" builtinId="0"/>
  </cellStyles>
  <dxfs count="36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/>
        <sz val="11"/>
        <color theme="1"/>
      </font>
    </dxf>
    <dxf>
      <font>
        <b/>
        <i val="0"/>
        <sz val="14"/>
        <color theme="3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6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2" defaultTableStyle="TableStyleMedium9" defaultPivotStyle="PivotStyleLight16">
    <tableStyle name="Estilo de escala de tiempo 1" pivot="0" table="0" count="8" xr9:uid="{4AEB4B64-6585-4500-AF45-CF6929567AFC}">
      <tableStyleElement type="wholeTable" dxfId="4"/>
      <tableStyleElement type="headerRow" dxfId="3"/>
    </tableStyle>
    <tableStyle name="TimeSlicerStyleLight1 2" pivot="0" table="0" count="9" xr9:uid="{3421DACD-945B-42F8-A3B4-B15AA34AD9F4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7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  <x15:timelineStyle name="TimeSlicerStyleLight1 2">
          <x15:timelineStyleElements>
            <x15:timelineStyleElement type="selectionLabel" dxfId="24"/>
            <x15:timelineStyleElement type="timeLevel" dxfId="23"/>
            <x15:timelineStyleElement type="periodLabel1" dxfId="22"/>
            <x15:timelineStyleElement type="periodLabel2" dxfId="21"/>
            <x15:timelineStyleElement type="selectedTimeBlock" dxfId="20"/>
            <x15:timelineStyleElement type="unselectedTimeBlock" dxfId="19"/>
            <x15:timelineStyleElement type="selectedTimeBlockSpace" dxfId="18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TablasDinamicas!$B$4:$B$16</c:f>
              <c:numCache>
                <c:formatCode>"$"#,##0.00</c:formatCode>
                <c:ptCount val="12"/>
                <c:pt idx="0">
                  <c:v>2797513.34</c:v>
                </c:pt>
                <c:pt idx="1">
                  <c:v>8381581.1800000006</c:v>
                </c:pt>
                <c:pt idx="2">
                  <c:v>3514550.4999999995</c:v>
                </c:pt>
                <c:pt idx="3">
                  <c:v>2754211.55</c:v>
                </c:pt>
                <c:pt idx="4">
                  <c:v>4493635.45</c:v>
                </c:pt>
                <c:pt idx="5">
                  <c:v>5461420.9200000018</c:v>
                </c:pt>
                <c:pt idx="6">
                  <c:v>4325095.0699999994</c:v>
                </c:pt>
                <c:pt idx="7">
                  <c:v>4488616.9400000004</c:v>
                </c:pt>
                <c:pt idx="8">
                  <c:v>5304150.3499999996</c:v>
                </c:pt>
                <c:pt idx="9">
                  <c:v>4802823.7400000012</c:v>
                </c:pt>
                <c:pt idx="10">
                  <c:v>4232512.3099999987</c:v>
                </c:pt>
                <c:pt idx="11">
                  <c:v>3855755.7999999993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D-4570-8921-50685E7B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886448"/>
        <c:axId val="1843255472"/>
      </c:barChart>
      <c:catAx>
        <c:axId val="13578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5472"/>
        <c:crosses val="autoZero"/>
        <c:auto val="1"/>
        <c:lblAlgn val="ctr"/>
        <c:lblOffset val="100"/>
        <c:noMultiLvlLbl val="0"/>
      </c:catAx>
      <c:valAx>
        <c:axId val="18432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TablasDinamicas!$A$24:$A$34</c:f>
              <c:strCache>
                <c:ptCount val="10"/>
                <c:pt idx="0">
                  <c:v>Alpina</c:v>
                </c:pt>
                <c:pt idx="1">
                  <c:v>Arturo Calle</c:v>
                </c:pt>
                <c:pt idx="2">
                  <c:v>Bavaria</c:v>
                </c:pt>
                <c:pt idx="3">
                  <c:v>Colombina</c:v>
                </c:pt>
                <c:pt idx="4">
                  <c:v>Grupo Éxito</c:v>
                </c:pt>
                <c:pt idx="5">
                  <c:v>Juan Valdez</c:v>
                </c:pt>
                <c:pt idx="6">
                  <c:v>Nutresa</c:v>
                </c:pt>
                <c:pt idx="7">
                  <c:v>Postobón</c:v>
                </c:pt>
                <c:pt idx="8">
                  <c:v>Ramo</c:v>
                </c:pt>
                <c:pt idx="9">
                  <c:v>Sura</c:v>
                </c:pt>
              </c:strCache>
            </c:strRef>
          </c:cat>
          <c:val>
            <c:numRef>
              <c:f>TablasDinamicas!$B$24:$B$34</c:f>
              <c:numCache>
                <c:formatCode>"$"#,##0.00</c:formatCode>
                <c:ptCount val="10"/>
                <c:pt idx="0">
                  <c:v>5699234.709999999</c:v>
                </c:pt>
                <c:pt idx="1">
                  <c:v>5541509.0199999996</c:v>
                </c:pt>
                <c:pt idx="2">
                  <c:v>6344249.9699999988</c:v>
                </c:pt>
                <c:pt idx="3">
                  <c:v>4287070.3299999991</c:v>
                </c:pt>
                <c:pt idx="4">
                  <c:v>3028256.47</c:v>
                </c:pt>
                <c:pt idx="5">
                  <c:v>3656718.0099999993</c:v>
                </c:pt>
                <c:pt idx="6">
                  <c:v>6159174.330000001</c:v>
                </c:pt>
                <c:pt idx="7">
                  <c:v>7554489.25</c:v>
                </c:pt>
                <c:pt idx="8">
                  <c:v>7544931.830000001</c:v>
                </c:pt>
                <c:pt idx="9">
                  <c:v>4596233.2300000004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4EBE-8777-B321F975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890624"/>
        <c:axId val="1843194512"/>
      </c:barChart>
      <c:catAx>
        <c:axId val="135789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94512"/>
        <c:crosses val="autoZero"/>
        <c:auto val="1"/>
        <c:lblAlgn val="ctr"/>
        <c:lblOffset val="100"/>
        <c:noMultiLvlLbl val="0"/>
      </c:catAx>
      <c:valAx>
        <c:axId val="184319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TablasDinamicas!$K$4:$K$14</c:f>
              <c:strCache>
                <c:ptCount val="10"/>
                <c:pt idx="0">
                  <c:v>Aceites</c:v>
                </c:pt>
                <c:pt idx="1">
                  <c:v>Bebidas</c:v>
                </c:pt>
                <c:pt idx="2">
                  <c:v>Carnes</c:v>
                </c:pt>
                <c:pt idx="3">
                  <c:v>Condimentos</c:v>
                </c:pt>
                <c:pt idx="4">
                  <c:v>Dulces</c:v>
                </c:pt>
                <c:pt idx="5">
                  <c:v>Granos</c:v>
                </c:pt>
                <c:pt idx="6">
                  <c:v>Lácteos</c:v>
                </c:pt>
                <c:pt idx="7">
                  <c:v>Panadería</c:v>
                </c:pt>
                <c:pt idx="8">
                  <c:v>Proteínas</c:v>
                </c:pt>
                <c:pt idx="9">
                  <c:v>Verduras</c:v>
                </c:pt>
              </c:strCache>
            </c:strRef>
          </c:cat>
          <c:val>
            <c:numRef>
              <c:f>TablasDinamicas!$L$4:$L$14</c:f>
              <c:numCache>
                <c:formatCode>"$"#,##0.00</c:formatCode>
                <c:ptCount val="10"/>
                <c:pt idx="0">
                  <c:v>5052815.51</c:v>
                </c:pt>
                <c:pt idx="1">
                  <c:v>3948630.32</c:v>
                </c:pt>
                <c:pt idx="2">
                  <c:v>6852937.0300000003</c:v>
                </c:pt>
                <c:pt idx="3">
                  <c:v>3460611.0999999996</c:v>
                </c:pt>
                <c:pt idx="4">
                  <c:v>2376580.16</c:v>
                </c:pt>
                <c:pt idx="5">
                  <c:v>14135504.760000004</c:v>
                </c:pt>
                <c:pt idx="6">
                  <c:v>3049021.87</c:v>
                </c:pt>
                <c:pt idx="7">
                  <c:v>4087895.95</c:v>
                </c:pt>
                <c:pt idx="8">
                  <c:v>2110497.4199999995</c:v>
                </c:pt>
                <c:pt idx="9">
                  <c:v>9337373.0299999993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C-4D3B-BA52-5583EC5D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251536"/>
        <c:axId val="1843250192"/>
      </c:barChart>
      <c:catAx>
        <c:axId val="207825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0192"/>
        <c:crosses val="autoZero"/>
        <c:auto val="1"/>
        <c:lblAlgn val="ctr"/>
        <c:lblOffset val="100"/>
        <c:noMultiLvlLbl val="0"/>
      </c:catAx>
      <c:valAx>
        <c:axId val="184325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25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TablasDinamicas!$L$41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TablasDinamicas!$K$42:$K$47</c:f>
              <c:strCache>
                <c:ptCount val="5"/>
                <c:pt idx="0">
                  <c:v>$0-$200k</c:v>
                </c:pt>
                <c:pt idx="1">
                  <c:v>$200k-$400k</c:v>
                </c:pt>
                <c:pt idx="2">
                  <c:v>$400k-$600k</c:v>
                </c:pt>
                <c:pt idx="3">
                  <c:v>$600k-$800k</c:v>
                </c:pt>
                <c:pt idx="4">
                  <c:v>$800k-$1M</c:v>
                </c:pt>
              </c:strCache>
            </c:strRef>
          </c:cat>
          <c:val>
            <c:numRef>
              <c:f>TablasDinamicas!$L$42:$L$47</c:f>
              <c:numCache>
                <c:formatCode>"$"#,##0.00</c:formatCode>
                <c:ptCount val="5"/>
                <c:pt idx="0">
                  <c:v>8973848.1200000029</c:v>
                </c:pt>
                <c:pt idx="1">
                  <c:v>13481116.610000001</c:v>
                </c:pt>
                <c:pt idx="2">
                  <c:v>17073569.069999997</c:v>
                </c:pt>
                <c:pt idx="3">
                  <c:v>12321528.300000001</c:v>
                </c:pt>
                <c:pt idx="4">
                  <c:v>2561805.0499999998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3-483D-94FD-8D800030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totales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\'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\'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TablasDinamicas!$B$4:$B$16</c:f>
              <c:numCache>
                <c:formatCode>"$"#,##0.00</c:formatCode>
                <c:ptCount val="12"/>
                <c:pt idx="0">
                  <c:v>2797513.34</c:v>
                </c:pt>
                <c:pt idx="1">
                  <c:v>8381581.1800000006</c:v>
                </c:pt>
                <c:pt idx="2">
                  <c:v>3514550.4999999995</c:v>
                </c:pt>
                <c:pt idx="3">
                  <c:v>2754211.55</c:v>
                </c:pt>
                <c:pt idx="4">
                  <c:v>4493635.45</c:v>
                </c:pt>
                <c:pt idx="5">
                  <c:v>5461420.9200000018</c:v>
                </c:pt>
                <c:pt idx="6">
                  <c:v>4325095.0699999994</c:v>
                </c:pt>
                <c:pt idx="7">
                  <c:v>4488616.9400000004</c:v>
                </c:pt>
                <c:pt idx="8">
                  <c:v>5304150.3499999996</c:v>
                </c:pt>
                <c:pt idx="9">
                  <c:v>4802823.7400000012</c:v>
                </c:pt>
                <c:pt idx="10">
                  <c:v>4232512.3099999987</c:v>
                </c:pt>
                <c:pt idx="11">
                  <c:v>3855755.7999999993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E-4EC1-ABC2-3C4410D7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357886448"/>
        <c:axId val="1843255472"/>
      </c:barChart>
      <c:catAx>
        <c:axId val="13578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5472"/>
        <c:crosses val="autoZero"/>
        <c:auto val="1"/>
        <c:lblAlgn val="ctr"/>
        <c:lblOffset val="100"/>
        <c:noMultiLvlLbl val="0"/>
      </c:catAx>
      <c:valAx>
        <c:axId val="1843255472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3578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&quot;$&quot;#,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TablasDinamicas!$A$24:$A$34</c:f>
              <c:strCache>
                <c:ptCount val="10"/>
                <c:pt idx="0">
                  <c:v>Alpina</c:v>
                </c:pt>
                <c:pt idx="1">
                  <c:v>Arturo Calle</c:v>
                </c:pt>
                <c:pt idx="2">
                  <c:v>Bavaria</c:v>
                </c:pt>
                <c:pt idx="3">
                  <c:v>Colombina</c:v>
                </c:pt>
                <c:pt idx="4">
                  <c:v>Grupo Éxito</c:v>
                </c:pt>
                <c:pt idx="5">
                  <c:v>Juan Valdez</c:v>
                </c:pt>
                <c:pt idx="6">
                  <c:v>Nutresa</c:v>
                </c:pt>
                <c:pt idx="7">
                  <c:v>Postobón</c:v>
                </c:pt>
                <c:pt idx="8">
                  <c:v>Ramo</c:v>
                </c:pt>
                <c:pt idx="9">
                  <c:v>Sura</c:v>
                </c:pt>
              </c:strCache>
            </c:strRef>
          </c:cat>
          <c:val>
            <c:numRef>
              <c:f>TablasDinamicas!$B$24:$B$34</c:f>
              <c:numCache>
                <c:formatCode>"$"#,##0.00</c:formatCode>
                <c:ptCount val="10"/>
                <c:pt idx="0">
                  <c:v>5699234.709999999</c:v>
                </c:pt>
                <c:pt idx="1">
                  <c:v>5541509.0199999996</c:v>
                </c:pt>
                <c:pt idx="2">
                  <c:v>6344249.9699999988</c:v>
                </c:pt>
                <c:pt idx="3">
                  <c:v>4287070.3299999991</c:v>
                </c:pt>
                <c:pt idx="4">
                  <c:v>3028256.47</c:v>
                </c:pt>
                <c:pt idx="5">
                  <c:v>3656718.0099999993</c:v>
                </c:pt>
                <c:pt idx="6">
                  <c:v>6159174.330000001</c:v>
                </c:pt>
                <c:pt idx="7">
                  <c:v>7554489.25</c:v>
                </c:pt>
                <c:pt idx="8">
                  <c:v>7544931.830000001</c:v>
                </c:pt>
                <c:pt idx="9">
                  <c:v>4596233.2300000004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5-47DA-BE9B-E27414578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357890624"/>
        <c:axId val="1843194512"/>
      </c:barChart>
      <c:catAx>
        <c:axId val="135789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94512"/>
        <c:crosses val="autoZero"/>
        <c:auto val="1"/>
        <c:lblAlgn val="ctr"/>
        <c:lblOffset val="100"/>
        <c:noMultiLvlLbl val="0"/>
      </c:catAx>
      <c:valAx>
        <c:axId val="1843194512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35789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[Base_de_Datos_Ventas (2).xlsx]TablasDinamicas!TablaDinámica3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Ventas por categoría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\'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\'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TablasDinamicas!$K$4:$K$14</c:f>
              <c:strCache>
                <c:ptCount val="10"/>
                <c:pt idx="0">
                  <c:v>Aceites</c:v>
                </c:pt>
                <c:pt idx="1">
                  <c:v>Bebidas</c:v>
                </c:pt>
                <c:pt idx="2">
                  <c:v>Carnes</c:v>
                </c:pt>
                <c:pt idx="3">
                  <c:v>Condimentos</c:v>
                </c:pt>
                <c:pt idx="4">
                  <c:v>Dulces</c:v>
                </c:pt>
                <c:pt idx="5">
                  <c:v>Granos</c:v>
                </c:pt>
                <c:pt idx="6">
                  <c:v>Lácteos</c:v>
                </c:pt>
                <c:pt idx="7">
                  <c:v>Panadería</c:v>
                </c:pt>
                <c:pt idx="8">
                  <c:v>Proteínas</c:v>
                </c:pt>
                <c:pt idx="9">
                  <c:v>Verduras</c:v>
                </c:pt>
              </c:strCache>
            </c:strRef>
          </c:cat>
          <c:val>
            <c:numRef>
              <c:f>TablasDinamicas!$L$4:$L$14</c:f>
              <c:numCache>
                <c:formatCode>"$"#,##0.00</c:formatCode>
                <c:ptCount val="10"/>
                <c:pt idx="0">
                  <c:v>5052815.51</c:v>
                </c:pt>
                <c:pt idx="1">
                  <c:v>3948630.32</c:v>
                </c:pt>
                <c:pt idx="2">
                  <c:v>6852937.0300000003</c:v>
                </c:pt>
                <c:pt idx="3">
                  <c:v>3460611.0999999996</c:v>
                </c:pt>
                <c:pt idx="4">
                  <c:v>2376580.16</c:v>
                </c:pt>
                <c:pt idx="5">
                  <c:v>14135504.760000004</c:v>
                </c:pt>
                <c:pt idx="6">
                  <c:v>3049021.87</c:v>
                </c:pt>
                <c:pt idx="7">
                  <c:v>4087895.95</c:v>
                </c:pt>
                <c:pt idx="8">
                  <c:v>2110497.4199999995</c:v>
                </c:pt>
                <c:pt idx="9">
                  <c:v>9337373.0299999993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4D4-BEE9-5AE5524D7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078251536"/>
        <c:axId val="1843250192"/>
      </c:barChart>
      <c:catAx>
        <c:axId val="207825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0192"/>
        <c:crosses val="autoZero"/>
        <c:auto val="1"/>
        <c:lblAlgn val="ctr"/>
        <c:lblOffset val="100"/>
        <c:noMultiLvlLbl val="0"/>
      </c:catAx>
      <c:valAx>
        <c:axId val="1843250192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2078251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[Base_de_Datos_Ventas (2).xlsx]TablasDinamicas!TablaDinámica5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Ventas por Cantidad</a:t>
            </a:r>
          </a:p>
        </c:rich>
      </c:tx>
      <c:layout>
        <c:manualLayout>
          <c:xMode val="edge"/>
          <c:yMode val="edge"/>
          <c:x val="0.20773547578501295"/>
          <c:y val="0.10355029585798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7.1940428906044863E-3"/>
              <c:y val="-1.4665019770833084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TablasDinamicas!$L$41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89-41DF-BE96-74F4FED701E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89-41DF-BE96-74F4FED701E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89-41DF-BE96-74F4FED701E1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189-41DF-BE96-74F4FED701E1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189-41DF-BE96-74F4FED701E1}"/>
              </c:ext>
            </c:extLst>
          </c:dPt>
          <c:dLbls>
            <c:dLbl>
              <c:idx val="4"/>
              <c:layout>
                <c:manualLayout>
                  <c:x val="-7.1940428906044863E-3"/>
                  <c:y val="-1.46650197708330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89-41DF-BE96-74F4FED701E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TablasDinamicas!$K$42:$K$47</c:f>
              <c:strCache>
                <c:ptCount val="5"/>
                <c:pt idx="0">
                  <c:v>$0-$200k</c:v>
                </c:pt>
                <c:pt idx="1">
                  <c:v>$200k-$400k</c:v>
                </c:pt>
                <c:pt idx="2">
                  <c:v>$400k-$600k</c:v>
                </c:pt>
                <c:pt idx="3">
                  <c:v>$600k-$800k</c:v>
                </c:pt>
                <c:pt idx="4">
                  <c:v>$800k-$1M</c:v>
                </c:pt>
              </c:strCache>
            </c:strRef>
          </c:cat>
          <c:val>
            <c:numRef>
              <c:f>TablasDinamicas!$L$42:$L$47</c:f>
              <c:numCache>
                <c:formatCode>"$"#,##0.00</c:formatCode>
                <c:ptCount val="5"/>
                <c:pt idx="0">
                  <c:v>8973848.1200000029</c:v>
                </c:pt>
                <c:pt idx="1">
                  <c:v>13481116.610000001</c:v>
                </c:pt>
                <c:pt idx="2">
                  <c:v>17073569.069999997</c:v>
                </c:pt>
                <c:pt idx="3">
                  <c:v>12321528.300000001</c:v>
                </c:pt>
                <c:pt idx="4">
                  <c:v>2561805.0499999998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89-41DF-BE96-74F4FED7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00000000-7157-495D-9CEE-339B3970C962}">
          <cx:tx>
            <cx:txData>
              <cx:f>_xlchart.v5.3</cx:f>
              <cx:v>Ventas</cx:v>
            </cx:txData>
          </cx:tx>
          <cx:dataId val="0"/>
          <cx:layoutPr>
            <cx:geography cultureLanguage="es-ES" cultureRegion="CO" attribution="Con tecnología de Bing">
              <cx:geoCache provider="{E9337A44-BEBE-4D9F-B70C-5C5E7DAFC167}">
                <cx:binary>5Hvpbt24su6rBPl95SZFcdrYvYFDSWvwHDuJk/wRHA/USFISNb7NfYD7FOfFbjlDt+2kk27sfYDb
uAaCYC2K4lCs4vd9VeufN/M/buq76+7F3NSm/8fN/OvL3Hv3j19+6W/yu+a6P2iKm8729t4f3Njm
F3t/X9zc/XLbXU+F0b+ECEe/3OTXnb+bX/7rn/A2fWeP7c21L6x5Ndx1y8VdP9S+/0Hbd5teXN82
hUmK3nfFjce/vjy51rfX9Z25fvnizvjCL68Xd/fryyePvXzxy/OXfTPwixrm5odb6IvRARVIIM7k
yxe1NfrL9wGPDhATlFHC0ae/8Ougp9cNdPxTc/k0k+vb2+6u72E1n/5/0vXJ1J+03NjB+Iet07CL
v76MbW2bjwWsvOht/Lkttg8riM8+LfmXp/v+r38++wI24dk3j0zzfMd+1vSNZZSt//v/jNfd1z36
9w0jDwhjKOKCfd5+hL+xj0AhYYiSzw9A++dD8dk+f2ZG3zfP7z2fWef3hr+Xcf4LfMW2w8Ph+U+5
DT/4tOkCfOfzH3lmHXpAHxo4C+Xnv69jf7bOn5rS983zqOsz+zxq+XsZ6NRC7Hxxe/fi8tr4a3N7
9x/0I3EQRZjLMBJfDAFx7EmcIwcogmbOyecHxFNL/bW5fd9k33vHM9t975G/lxHjwdwW5rq57m7+
g45GDzCSjEr25Rb6ThhEUlLBvtoXHPFxGPyzs/q+4Z72fmayp41/L2P9l6//+39DWLyxX7fr37+x
AEow8KIojL69qiTHgoVc/hYsH9voz03m+xZ63PeZfR43/b2sE1/Xt9f9f84yFKAcExLx57Hv4ZZi
0IS+GIZ+HfPzLfXzeXzfKF/7PTPI16//Xsa4KPrr7sEgX/fm3/eU6EBgxmTEo2d3ET2AMEeQ5J/A
A0Jgr8eO8qem8n2TPOr6zCqPWv5ehvkfAAs/hXXkIHwwzR/Buj81pe8b6FHXZwZ61PL3MtDb67p+
gHX1i/h6+E+CAnLApIgQDdkXTPecu7IDStEDL8efH3gGCv7CxL5vrG9e8Mxk37T/v224P5zdY7r0
5KG/qDKAlgCGwEw+p0nhgURCYBJ94VHsacD7nfX/8Uy+b6Hfez6Z9/+8kPDHIsNvMkxy7a/TT/rN
I53hx62fFgmy0rOuP+Kzn3dsf/ug8WDEgOI8MtrDe55cLSd3/rcL7mmfu+ve//oy4PgAcR4hLgiT
OEIM7qbp7nNTdCAJkaGMIkKoJBxghAFKl//6ElpCioFZoQiFYYgZsKveDg9N+IAhHEYSuoYRQEMu
fxPPzm29aGt+25Ivn1+YoTm3hfH9ry9pCD7vPj/3MF9KBQYQEwJPkDwKiZAAQt3N9QUodPA4/l+z
L8aJa2kSlE90ioOoig5bkZWNGsvKLEr0fKhjPrjuSjg5uX1Peq4kztF9bgU7nkjtxuMxE875TaY7
f8R6os9nW8xXDfXlbe5ldoMivVzks+ycmvVcvG70whOTkaxLinIStaoG0R0zQ21Ch3LZW0KrRrkp
Ly9JMyNVzBHaDZKgQtGglZvGNN2VM3VzV659tJOwyB21uX0fGDafOTdVe1EGa0JENd6sDvWHAmXs
MmJdfRrYIEwKpLuzkNdyk7sw2Atql125kL5WIuwwVlpPy3Vhl+64HmX0rgrppKx3eaeKSLRp0XRr
3JXrGNOqLvYVLH+LQ5RdT5HWablM9kpiFyU04+zNTIchxWBWxXE5K8ai6GQwDbsgIl824yBksgZr
mDTZxK595vCG0LF6wxff7tkS2k1nG/u+WgqypqIV/LjuiuKiHKXd+WBZcjXQMM67PM0N/1hXZbMZ
+1Zviz6XaeHtReE7duiDMroUPnS18mhujzhd6BFt2mxfYCm6NOj6UkVF6PYO5ea4bl19Ia2dE8cC
y2MrFnpdoLHchSZ0ueqKudgK7esbJofqbYcWFw8ZjnbFsIxbj7KjyYR0u0xiuBVD/WA3433MfFsk
qK24ci21KojGJc06F10OcglPM9GZt1XjujjohupGuCo6ypuendU9LpKgzJodbZ1ok5Zbu8Frryu1
kMUXaqGDuI9GMY/xXNJcq6EqA6aMKa6GWW4lma9slPU3vJHoQ15op/yQeVX3ZZ3otejUDIcLdmKN
Lt00FXuP20Xp2k5UOVbVSW3z+Xy14wjNKGiUNlbc9wtdIjXna/EKya5OZqSHPhltyd7KnLn309i6
e+q7+aqVi09FiHm6iCXfRW1F9tqP3dsRKPo5bfsuTKasD064sOWruqqWV4v1aFC1n9tOaemRAjIS
6njtApsrhFyzHX3Ylike5HRGZ65P+eLM0TjrZifroEuCcYiYQg2rLrPMZPduFryNZxwuV60Y60XV
QRbu6pySD2Jua6uaQlQ71sjmjpPQxq7oTB43MqhoPPFsNAr1pDsR1phLoxefrPlaz7BJIzrFs2OJ
dUP1amk4qZTllOxqXOjbFbfRhkx5vsMm96dN6MWtmAXeVBrxIyEjTBSfURCDm/vbSJeEqI66tVBV
LbtCJt4GC+3P9IC63B1Sw/cN7Xm8dMxs4czydyOidFOGfupSrGcIIFVOJ5cGKxoS7MsxjqZ5fj8X
fXk/BYKkQVEOb/t2NENaWAghG0sb9tq1LpKqhUiNYjuMGYSpJi9jh0DKVAKieKNoXsrTaS36JVmx
zKxiqAwubM66bMsKl20CsobmVLZNkUZyGPota4rxTV73gyrWkVwi40OyCUISzaqei/lDHhQMxRhr
kRpE+uNs7Y7DyderCocC73BeslyteAiNivJBnKDS9Ju2IeiIzAE/ryaSu0TnxYyTponcfb2G0dEc
FuUxo5xscKDZe9OB4ymGM7oqF+ruvB1Rcz7iHKsGVXqMx3XO0imXwQfeuSml05yng+tvwka2qmjx
Xlq6F0LreG7HsodX4eoIAuHpXFaz8mx6l5fEnA1VsysqcT6uBY85W47lWqxHYyXtxmDf7FzpgvO5
5CS2SzR+CHsx+D1fRST26zINynRVL+Ou0LjYkWj0dw75bagdxzwuZjnxs5IV7QiHpcWqCngf7rJK
Bx8mHx15Ijama6TbPoTkTrUchzLmhNdruix8O1X6XAfdoadGjnELsvfHlkW8gSiRO61cNYwJKpti
E62LOerdDEFqGGR/MUbr+GZxhf7YZaV8Y8zsItXOBRYQulY/K8SDYWPhBEaxyWvzemp7KxWbPAQ8
TZruNJqCTZPR8bpapxGlgL1Xn3T5yFrlNOrOl7ywr4MO0y3xJFzV5LIhJlN75wYdXZilbiC0Z1hY
teaBLVU10ybfSF6yD0MQuONhXPp48j05gdwczCpv/NuynNBh0A/ifJBrU6VlNbFXdIIr3dOsv2DN
WKRzp7sjXYVNKldS7JdOm7e6bQJVhKbGSWlooNbRhUdFyMk+sk1B46Ds7WbQgdlFq/a5moxrE4gM
7LAJPNqyhYldOEY0tl0kIC766kz29bhlNChUK3tVUY1q5ZYm5oapyUZ9XFe9ystJzUSoUM4qmsf+
uPX6PCvcIVtwstLykBBbbqN1KtMmMMdt4dpdXzrbxbKOXNKKfrrKmec2NjXnAE7aMUont5Czzjd1
m5golMdmWkywnVqDXnVmncElabVsJ720s6oEbWy8rs1Yq7oIqpSjQMAXta9NEgZro6K+jd7lcrU7
Mw39qjq59H3i56EoITrY+tzj8GFH8EjamNiW79dhkjoRayY43N/17HbODrhQWbuY7bhUrVGm1Oi+
HWhpk7oohld+XMigaENLo+aqEU2MloAfZ3VvT+d6GKYYrqrcp3D3Tpt2qBBKcReMVxhVwqs8q6lT
ppG+iquGwbmeVlKHqitbSlXH7I1rSIPiYaEGp3XFAeflzfRO2mh4gxYyn3TD0O2GMViQ8tr2gACH
HJeqKOpcmdWIzTi15RtUQHBXLqhwE1dRpR9cVxIL4THgtermZR0VYOHqCsLPuCrvKrgQ+q7hZjPk
gjUxs0iqusvNHo+tTk3VLySpsoKjpA0mJ2Lc98OxZ7V8t/KwV2Ug/Cvj3XRhg26pVMWN3g6Fi+Ae
NJ1NeoaCi0X2QqvMAbBUlDH/Woaj2GIP17x6nAh9gqFvrFsg4uRfctC/ffzXmbszl767u/Mn1+5T
gvT3todM9u+fzsa7zg/d3Qt4sH+xAbH/U377eZ8H+vNbp99zrg9847cE7DMS8zk7/gcM54eNf4X+
YKCWv2XGv6E/54MfmuvlNzX8dwr00O8rBSIHAq5xzMKQ4CiiBCjGVwrED0Dg5hKUVMoRweHvFAgf
RKCwcikZETwC4Q+IyxcKFEDyHd4CHEgKLASCf3+FA0UCKN0zDkQj+ZDtAq0XGFWInnKgskdDDQe6
SVw9mqA6HEfd13HLOxJdVE7MXNU48zcgCVOtbFRU5UaGqLq2LiorxQRgOEua+raaW3YazAUg8X4u
bkvSBWij62zaNkubRwqW1L7qIzR8cGE4kTQnfAZwZQQq4nHBeeI7Ozg1Ss822gfyWuQW7wsAIu9K
25a1GmAzTk1AolPw4frSV8WaEgkhtGCkS6tmnHcUYb2Z+qbBx7CI7sTTsD2KfGnv2zDXgGWqNUvn
wXY3uEPlZVGtxSGOOABXU3awGKAex611033rh35H+eDvB+3RaQjJpjgwtTjMDFkuaE77IZZyFlXi
RgwMbTVVOge4B6pRetNtmnD2YextCQQli/rmLZGkPRn6bnWqqoYGqMkkbrwGxhTP0QKxo0JebvFg
Q7cDIM5bxYMSXS05xH2xsnoHXDY4norKvGtXGr7PANKQpAY8rjQgiMN1DOjGtVMvUrgGsgQNBTqf
2qJPqPQhhmCVM6tcU9TnADAYwISK95cU0eljWaNpM9ZDvp0dGd7D3S/ixfPyinZjcxb12l6hcA4A
Jw05eV9Xg3kLXN9aVQqb72biLonrTJqtudjpmk1Z3PYGv5XeAoBrm4hkapUAexWv+Zwr2nWXTgRq
GPV5HtDgruzmcI5hw6tbObKTIee3HAf0VTGtfaVcLwH5Z7lf98ab6ZKble+8NEchWbLDpcs+Dr4Y
TjEvxlQ0kuxsieSybZic4nGqy3RuZnmVjd0dEPb82i9jdBr6pd0Pc+92GqIwUSOPymT0md50NWuP
JkDOp0BM9RbodnefsZVN8QJo9TDQk0mqXjcnnkGEJS0bt107TjcFXcWbfpyW7Vh3ZieBzMWTnPRl
VwRyu+RwVaiiH/QVI8F0FrKg2E7EZm+iMUL7SEfzvgFwBEgE8JnCrgxjTHnlVGk07ZTJs9LH02ob
GS+s7+6BlnXhJuTBkgyQCgU2LrJWJ1GH5zf52LSXDRBpHReMgpogeb8rQ6RjRrLgogckFalwGvnF
2lsaHPY99yhGa093OCJ5l7Y4nFJP2iJQuSx1LIrhRCPi4iUQQuHFnuc0TzEeI7gY0S7IWgdcDR44
r/KpOS9GPsTj3Pf7aiRhio1e973p4L06OCPU3A0+2IBcYE6XIX8LNFL50W24zy/QbNoLiBVEFYbE
QV8EaVNV7xpuS5AbxqvI2CMdDIctNfd5wVwZ52jZzCE1STPMdTzTfFYZmfl5qNGmLKvgrY6q+tJC
eHudB0O3rUhdp9qtH5pOz/twEiD8iPcEDacVmXUcuOUGDTkQ4N5VqqiWD1pMMTimyhvaxX5xe7KW
btNo373DgDvjSOThpp37JLD2pFnDtOLdrHBdyXcVyD12iNKBD3YDgs6xrPJ8S/IFARwzYzJ5m5iu
lumwNCIG7jUkrAN3ZiU7RG3HbiLZX5meggusWbidRGbGm5kN0/lq6va4ovl2kQCKST2viWisVn6Z
3sJ9sg1EkE6RDxMEJ2kDlKeLF+4X1eAyXUoe7PIeFBuHATNUa5t0Gb8sO7qoAJqWfm1SPdDTosxi
OGZejTp4O/q1TiDixGLq1TLxfmMbL2MzddFJQPrpgi89T1CF1mNazHqXTbhSgUGLQjVeN7W5L/PM
KFJkN3poq1g3wXvgb3eDWYPXggRLGWtygca22nago7yZ+tEcGpPBnPJ5+BiNfL10WrPt4vPxbcZL
UUD88PXWActLho4OaUWbCaAW1u5tYxbgQVHUuOtgGSEIjUu+3IvIi9O5muUJYUVfxUVExR2e8nWL
ohpRoFVebqoKy5uykh1Sq8jsRR/Shxg0AvuDKBHgWZVQVQAcrwhA0ygw2wZTXx1mneZHHaETiIFo
7uG8BPP4iktdnK3mAcV1+q4cIHArK6bgsp7b5opaYc80pfVxmeHXWgBDWWpCY5LVEDtaK151Om/O
TJcHH0LwYatsXrFRQfAa3xnWj3uWF+thO08WzqpGzcdhWOCanAnXF9PaLOe6Qsu+zuoh5nXXbsYg
q3bCAPnSuex1HK0tP81X0m5zN1dHZIILoipB5knyzKELYwN+GDJfHoOvjm+KOvMgaXUdfi36hR8t
PgBH7csh6IFDCvdxbENxrA2ebgTQtGOP1yqK655lOzfRcjMCmtmZfgIXnmXdQJBzSD5g3mgD8loY
JoxHALVxhQDOz2wWryoOYFfVvPcXrJLvm1W/csaUuzwE08Q096ZXQzSMR6Kv6Hueay5U77CbYwky
2KLWJmvgSpwZXB9Luy4QRuFuU95k/DXTACNY40DjYU10TIee66RCtWsU6hbXKfCfwCiNRf0q7Dvn
VdDqUmxDbuoSFJ5Znw0LiYwKeS82K3PrtsPavGqN1bscF9zEQTCtccVWeVGDjGTiOorGEWhj33DV
dmW4te1CzhnAopOGrd3Gw6F/NVNcHjZ8zIVaCmcXVRnZvl963G3+vwbyN48rP7/mgz5p/IC3/xjC
/57x+T3zQaHHF/DO2IGgEcUUccoEpCkAO38B7wIf8FBA+oLwEPIIn5q+5C8wPQDQC/kLSDViyGEg
6PUVvEcHYSihiQkoUcIECfZXwDsFhvAEu1MqueAEcQw8AsnoGXanY9gtMrfNpk8jf9y8tRf+mL7T
F3izbrLtnCzxuqlOgXjPx91ebN1+TdxmOG0/dBddr8b76nUbqiY+HNMpGdMleTMll8cuDhO5Rcqp
XPX7Ii4SEAQVAo103axq2VS3j7b8C6V8nIbBkM/5ziqgmu7TKrh8WOWjLMzECeN2glXU74bUJd2+
38L5h8RHeB4O8fyWbcpUJ/m+OYoufjI0ELNvhwZ+FREGaSD6kO96PHRfyEXjqG024XbdzO9LEtfv
xEnzVuBtdVTFzX4Vcc2T1Zyawx8P/Z2RBRRzwNIwQlQiyHI+HrkQ81SLoW82IG1vjKiOp5lvcT6f
1iP+ySq/GQqyK8DDOGS6CPA89mx/sx6wBaposeEC7rI8UBJAECp3thPpjxf1sF2P82n02UgPM3lk
STahIlo7GGkkF1ME99ybH78f828GwCHDkDgExxNQIPZsADGUhW+6rtpEtszbq6UfWbjxBk7PlaiC
pj0F0mzphgZr1t43wF7ZJeupdPuqr/v5raunlnHFV7v0Rw6Eu3Fn54HzOFp8NL5tpCEkjcYuG85/
PPGHLX66MRgiCIU8FxSOIsYfXODRxqDZBo4uTbkBTXxpzlkplHHHPx7j280H/yGQOGUgKMDBekh2
PhqjnknRjD2MMYzgNfSQ2v6z+vO5Cv7883yfeOpDPHm2DIiDLMQ4FFEEyuHTIQbuy3Bes2KTUX/r
sEkJSGSVzw6nbHwD+VxVLRjyCFkSmJ+c4eeZWsrgCMPp/TQyEc8dFXWM6xHByOxEXywn2bk/LM7n
7XT14z38dIC+XaEEATykIiTP3ZL2vSltKIsNUR9ApT4mCsVAJBMby3Td6tdy28Um/smg4fe2lSMK
oSAMOcPPHNRInvVG1uUm2tZ7e0p3fpdt1sPylO2CPd7/eLTwIan9fIkSfgFAIiJBDqLPIk8AOS1D
OCk2U8y20WFwZk+7fRTP6s6nIASkY7rGc5opEncqT+ufLJY8vP7b4SG7z6Dsk4IrPz1DPKt4FhZh
scn37LCFxc5H2Z7tReJ34y5IqxN+QS9AahpsPKo1DkRc3pV3wS05F6fslO/lXicyQUd8T3+yM5/2
+QdTe36dTpCUAM0BdmbWaZ6nGs53v/N4K+oYMsfAKRqrgMYgp5pLXgL4/dnefM+/JMRpHIUsepAE
n+2NsXNJsqnYQJJ1RzYyCTbiMIynnUir0+Bd8K448meZA6lXRefZWbQJj4I9SqZj+9qed4fRblHD
T3z+26jC4Rc9ELZoKKBm+rm5Bmcdl+WQb3xvTX4CKcHuosS8nI9+fCy/HQfuQAxgC3MILSF65gM2
qLM8ZCAuFha4fLLU4QCCHBzTOf3xQN+GYghEIKGC9IpDDBX+T/d46sO2mUDL3xQ6umHNIOIRfCUe
1pX/xJzf3Lug6gpBMA8jqEYn9OEyexSQqRSBEW4JUt0GW9mwNJSHpqhiYn52w38SaZ+c3Ieh5ENJ
FBB80BIfnO7RUDlu+sz3Q5ACj71YTv1Z8NFf0qPurDqUqTirzk3anq1v5lmZD+ij+MlC8TfG4wjq
Zwh7+NUEhx8YPVupA2wahFMdpH7j9t0+O8zjPJEAn8KNOwVlOb79sQ2fj8dCCJQoBIYOyAZCyTPc
i1mxrsuDn5iig4xQvNIg+fEIz20HI0BdEqEIapFAuafPPDEf8tAM+VJsltjG4rze2d2PB/hmCRG8
FNAIBtSOIziMTy2mIbPY8gXSbXquucrpKlXkIXX/41EgifD8vLOHKicwAI1AVAMzPYMevBqLvpZF
lWSZrk+JNjzMz1hv/CKKpIV6k0ZBdRZv4t5FMBNa6bVPZhpAOjTw5fS6XnW1JnXTIbSpKFohH6Dz
fowh76WX2PGJ3YMwRs4AnOA9NTUkQ/XY448ktzxP0aLRecmIs0nOdSOSReRuA78tXL0qIzpqFbVA
YlRtI6tBBA5FroqcDJDSW0b6mnU5HkA+EXinm3Wqj9o1kD6RfqBzykDvaAB+DH0GqlmB1iMO5QFh
YvJSr0lYo3Z+W7YkY3FTETlfEqahdkHlOB98XJKcQPqy9jmPadNAThQKU8ZXII/iMFnLtjyvKzbM
WxDj5dk6FNNrUS0wUQc1843K5wimOI9dfd0OGtSiXtTdFFfZQ4p50PSkzZDvQYpvIh6PkMcfEzZA
Ic8WNjNvIGNRZ2fDAGq8AusZl9RkxC7xwbhADhS58ZZoRyCZiyZ+ytwwmnScorJU3BTs1ejKNYrX
ckXNhuYY8rb5OtpTA5NyMdTMhVdZSyCdUeSaeJVZ1Baq6CCHuCnmroGU88oYj7GnBXgOL0DSHsup
OrbrSs+FE5OJ88WvLaj2hECRQxQGtYqa1rjDBcrdakitau1VMyBHYuaYwQrEdvehJUtThDu8cARV
O6jm9yHNexfztQTyCDIoyMxQQ2E9lPSU6xSD4h0scVV2gQY/DrLzavWZT3PeZUWxr/kodbntJtde
l+HSNMrgxhcpD+TSxktInFR4XeYT2VvRJ1MrPchBYix1MpTU8rSPShkkshvn93m1mkCVM6q7pJQE
Lm9RgmimyWDnNAf1alYhCqI6cWbyS1wWZslU2DTdG+3GwqkwGsh6PC4RVIBMQ+aKHWdzJqBcZJxr
KDyDE6jatnIbim24XRozCSgdBNap6sgMDjIBRrfgTSu54tg8pE8gXxaKhl5zi7hLLCQaSeypBTTN
eWB3EynwJfj0SncdIyVOS3j6GqSqEqrDOBc3QyG5Vbrn4z2cLRBxV5NFWK1WLoVqKj+Nqg971CsJ
ojjfexOJeqMJCWhSzrWE4g84TkuycBBMk2FC7XtJ7QzHWzoZNHEuevGmDSm4V+tpo+PWVcjswtYV
kIcY4LfBCi2ZFUkejvLI1dmi1chGNMSLcd16QkbjzkoKM1UISnrmrQ7mLt/PGkiSMoBNb3qoONEp
auvgEhFPQWnICxQkIRRPQZHgWma1kpBQInHL2nqMvSzreluQsnJxZpcqVKDs4iItS4HeV6ENQ9iX
mb8Jp2J872jpdKKDCKVB0FRj3GhSb01QD6eCLyD19v+XvTNpkhvXsvQvYhsxcNr0gqQP4TGPUsQG
pikIzgQIgCR+fR2X3quUlFVPlss262XKUkE5HcO993znBF791Rk1sMUYGfNsGXUPqRkciIsBSB9U
K0xxD4o35nIOJiBJCU/Cb3S1agEONic3DYCpsGRBBh2wCtS6PmJOfZ5FE1FF8kJJmtZFs9XNe4uC
J9zRli+ixHrTolQ0c1tJHOn1LrLRRssRvBUBVSjmKd/0CDEqC62aStH3J+iI6yMEzwBzSLf0patN
QHduDKJvgFF4dgFOUOpjCtmUAdyca1M6XDjDrjO0W8t4qGeeC91TDHSUJzd0rjH1zIZscPmKeazM
W6YGmUuzTnNOwmSISttprPRApELvq1ErkJcj4IIDZiUVLU2jRVTMgZNDrqVA0cHl1NiLRApxmKup
JaWhdbcVTGb1m/Z11u4yDpDkpkra/rHDjmpzuajtLCdogB2NUwaHKTAbXaRuIjiV/Aw5pgGH8amy
lkcQ8XjHLu0mRwqAkKyoLyaZfltoCNgmbWZty6ZRcVOkm7bgUpnS1d7Vsf+QzVNGimDLlCygqE3g
RydKCtunHZ6cdp3OA+LEcr04Ubc7tZJJ3tgqJWDnevAgpU3ZJPKtzaClov3lH6vBUozpF1u/qyaQ
8Q47XaS5NaRqL/jg0qpsUo2jffE26IqtSmeWby6cv03gbXyuAj8GebSt7K6TTTDli+DYkQRCeJw3
qGu+2rSv4wJVrNOF5EuUlrGsUprTNcXROtS2wrXHh8hjMwNOzukWBjIf527iBeaOaizmPhtf46Qx
LJeMrC7fRNXUeQBYFhJ7R5NLHCgOC2PqDcefpy1RZ4lSZ+61smwdd02fbrgIosbYchIqbot51PXH
0bQ4eMRSjV+F9dWAa62fyEmuceoLIJlhciRwwjQFykF+D5jQPvnMARbzKP2/NtlgL7PUtFCHGqyo
HBOrgOIm6Jdbl069LCagAV/91PrpsKAtUUUjtsyVpNZC5mtv6yfoWarJA80YL1NoT23Olop/6kFH
ftuSTKx4tLQJyplqZXnmNAqIRK4b5u3nP15sNH7OwN7F+QTNEgQN2QAnM7NsOL3iacPS6mcCSGjE
1j2ug8d3XLDYBa8mIV5AkCYt28tsGt7ABluV07qnU4EV13w0XOPkDWOFmoOvunlz64jzRymPygqf
ZPrm4mnCy1hC44+m4+NaKKc830GJD99jR2cI/wvXtJgx/oJGE3rzqoEu2TII5p5B1aL2paO+Xos+
ZR6QdUP0I6jfmeyAZLpHAZg33AnOV1/EHudcgu78E6/FeXMkc82xGbp6+9qEIHbzOQinuMqztBum
G127NYUAV4/z3qJD/6TXnviCYUtdWN3YqMDBGn3oWl7bojNGXivTb2ANdeYftqQagMovJP46GHlW
xBeqAYgbPRSmicQDMDCB9S2W5OmsS5dhxdJ6X5M2Mns+1wM9eqFd5XNZY8p3pTJp36Apzep+sGHy
7tELyt3M4p4CezC9PczOgVUfxcLmg8dZwXbjwvhVphTqQarDqC8mGQESCdFQPmcmhUjDgir62FqD
RigcZyn3o45FlNu425acVT7dcj4n613neDqAJOPqSwVJ1JRTsE5dGa2Mviu5VViLesyGHWgH6PNh
07grS6ImO/N9mLwtHWRbqVhmLjs8+BKL3dUliRvwzM5PGdsvVWuyXdSx5h34vI730g5iN9Zm2vYd
RzEUOoEiZiNb/wJIyJK7emuCFtLqtmj1DpI82J4xv2SQTlEYhSebjVkPRBBA4L5mU9Q+eGbcUnoU
/8shoLG3RzWuc/yqgDbGNxKy/XLthjCdblhfifbeGRub4ywNXQ5tvDioe0oAcK0xjN3NaYDBsRn1
sB2UTpkpmxY7sGg6FaJeWJoV4F3dJvV9GmjUjls3hCEGzWTL8qYXwIsoq+QXDPHSb+sKdrqs1lGS
Q6D6lr+YZBBT0cNK8srxz60uBgK04Jqp2ZMTBrc1YMktq7qgaOlMsQKsEWq9qgXk3KjocWlfeYwU
UJh3Te+yXeLqgMdlQ6KWaJysIs12bVxvnx1dM7bzxvo3oyv+wjBInQ6QfhuXk7pVwTX40Sg9ZmYR
UGG9jQigJ5gZsrVMUkPRXteBrQ/cVVV9NU0bWS6CGcdImy+Vbx5xwwYYW3S+qw508n1165xjyxHA
LM5sVPpJv9M2iv0+WuE9OSUyhbLcVoMaTsAs9XBIJlHhCOIi63C2iuzJpNbXH4dq2D4GDC3lQSxD
4k/rEIRfsq2pVd434bIcY+EAE80dqJ0ZPCIMLYfGV2F9oTC0l3vbezLuZrNu5B7zDpfc0KFV2c7R
AGdJaDQP8iR1VVdC4iT8oenDaczdLHqgwlnP52+0aof1oDWqndMgqOhODfGwJgwDruhb3q49Pagm
otGjihIQ0lEHETcgk+VlNgdRu0Anblvg1KgT49c6xHdT+oXFcS5QkprrObQ4iBWzLCz1Arq0TNYg
bA+ZWgzdMR5mwB/jQcX7jg68utPdJle0UoBNd10DDDTPbLe2u3AZhCobTwPwlXZkAF9IvGFHsXns
ChITPePNrq1A9zcNAmjJtrmdwauq3lhoWZbTdpjmB+DZfriKUlOnp1D7nhRxD3amjNmQPA74kweX
ATNe7cxG8Eah/hL1ibenyLG2ux8btnxQlc2CAw6JbMlNBhI23+bekGsbjuChVbJ6XIQRMLBXumy8
OraOjstu6K2q8ooLQh5AuQ1v/UhrcqCpyN5J7afuxD3apps5xHdXJvh+w1MCmjneL1pX5NYluvUX
rtcjiu0Q6niCezZat74MJomXZYCCg4ofbDqWCyo1wFek6t4J6N/xpCYhOaavfpmWy9EHdVCamsP0
IkOH27faVm1uYqZNlzMgOgpngoTrhyypjG7HribV5dxID8i/xvSt4LY+A+MCk01UPqEgvQMt11tx
YrRL+cvIQ9yY3STcZy5i1CY1S19EALtPWYOueg7nKHGPQTMOfUG3Jfg2CTTSe58pQPoAXdCKD5s/
dSnI5QOrrAft4yZV8EZW30zIF13yoO/Y134enXjRAME/AjGSdel9PV1ntQddFo0txrmtXtDAcEwV
vqabWZuLPhzqdzp7FYBvn6LxIx1DUDpRWiXD5djr4DVAiZVdrGocpjzyU+/QotQ2vhzsWmGLE9s+
88GAp2sXuug7nlL53EVdNZ5Im3TtxdCbJoAVwaUf1ODVBzcJ4/boXJXITRQqUaYpiMvcRQEF6Bfy
dcljB0wePqpJVcfzkdXfGhfj6qUwMJCi1w7NxQai7qrrcZ6AL+8iqJq4dPDZ5tYlqP1H8gygSUoY
3ur2sQ0rlACyjWZzzckaD4/rbIb6DraegZ4a78185QL0KBpos8qqqyng4+coZAmGLGZy8a4f0EmU
VT/5MTc08cN+pLG879FGmHxIxo3tee2bqMA0tG8KF+kg2Cm1pAqTIHDf+TwqTq/bQW7ksq7Qw35B
2dZmx03Be1FoNzlztZFouLOdTF0xVW2MBs/Hlre53fTwZdZVfBfHtBeHxqypQk1CyTvGMZvKcSMa
feBpI+WZ3sHp4m0W4UTB7WtwErABWL5hEeRexVZ5jVggNwFPFSo4AuD2Mu/AQWGksS2uKdNEwN4Q
oyG9gztN+yuAk6GOchf0sTxTKNPTJlnQHMFNoefasFWjfNsiuPCSyogl34KpWvKObrEBlTmACUmn
CntwpeLsKGiqBeYaaJZvs0ldm+sA5QaIeMteYAj0r3FH6cfFdaq6SJOGcIyLtrMjo2qC5dhUsqqL
ybS+u9vWgWMHsNmWLvJ8xCxCxj7nbVNlAG7ZBqIriOG66DDGCC8qNFcsX41Kv4wZw/6FIaK6prU9
A+xiINvOKmqa4+ba6E7oIHkD8Cke4kYIccll0K6lwFT9AKfGAnXCtth5gN/TFAj7NA8wp+DCyDi4
2NPcGglMUMk2j9zgT7LKpqCU8YAvCL0HuugJ75rnfTdjyrdar59q1wKG4TAwgHuP5/mtAhn3+J0L
E33r8Q8nazoXNJuBaKXN4j5NfFo/sxbcXikxugS+1dfzBVEd7wpPsIl2RIzqeUqC8JUJfHe7v7Ne
9eYAI//gulLdzXBqTKrROU03cseSQaXw5Slck/Ompse/mK11wFA31yZsP2YbC1esb6CNpZ7lPOeh
FMndxJph/YFqaZUkTTnKYPs6dDE8mMNSxdctLF+0SCKPSR/8IvHND/7Kxb0M9j+oq7mH1F5ksdZ3
S+Rwua8qhCjl1+C9rgBO5qlkVbD7O13VpBhtXwgdptHuB0ZFJOYG6JL+QqjQXmXL6Qc3hR+Ok2Ue
eFL/b7hUGtcJ3BZDJtFe/ERKIdFCQpmXyxvpGZHFdz6Ke5DBBWx//HEUcfJmHfiPcm04vtw0XtR7
UgU49BrYLkzZU4FZBDUGBJ3j85dMKz3teivr95iNG4bXZOmfzZStr0qG/W2mYDfZB0tkblc6OHm+
n+Zvg2bBq7OLassWUDacLlUc3Y+wmT9HkxnQT5I+sbmmFoC2yQKL4yFeojDn3SK3y1hs40eDQWxY
1qQLT3UrFKj1TqAdp0KkX9TCHYasNVxfsVLALLJ6yk4dm+EkUigL4D4a/MZ3uLBRfXhms48Y4GGg
m8Ik9BbPHFaaQA9kRX2i06zgrW1J0VV6/DJvcCIXKMYITooVDhqYdzABy5M4hhmsSTc3wRfmhs/d
MmYX8Fu7pohTHNcFyNBO7ODqGu63Ouzh8zQjameNBrwuHdjzuUC5Y2WxEJyrp2x0/SNNMNawTYwL
X4UyeWoqvjxZS/st11UT7SyKTVKunqF5ZAYGScyXO/dVyhSiv0oWVINj9UnWFCNCVH3NI+kF3XVM
8VOsq2qvGCi8vHYBW/JqzATLOxEvHxKUdAKdb9Pc9mmavcII3L9PYpmPlAbM7jBwhoGWwnFWnFvO
HZX7Ko5tXLBsWm5HNGpPXrruFuM3cWWibYhyJTs47ThGSfsEt+TJV2vyNQrrLtmBUmHjJW8mHDJ+
bPyTTk14WQ0puQ6WcDJg9zr/NZApNhEmt/PHCp6p19EuKWZmQbN9ytoVYD/VydkzxqPmCl1+B74G
g+cqj1i3QLTO/PyJQOqMDi5h63uGaQZ+WmPX59W1DKgEUl0suOsw+8yNw6QU6KKe4AYAYVH6aR7f
eFB3viCLYC7H8AKmRa6W5JFZ9La41SZ73QfSwx4JP1OXhy6JOxTXKdeYRY3qoltnGM1Avvdf01Al
L7CSZNCH3dY/1eE8PFODMUdJ+NrPZbKtyYbiq6HwEIu5l/CNmRAqSVuLG7PpOcr5VMPoBJ9f9pZJ
mK0xNBIYczCYXB9YIqfPFeqn6Yw2nqcXQTN880yvz8mW6Y/wVQ7YmVx+w/gSR5yA7jaW8Jbrqyb0
w5cegt6QR2MvYIIbCLtoiGvULlND/dzI2YJPH2nyAIcs2uPaCzNi8QFqKqsw7cg+SgI35jpe4H8b
0oVNu0mRCMVvjRqhsBPnX7eKGl8kU9Z/9ZiCYK8uiadFOzUVbvNUDkDMtWTYSqKFU5rHK8W/z43X
SRfB4EEx3Q9K33o4vjwl9bhXogawEbR4ObuGZwMqnBZ3eRA3FHsupg7uC4KqqDWEYPfDoHmfoEN/
9uGkeI5NJD6vVpsBDjraWahdCTyCANTC240N0Sun56IM15mNwRkQWLEXAIUzXfMF9pqXcYUvrEjR
tamzdAbPt7LnPcs4Rnxg863wu4WOTV+udqlDoMN2wGcWddSXHV6iAWKPqIEC9hnKctbDx1iu8TZv
WC+TrGHxD4U9GoDnc5FytCPXOP1j+ge24Oxw+oUFOZN9MEBhAg4DDUnp7yIoRK+I9KrbTUm6W9tD
00QXXt1yQLAzf45Jc6AbghWWejfytKyyrAiieWfJJeZ0N4QOpeI3DNNApJKWUWX3kbtwGHnqs58i
vfZB+weh+3fRNokIkL0UqCAMXQC9f5PZgzbWHXB9Um6Br/ZMKXnZprX5h9JwApqUJMA6QTyhqyVn
gOcnMb/B2Qitv+12VAXTdZMQ8VD13Xj4z9Lw3z5LDPAQEBACQTmEPPabwp11y+zMNsIDiyFLbgms
tyqFPPHPn0JTZF6mBJ8KSVW/fhZIDg4N49DvVgFhCyUQcImCGsQl/eGr+dtSwsdBIEyEHioCoHaO
yfr5pZklyypBdb8b3JjkhKqh8LxfCqxk/odH/U9vLsNKYIRgppSB4f3lUa7rMAcL8OYkjdRzAB30
poPL5R8/hYX4hmAeBN0PTus3TkWlxpHMmm7nRyU+AiZJbngSBPv//P38zjkkGJvGeGkYykcU87Xz
a/15rc0IRiGwGe8iOO+fwkW7a8yokosUbcYubaPlH2I+3593ZvlAKYacRb/TCAbTO1TbzW5iGqOj
rUEDAyDuDwfL//ipzknEBB8NMUK/fUMWqj8IIN7sBhMCKaPBdOSIYzlyzOqOE3jYP6zy8zn1M36D
hUcIPhSwbiwMHv+2+LbJd7BrsbTsz7fbyvlNeHZTxGgfMXoJbmGPr/7wEX9f73hkdl4XIQyiMUe2
zm9fXE07aaHuluNYi+MY9FA5zByVLByGP3y6vz8K6xDcbYhiBaGZ8W97OJj9FserjcqAZkPB1QT4
o8LEc3Xdn76437cW4okzJP7QGHZZ5Pz8/ihcYfFm8HHLQEiMZKVO41Irglb5Py/7/+k5HPQ9liM2
QEJ/O/y6jY1VJmpeIkaCweiJ4nJcE/qHg/zvy4IhTYxngMCAK4Fe/fU7mrYZdAQ4oxLyE3vA5Z6g
hA9ov4cTrH2z3QDNjNk1/MPS+PuHY/Acg1xCqAr8Ad9prZ/3dJcSsWyYVA7xOO0xqSMXKprk/p++
QiB0oMkTwDogSc/ZTj+fHAgSiacEHp9SptqdohpmGBwf//S8+A60nY9ABo8yx5H761OitZW0yxpe
OlwymOqEruhgGP3DXfj7eYGngD5E2CjcHnBmUPbrU2DGjZw1Eytj7VfIZoLs4QyAu4dVUdmHtbr7
x+8ObmsO3waPE5r8DvxGi4oWzL9ZSTpi9zrI3EMyruu3//yUvy8/mE/ONGAWRec667xOfloHHikG
aDfwFAwQ6G2NVJSDjdT8JIYkuPMtdEiZwg/2h9X399PiTK7iqEiAUOOA/+1dZtZnleskw1lIfJ5V
mNELDlfr4Kbtx6P+FYd29+OE/ZHo9XM+wM9xAf/3+t8x+7+nCvzyf/2/nkRwrpz/g40JyQq/xyj/
lUZw/rt/pRGgYkGdHUJYRxGL7IB/G5qQ3Q9yDcFrqNOAf2Vn+8C/DE3wM529TxkUZwwVCOwX/21o
YnBBIb0AXifcp8DXscb+Hcrwy9eHGLp//ffP/gIsSyzJXy/SJAbCSnGoRDAYRL+dmCtfCKtNBwsi
s/fQz+ApHtW6d/EZaGm714TDkb8sAEwQldQuhH7wiFhSjeq/MigZiOYQI8KoTDSBvxmjVX7Qou0g
yAK6g4mdvyDvZ/myzNuKUYRdMT5Np26M0EB0/KJC4gbZpzFBP4IJyl61Y39dURs8QExYdwR279s6
XdQjqQjA+DqBuxyxW7Qtcfv3e9Gl0pXBInKifLJnIEFymC9RgkLUx0E9FJCnbZFmsrpGopA4g2aI
Ckoyl6Pkcve90BDQXA0XZlJXR+2pOcDPaK6HOjN7J7P4Vrv61Ht3EWn5inCBa5yJFyRA+EE8wANu
0I0H3WefymPiegAhE3iyOVi/rEv8oHA0M/h+84oqKFLGodm0L0J2n+IaNCDclF3RgHvJbdd7UKAL
krRcj6NDvLI2vJ0S9xlqOhD4SJ2zUTBEzaAzwvx9Ix3Te9+zCxuClZsoAsDU8MHpWUPYGw+gFYHX
pYh1SfuuqMbokuoKIWYSRnoMvVJ/wWy07zAz67S5bMl2LQOP4KjqszDtJ0xm3vv5DekO+8k/mJ7n
c7hcpbHaRfqQ4v7EFHE/mOARMVLNlJ4GNWGQRq5BgO6WBThr6MtQukskDe2U+7LUSDYjwQ6K4x1g
qb23D5UgxTY1RxLBVMLXU9sHLh9aGM4GeRg7tEZ1+w2X7HEObDnz8NpU7rHZ+H5C0Y7pV3MdK2hK
ei0qYEEaatyuwdivBAWRQOqCXTRI+wHfQ4BouLZO9/Ck8zw0/eW2LffKLDfRur4szn/ptxZaZU/A
Wa6eo4ud8c4j/k25SyJpnLf9OpVgZeoCZ+ketMI5lS8evo7BObVqEPIxGLaxzheaVXdcW1gIMIL5
EArsFb8qe9cnU5hbjdQ7UTfXI5n7D+cQGYAP6srUa49ppF6/1W7orgigthaj3EXvXbT5Jz8MWL9o
Fa4ow2sF8tdCNtOYAm61Znf9ql/4Mk8XcFkvV5A41g+TwW9Cga2bYHa0yWh88ALDQ+APYYbMpr4+
Kutvh1lGj306bviNJgPY14FE6sbU83QNGnfajauRt3qp2UM8zjMr00iJq1SqtXQsie97GyJ3A9dr
eteeY58SEKQvmBSm+bJQdo1IobnAPENdQSmJ32abDXIfQa+5YFul9wurngc2ykPfhsudXXqKz9Wa
b/jKYJhUWh/rrPm2pc2pbbMTAJA97SMkW2UQPRnCB+j3zCo4h+W+29CmncOs1DnWCiIS8jvI97Sr
zkNc2Q3nEKzJ0/Fuw8wYPwMMHLgIuw5P4xTGvJgdFrgm0A1ztXHoOZDUzmlb5+At5X3wKRG9exag
Eh/094QuKmp/DBGh9mR+xHh9j/Sazuleqa/0UK5jh0HUNqwsK1RzDgbDaJim18339LCJbKxIZHTN
RgoAIe6TLbntMS+j0AdTe/Cg805phLHaLkFC3csMc/yVEaP7uFUmHDGCIdO+ArgGk7vBdLuZIS9O
7VCT3EE3euRqTT5zSHifgjrKvm3IOwTauEGiD2ZxS9QMlb1DS/EI8HFIc1Vvuly0WK9GyFgIXFQi
24MzArAQR8OXYRT60SNcqdpVfgJKLMW7i3rmCx66LCnCTIoMKZravUTQzF6yIRG3vQjLrO3MEbZy
e6q1fddh5sBUtyt9H5PE322okzFHF2DNYGsRSKABryKK7EzttaANvogqzS4wxhP7wXF3AJOgDyoe
+mNlJv2EeML+ZuirZC9sNn2GURs8KSJY3KOXs3nj8Ri/mRrT74S3I0BkO5zFyiC+2UBeFE2DHJpd
RyZ/3ePiOWXJUkNp7Nh6uUwZFjScp0m6KZuPQ7ZdUyuqK8Bo3WPfwqSubLNcoQ5G8GRlm/4Rh0t3
ANaFqMTIyPEe53d2qramlTtBXHSLeCr3FfpIcmpZpDnSKnX6gXWaIQuViquWSijpbTxLnF1quaMC
aXu5m8LgQxN12wPEjfjYdDgvZomYZVAFrL3qIoDsBvieddoQbLl4U+VqQve0KiMxeXRw1EAu8ReN
bebdmf+5Q16k2SHKDTR00o+XyJJZkDKRNI+UGW1B96jw0WmGIMloqN5SFdgimiGPgSBEDqDqwhnY
StO/JMgyQV1phXhK6QRqC7FZwaNKxxEZgllc0qm2H7thzMAl42i43GSXvGrqKSsbnfVFh2X4gjn6
UuV9DBnap8Hl2IwPQGeTq2Y25hDhvgUUu5wWltRHt5rolKU1tka2LipAlAUn0PwjCCxxWIW3VbXi
/GwhdT2nVk/foA37+MD4hACeyCMvEal9Cj0m1qPOovXrBNoWFLaIEYKWUZtPyAUrifThRTAwc+Er
PkOB+a6RQtZH2qMN9CUEeegLqH+Gp4Cg+kH+5KouKtF01+E0hV8FQ27rgGywoUxqym6B7CX7YCP1
aURayk1qW1FKmZhjRUGv13OldT5SvyU73UcWvEMDAFlk6XiFyM74zkYyeITNFqpxtwJTRnBn+6Wq
su65txxc11ki/BJPgOqNnPSbHbL6glbKlMbUei9apy8Nsm0uQyrHA+b16321AS7nQyofwxEJpCgo
6Avf1vVz77cJklSCRvVM/7Jb6LvNxwE3w37F8n/uRcxWpIRKAcTJDhhNmU4+rmx8ZTPwNjSJu3ma
RCGQAZgvnQPBp5q1Ahwjkw0RimNNkUmDhAewrPN8hGllunSJuPI1vaQDeIEpk9NVvQTLY5iqeT6E
Bi95khJUWh2pB4QtIQKo0vQunuMR9taBPqSzS24doKgeMOBqPgAGkj8svf+/wflXCttfTQpBpf+/
NzgH+8kBN0X/+1dOA8F0FAEL+Hv/TmvI/g9+qwu8drC6QwlEE/pXc4P09yiLwgQDfEzLoLr9d3OD
NHGKzgUzGorfGYNpGn7gv9Ia8LtJEI0Gh2CEdgS349l1/A+6m+T8lF+7G4LMB8xbcfVjjoZYiV8b
cocgwHTuOpSWflAPvQILVsIXAFdVWVVTXOe0AaSF6KrxrfNzjdhONqV5bUV7xccsa7ANP4DAFchG
7DbzBerYet9Ih5KWOn0PTqEG9BNn+wzeqx3kxPlSQ8C5B7EBd0nHEejUNW56aBoZfxb4zR+YveoF
E0O4CjrZXlvo4Y9wZgX7rJ+GvVIAlzobmEsUj+xG1X12XK1ReySh0hypcdV+xaz9rYnsy4YTUztW
eJo+xfpsIJnOsZYeCZK6HpFBOtz4UENigs6GX7u07WO4725I5NJTozagozGNys2yGGc8HL8S8BM4
YFeVBmxZsMDwY4DCw1MAi9HrhLvzGqGoyUekViokRVBsQWozcH5uvBeA/S5WOGN6lJnBAEfiqBAH
16VTkxvMH/dIFEWprnYMqP/9ZIIdBpylmcZHJztInsvsIYnDjb09Qz2ZRpDODiQ2aHClD7CUtutu
47Q3+aw3AvdHcwaKkNj2LnnUfqhqrU9I9q2LJABRkZAnMKpgxMc2Pth2iIqa6/kWMy23qwSMLU6A
F3YQfhEqw5GDTIGoiHfqkbO0gtnLkRyji9ZV5pqwtYEvD1lYCA1CvExHUJSKuWSjR92hQqTX8mW9
73rwQ+jG5gOivj3OrBqMREzwjpGq3u0p88hK6rx7HSVzgLA84toAm5bC1tUNRopIPkV8zw3lgUJk
TRjsFWeISILse5ykmwoVo/dwrOuPG6qEPNsw3kYjTJAz19B9v/TdvV4BHuKKGC+B2KC31sje6WRC
9gLe8wPsIPCWa3SaFFTSDje7BdrY6KdGdQcVvmJo2x0rNuDkrzh8uYElO49Fee1WfjkxcQ5fGtZj
W70OWXOz0nj8GAMK+7rAP7WzUs5HGSAsWfBOH0IWqT3gWqDJgK3q9AzXB3dKk52SsPkEfEXU8hQ0
O7oNG3K8sLOMQV4TcX2M+FKbHiAnI0oMUM1RWhW+1Gs0P9sxRBhYimVuk82VOiTXGzdijwFmewIy
vewgmQJVrjMsHtbCdyLp53XMdhs1KJNYv8/IeJyQ8XwhYA+kvh3z1f8Xe2eWHDmSXdGtaAMoAxzz
pwIxc4jgnOQPLJkkMTjmyQHsRgvQKrQxHTC7urKyq0tW0p+kn7S2LjJjSIe7v/fuPdd+ChO/eq+k
9kWGZXeojPmJOnBHVNkGw/KlM9rqyp7wqvXt5JxyhJHvDJ+rVYJF6DKtXe+2znGnA5uvGtSd4bjP
HfinKzUaEjud6dww/7feEebbmxxxza5OmuoDjUy/7+vCuuiLSZzi1n4v2yQ+NClayyTudxQd6G4r
w9/bCYJHGFZAC/O1HKQ4RCo3npGNZ1dT54K5ipSAv2e5m9rq8seacvfgdF5xpkeBiK1WxoD6XNRP
iZ2qA3YSZ5MydzpKMft3mGjqU14P+FkcyoW9qNLp1EWmv20kRLmpifPbVrjtusb2eT34c31R9mG9
tzovlsGEnP6xph26nUYr3RW1mPcZ9+fHoXZX3egHYihg4bvjQptKr/WmUxRHsXiYzKgt1qZTjBt4
zd1Gly0jbwBs/SIVTnZVYWmYoFR68OYk3+VNpqFzGi/tQnjn0pLxXmV+dBOnwoAXVfhtYDC3C0Kk
qBTIOpiDNq2/VUVq3ao2tmiH4GxYF6VjPvVzbEOeZMOuzMtoKleTU1yBsX7Vm2o6xV7aX0hfb76M
cRayntvwm1JjeSUtq97mmBqefNuPt6Gb9fmqyTKlVjKkxggL0KKroh5x3ZRAZo7umKW0mYzUWAEc
1aTcj13eXnSDHb3FhSXhj3uyOIR6mVwNpl2tYXIOR8W1ek3LIT24EJ5PcjScw2wUzj725m4rK8Fx
YsyU4kVbaY9Y9y3eMhIhhKi+XEdNHblgm9MyAI5VIPG0MUUFRUu5BmdfHpO8Ly7qKXEfEDxhT2Iv
i72HKuHoWZVNJ3cM3Nx1PWAaxTZmX86TtI81GDR3Jf2sPal5aC8TR8ue69AGyGC6/VF6NIV0LfJR
i2sG9Y/XHP1ZZlf9WIr72ujHjXI6jb7U5Fv7LnFueyP1n/uooi8GFgPvpP0JYXfduIPUDpkd7wOQ
ds+o3QvJuQ7jNnTfKk+0wK3huusG7Ue7m7VvlQv1fc4XAHy1sOBtNKprTcKHx0kNK7xcqPH+wo9v
+665spIOqHwBGcwOeA6BzaPbLXEiQ6DPlS73/ncsfQyh3k5NsW8+sfV0PKenDJ9FzcZoIgdfCPco
iW2EPgv33mXbo1iJiousGaNrDkV1Qj0PKr9dVu/0HaCfhcAhY59iMUHR26CB6sDtI86fbszRT25Q
AGlX3DBqDqSF0W/xDh+V5ooDsP54zwSPioESYeMsfP/ScMqPMF6Y/wv9f/oMAjCWTAAUGslNNy1B
AVHJCVmCK81X7gD2vJkHcRBtSGmWGNToeP3vQksiYMRUYN35CSIgoM7NRu9kdHJwo5wKynxaj6O/
G0tI40HWsDgDTJlGuyKat3md2OWTFSRLkhEcrh1bp17yEsIlOmHpRq2TJU5Bxq55ETZELLSubIKQ
zspjD3f12m8qi/dAKIMdOtnO7QCheymV7MLUjrhh0EjbO/YAhD/paQcuqQ+qbwBGG8PkP2mZ7x24
t4g3q5D21/ozOcLykA+7yQyHD7nZxkcxwF/XmU62dZb4iUFV9kW7RFLILIMxMpqmeedYbXeNOM56
lCiXT/1nzIXmcGbIhuwLf0nBkHkk5k27ZGOQIVJuzS6rD5Jw3GRRMKH2NRpb20cTD61Irfkcc42w
Gawy3Xfx0nyGcgBifwgNgjrKyTcfXb3fdjldviLPD3aUh18znEk7P+uSgyKfgFaqyjcVzPp5lQqb
zWbJBkET1lzGEXUng03sG3L6jBGJ4mkfVWSLCFyk29o36lNUkTxSpiK79pc0EgwUKKKRyH/jkJ7X
mJHkoeGGd3KWJBOuz9Mde9WlR9stxI8NFl9Lb4ol+cSAz7jt/CUOxRFK31tLRkq9pKWUJUpAtMdk
qCRSx9qnZe0lhh4iVtzR8Zs10Q0unRg/uffp71Wr1tfH22jJaAlVmLypJbcl6dvorC1ZLnNdp+S6
OHPSZ/cpR0LylFrDcJyVoT+0lhEmaJvTJzENT8pyhnJbYerxgnbG9IDTPYpf8t6YX53WnG9G4hnu
uTJ/S3XHfbTJUQhkDYOQB0qbtnpE/6ufHP1ZyVBVgRb1XLJEnN46tke8QGT7QeymvGOEYw/SNo7A
ak+pa5ZndB0PdlkOS5CAOPkj//Q2R3qCKnCqN5prdkEtevN5yKRiOZvaNswFDEg/Y5RaWJVRsrxJ
YmkSzzjP49xc+X1KLWDaU5Atezyt6DFQiTECnqnm/cyhemXokX9SgxdvcsSWt3CbJ07yRr+2uxBp
b0q+xa4pZRYMuSECCursIovCEMxWLHfIDrOzalvauwQV32pGyaIVhVbdS0gHdLpybU/3BEI6Er2v
Y1wX1wQVpJvEBDtZK2DNHvr426Z0pzeEr+G56AyAv+ClL/oZ1Z8F3HE91NxyEtG5OxtGyK0TZ/a9
GNL8aE7CvO07M9oNfQ86H1qn4HsxODjR+0hiMKRnTKsJa8kVZug4CqJMNJvE4tDZzKBI0GJmPgRd
JiPc+ML4bNphdgejNYLgEZo8O6W3GGiaOTy0euPediaFzArpd7VLVOmB9mH4sZ1wqd7LwkpeYfuH
TwUiu4eiN5xvLjEFdyX9x41NH+oLvmn/qVMcph561W8FGozzctWlq+tU8itVVX+2+9HZZHHU39q5
Iiw3Wnx/Q1XtB8UVHbCO+YCQ038PueBubEZn67YN58cwnYHDDK3cx3Hmv/H0WRdlMWNc6fGzhKnG
0hmF/n3W/pd6Gv93EPLLrPSf9zX+lUSv36VM/9YQWX7xt6ktbQkgk+Jz+iq8HxobMOQFDQ8LVY5l
cfDSvfjb1NaDQrkgKD3BL2MRXQgzf2ts2L8wQiBlGi0PGjN+xv4rfY2fZ7afkq4fJGQ/yQzS/6mE
7A9f7wdx1yJ7+EHW8D8Wd30n5/04laZthCzJQaaKHI9B9yJ5+OEVO5t9nIAfyDLDPKdXeTnYj4lF
CRlA+82+pOC9p42bV+bjVMn6gHHdv0PP0b4nfU22hq4NbLhYTJmBaLg7nsxCQDKZtWZE9V02wtnM
0N1fXC9hVNp6ozzYUD7sdSzH6EwlU1RBFoboGGMcVhoN86y8NMKhjNdln6YtdI7EOGgeeuWgZbJH
HI1mAx5QNEnZh7p23vi9VT2N4cTc1K8hozfe5CrGS2FhbeNMQ59Z+HkECqvpGhK4Uq9/MB0NGbsu
p46j3klHsNDmVL9wrxzhPiT1QhRiM+3XiWxpk3phFlmXjpzCdpO6upMeq8YWxbEB+ZvvmC6qvcU8
wlwpx56mVdoBbN4WqFPFyklMjXGnw7QCq9FU0HSYSqQpfFnEaKzw1UCpKEfDfiktMTO7EXDxwh47
ievE9RWt8OQu1zzg6xhejYt+yny5c7wB1M3k9ckJeHVDlFBnKrEhGEo6K5MR4hennpjQt6lfEphU
ZP4ZErDtIhOospt0HKFk1LUpzqYHJ2aLzT5+juawigJ0LSQjWEafHLSlQwmoJEK3b/rZi0Hj7UQ/
q5nX7XJBo3yI2npfJmXnBSTh5IypK3GV51km8cpPxrD1sbtFm7YWDoTWcO7EygeBLQN4FyOGuSFi
6Yy1pK6aSJ9KDhVDC1D6mBmnQ42jDKyHV4/NDl6a/qElXVhs8DTOT045D/Mmmcz60hy5XK51CBSU
nzlN9ADDIEeUo7Too239qsEwQqcElboffqGN7Xyz4bqQ9obzgNmk52t72IvNQ2g7+FmoUUysCAWC
C+JMiummN8O+3dSNSAq8pW6G+7KexIVBNUZTXzO6dBdCKSBUFhuntSZoxpIghvpM7TxgOltkcU53
iOoS3jecEAnHpkepCrvGbahN617fEpsUaesEpcCEuzqs640qfBVubO4ITCP63A4MOXC2+lzsmMca
ZvuYMElVBCM4pQgSrh8MnnSNP9scBFxgSjMYZJUoXCWRDuEWJlC2Klm4Bx0R58gniTBDT5GTPnnF
kM1blhXaektvJXjNREjjWEUF5+tgVb6PqS0Bw6fbnRYMfah5W720MTHN3aw/65Zf6qs07ebyhE+f
QYQxzdT7umLUjffCLF8mVvW5ohnSbz3Cb/giGlQ6lKP5yH1zMUlDr9InRFVp061b/Ter9Nx39FaK
ueSy3vrRfJU6YCgC89MvXTXAXdZt5ejXDpeecE3XcLS2363TrV2Z5UYbYX/pfsWEGJ45CO5wEkwi
v7uoTVcyBuMxaL+iPZ4gabfjosJngARbg13g7burGo8xzbXZLWDNWU3E10l9F4PHz8SlpCGFJRXe
1NMQwohfpcT1mWt96nAu1UgWvujRPDV7Plm5bJtmFtBu0ccD8VneC54QBmVRypjoRsZ+Nl4JmXbO
uo6ZgO1nOwqf+mixYK8ctxfwL0oDI1cfjR4TbwlzY6V8I8k23gQ5NmiVHfq7CPbJ19l3nRcfSUAE
IGCgM5fZIVZUx55jHdQxb+Z2aiOM28qP3W8Oqphow2LGJwQKowCVUvX3buaMN/Fshw26F0N/0wpb
naNasLcOcLReq1xZj5ZTuzg+Jllh5klS3VzV7OCnrkmrVz/S+5qplTfeM43WT8hg5BdR81lDd2I4
qbeze5cz2+Nb66f5son78hW7/XSPKYSGk2iJ38IcpvTX0igaCykH3wvu7YEHbYw8Ju7VSAsBI2P8
1Y5L6y0tqxpsl4xohwukVkfoyOG3IU+pFhyswdBkbN15rtosWTp9vXedaYgvAjIwOnyG2IjJndDp
iWCMZYtEw+ISzYQjEWlKJ3Uga6qG9zSwG1lTy1vsbcsmUyuX6Ay0pvVS4qvErK0GVdpvvT8MYCUI
4OIvLPNKvyiF+bEoxO9ox2hMPLIMlxeIAU4I+ny7Vs8HoO0WJ0GQY1u5ZazaEcHAya2vyTwR7Uam
bXLK0RhHAX3l/Cny2/zBsdSw+IlzMNmhVr034Zx/TDACJHsYcYPLcFM84Los94ZfzNjD7QRTiUyT
nJiG0V6cuCSEXMf46xXiB/OASrQ/iy7qgdY7ScG43OqLd7GQo4LPO+FfujH/b5c5+pYQYnFS/Mll
ucv+49+4MH/7XeLS33/x18uyhSQRbSPAQ/wmwlkkhr8GLtm/oCnHivL9zvuJV/2V2W4Qd49iFTIW
48AlkOnvl2VDJ7+b0eFyl17cOH8pbsleroq/u0o6y1zN0Q3Itzbhtj9dXhnuq7YQPhMHU4O/VNpZ
cZOPnKI7N5+7aGObktAuqsl8CSDBtRosNSL2bkZnuxFv6QB8KZdfrFwzKNDrjJ8GERBXG1CJabJs
+8Mh9EeHoTTLkt1LzV66YjIwlEd4e/zInFsH1bnxOzhEZ93WDn1ebIMqDkgQnTRyxcJqtyQeiWBG
2yM4ZNkLfYvXxXVY1Oa6J5gHFbEi6E2vrI9Wx623Qv2oM1jLShqvzYhBsXVmfVuluMF9e1CPMSF4
Nxxk/qEUXb7L/AyQFHWL5gZOSHMrAGzB8J9PUcFqymR4NVYqr9f9oCLxHb7+l56o/zs1qEW9+M8f
q7v+2x8N1pdf+u2RYrXibOHhcdDlLtLg3x6pZdAOsle3AVczR/97/clzw5jbWsbnYjGp6BgE/lZ/
er8IZL6LOJ1B/fKUun+l/mQi/w8PFbOAhR3sUtNiQ6R0/rE+Q2vWtq4z+Otc4QMtajIW5QI9yxM1
BTPJpBwVVYljeKgDvUEQgq1yItwoaqEuqFMxm/6hdZg722byGE4uM6X8w6h7K4CYmAJOnby9HpJm
w9D1o5tjwOC5E66HwjE3qe9LboyNdwgVJBTCA7O7AhTO2gJyEXC+jeio6OzaDFPpcl526gu4qGLb
jvPTMBeYvOM3kzpw4liDYnMm4Dkoqqwjh8ykOUOyLMF/G6HKx1qin52YSW3tkEyuEiwe/dM1E/qN
2934g1Xve6t7pNFJeaVsf4+JOALFMGj9iu3tpQWTaflfpszYEYB9ybwh3njpu66AaHCo7lRWBm5a
b+MlX7G8mfUAQ/RR6+kHxfGrBblr3ThZi6zaBy2W5cfEvg5Hmqg6u5HrBLU/exetC5Mr5D6UNwmk
l+a6dFCSFRVyACOmN+lVHfEnvrwlLnVDn5vyquMjlMkhVojzsripN2SPXZladWHWVHAg5eJ9DZxw
Lxc/PqP1eFujQ4y6Vh2s2L3PctvcDHkPSZbIrhXG2WjjtDMdOGtHcCR9rIYLhDvdqIHFQSf1qSnU
KaSTHEQj91Bhl1cWSmMiWpOgH10gJfzRxyR2tv2KFtyT5Ukam0+hJE1Uq+3d3DnykDtddN2lvbYm
VM7ch4OPRdrti6CZLHLQZNwHeRutRX/qy0vKpBU1RcfqaD8q8Up03EtJYFc2NMQToTf4GIouDWQM
nyANuc+I3LCpoj46p7yb0YIs47xVpCKwGcRa22ejk2s0LcyjFP/EXIurdytOoA5ELZO2eI/fF0qf
tMgI8j5kadS8N35QK1sY60Pcr+PSnNauym7jun5w5ZWZ7qO52RdpgVmbhJtEIz/0jOItAOhoXyhU
D6HgealkSs7aQm6wo2AytnipYWJ5PoIBda1EeKt3Wn8kqIwR9DgdSdZ0AMDe2lWxgSC2sSv9C9Vv
svVR2QY02XNMht2tIdxDY6tjq8RTtkTLtUnqUiQlL4YWvk7oUKjuJVOezEMnIbap9lwwWLFLdxuB
TFqltk432YzOdjpWgd5OD7YRHnxzOqAC4C6uQyiwKVj89JuVmN9g62YbtHsDUe4sMXSqimeu31WE
uNlk+O5mSB30TSctgFCsBYthFxchsQpzbCF90UewB7OCn+9a895jwr3Oo4QuAjaDdVonj26axTdz
rE4mYF3mPWoINGQGK0VnZDXbGyU72IfqaPoR1UuVBQn6hhnowKZSfJ9liZHehTdxOUR9eOisotjx
7QVLn2WuWe39uTSygzaBmaKgJ4pVHufR29QGAV6FgoxMmwpQIWI7Os0IAvtzkuj+1iDLb2Wn0a5r
nNfI9m6ESPbZXG+b2T21Al29C9YCXAtRqpAzEugGDXOMjURrs5kcc1rxCggOIF5Q2Ir00DbDtW1H
l6AJr2URPTZc0feMTY5tiAKm7NqbeEjjwIl1mkVZ2aw63cpX5ZBdOkn2VSWhvnHFDEgV4zac70VP
yZIaimt4aRvhNudGmWyZ/nwUSis2MWM7DL3oN00DqenUXYjeOyKCmEl2JDrLASy57Ewps6rybcjo
6TPF89dTPn1lN0clY2pNgG3xrFtkpi0B9rqfbVOCYJ02ea4rbdh6dletRr9+YVyFKn0QLJIUH4VC
47jNop6MZ9d5TWt8+dVYGithgZYcjfheMFqi6IQj0KcHU8h6L0d516n2OMzqus+6L2ifL+iJuTjm
hsesRZkC4CFgWnyThtVFUQ+nxI3LPY2+B9gWIdFXM9wcN+7BhmTHrHUvxoyVF5vJC1gzucEFse1s
+9FqrG/wHe+HlHOGsvBO18pHZFU1G3e1MUr4VWmYHuSs30B4YMOUL4PREwHZyXTlaPAxx9462k6J
zrnr6lWpDXvkUvHGSsobIDOoAPydSg3S5fUdvYjdGMk9IYhMEQygtmN7z4qhcQbN2SRO27bLgPzL
C7oBh8rSn+yxeXWTzgiIfXjUSrizFWjfwMizV6G3+0wbrsljcdf0x5CLDfbai6nDi9wClSW3aCZC
1PDZvtaSIxBICIuIrIp9Fxp06Sz7aytx3CSj9YB84dlnQ/FL/sm97NUyx72T6R+6ziTeQgRbDzlg
SDMzAtTCW3oiR63RQZgrrC8N4zshkzU73qoHhxq47C2DfAmVtbZK0nsxT4NJm7rAMqaHZDK0rZ7j
3KHhmXJgyWhTc1pMzggaFLTdis3ChX+EBA1AbQLOcOvLhvAxY4TqgPIqyL3OOFR8iFkXx0ymHDVj
bcnrQghEI6Dqip3ItTM0xaRkSemAkOaS/6sL1zIL78GBsLl27/qIjS+bSIjuc3lnGWV4mHqCLQtr
Kg8xfpa9IJZm5xVIf9tK1bvS4BPx5vrHaojSC5SwpN846RdlomfSBNGfKFB2yPJR8pdsrfAOsDW7
qiexzQdE2yY3bl3qm9Znrpu7zWoqyC2b7A5TiepoLGuI6ZIqvdX7jjDvqmXq6tpfwxw1Bw7+GwX8
cSNplK61TOPoqNM3z0GQJcKe/koPdK4tpVwPfuxcNXaa7GId8msN+urC1Wz/nKq52I/VbLKcZh/5
Fon0phf7K2cihT53yuQWuksMD2UbbdvyJonFNQBJMDim/zoQ7BJm3ZWuYx5AKZA14DyGRG2trJYU
Y+IaXox21WKb2RoTeQaGV12BSUjhFWNFI2IJ/Ax7oZxFvGMUPK6Zba6RGg4HAtpf00bjuUa8bl62
bBliGG6orhYOSXpRGVxXzKILiBgC58tpUQqevCJqd456sWHXkHeP7Tnb5G76nunpV5QI58JHpOlO
zsVy5DYAuJB5FIGvhhdV5CB5wUbOdDGgCSfFapbRETFYT7e92WpJ8haRienXa+VwG3Jl8SY0oJ6V
058MP98VaXgWThqBXCJ5NG68dTOrTZnLdpcDhuDuZlyHkiuIn06Qn0tnF7bptlXMRc1a2+he+Bqm
IwnWnnPiCOS2A21OpHa0sQb9HKPr2+iOalbYJG5DgVC8rZ69SKEBbW6I2D1oWCN2zEOJopqvQrMy
twCi1irtn82qvjVL6yYO5V0Vw453K+MUN723DuM+P3gOf+jedOrzfNtN6SVT5EfA30x6IdlL86rN
nYvWmG+a1vqCtrFYqby9tNoWggiTbZcRJwa2CkVMc7KbcYuk81yrMNvm7XBGLynWqaqvYo7NjVeG
5zqJHvqaVYbskLNgqIFHQY15juhUXZp6eFnp5qGewosm4SIt3RjgQCt39EzRGRXVy+BMmxFt44aw
3mTFrf3U5fUd1v73cJ6f8cqajGQUhBtHGwPo9AnkcjInR9M+kB9/csIZoyOPWTU5q6iLH6Wv9lEz
yfXoY9FzJuoT79oY2t1SNSAi6B8B0XACxjJBV0Cdk9DfWkfGMF4LgQQsxJVRJOWTRaNujYCNi7IZ
2mQPiGaNMIjapuD6G4o1ROirxu0ZuVfuuZTth9VRUtAmaIeG2orcLJSI2hbNydNcs/w8eDOHrKz3
UQ9tv1m6kYOv6MU3a1/1XNrHra71l1aDejLPa2fNi7l7Bm9t4FePY+VjlwOovXV9+dVxYKNr5bVy
wvM40cG2My4pL8y9r8KILGmtiVYydho2zfIJ086tLE4O82qGRzdty+2JSwBXxbE4K2dcm9kdbvkt
D9RHAy3G6q48QfBdAtLAjm6M9EkOT6QML760+BJr1gWN8We3oAaLWa9+dTv580lzQgYG3UMMinqN
r69bF3ZeEEWRvrYyfDAN/Ya0R8S0/XaUDZkMMDyrecAIwWcydHY3SqNo58bmN8/DfQrVi1tW8s7Z
gEau8I+y5B8rkgDJocfGdFLqM0jZEy7Vkv4N3xKtFXkBBKdbAcUC5+8rGVSmjRNQZERnhC2yWnvL
4bljQGLvp7FpL6bU3aLJfXPqIwnR5CEK88ILGcBlPWF3FditVS3UY+Zl/VUtrB00tSTwU/M67Shf
DWHutSrttmVKMVwruMe1Scnax7vGUZcmCzXwnGHa931i7jBbDAFRxWCIHHGNpDu+iaP50utqjE10
dzYgF1jDdrYXc3XTueWl6yZHmOBXg3CnNXt4afnnrIEkt2SUhK2lb8dwaJ97Llm0ikZOOqJDtx4c
xtvJyEnauDZdRDGTfa8BEplUCT4Kgjcqrbr4GJ3MeLdLpVCil03f4VR0+8/RmUUlNIl4Q3bngprV
mFL25o2rYJMi2383Bh8s64LkIjQ8vKtA7S6iSrIYDPsKM8Eh7c4BkhievwK/GLjpI1HgJ/yY1Edh
wuxmpFdQ5hF+XHENKig9zzaXVuYGwRC9LXuBmVDOADXcDbPFGLPPA76tg545EGs9Yxc2zB2iPOfI
SYls0Y6lMR2c+tlR8SXUMaDSsBOHptqWjhaA1NgSgYKAL5/PWm6cqVnkWrkacFxXE6vWQvGYWvmD
a9Fn+P/WdJN86340mtBhXvwaf9ZDQ/LzH/8+fG3+8Nd+7aLhlbegMNgG4z5P/10XzfnF8HUL5Rca
fMPhf/zYRfskvaDVMCxwcT80ph3sLvw4aBbHMWmx6cZf6aL9Q2OaGtbw6OFZLiEciEN+30Mr5yix
xAKdQtEXXsZdVh0ag+CCgcSA3Q/fzR/Y/P8h8JPmn08XD+2aZdq83E9NcFRneZ3EiA6o7kmt70Ad
CkSaF2ZD+oqH/TZQTIt2YZmoC8sdDXpglOlwsB1iA7CN5BP7DDsqOsTl8gO52XrrjUY8JWE3bf78
zf7s2eEb0X/EZP0ELPoNk5UkTL2bwqGK/O9hskwYXETJ4hIAF/P7b1+3ksrNXC3bdGaTbtLQrbiU
54c//yisop9mDyw9HbEQAxKmGT/nkQ1lWYHk4EWi6EsbPWeF2Dp+dIG98c9f54++MpIFAUMYpgFQ
YnkfP8hlJhKU8B3Dx9KjZL5jhOheVRMk0v/Gq8CRMnTuSsx1fvrKpF5z6apjGkhIbMhRwa3pwgP4
8xf5h6diEUgZ9Hd4LCG1eMt//+GjGHWhZDz2XMrnJlm1ZnNBA+4x1qf/Ig32D1+HCbHwDf6FeM3f
v06olbErSMrZjHhZTYWwNHki1fr7bg3p5I/5GsZiMPv99Im/+oeX+alRHrpR2gK6yTYM8KsvhjO0
x6nqXzo3ogFmOO/M3u/yiYtmVtDYrQfYAH/+fQJy+vktuKZgAOby5AsGxT8noZqhTC3isS2sTijo
OVcXiY9TE6SHgZtoIcxnKHM72goRQTCMlsZ62xKkU+76JpmHi0SrIUuHSfSESBZvR5brGK6MQaDx
1c3JCcYMyElQGSb+edXX+GWw5Czk9SyKaIyLVjGNnipdrcCdj+nGkGSa8J3P4owqo3ToW46eiyyi
aLAWxOrOjcGhHmQbwWQvG+PZV6Ver22avdzUuG/Xx7inEgoMgqSYEtd1/0pjpC0xlYwOgfBsSjEA
cegrAdccFyT+5I5Av7XuOSSbrT2kPtERK49WUQ/htUEFVVmjGdG/hRi5shUZPlsBOHU/EOgpoRdb
0CFiDD/Lh6I9vrHQCuSEOYFw2MI29h4Qo8aER7bRcA8/ZROGlavWbDDxseeA0tZ0vYbLWR+BcPij
0Z6RKSAVm1KSVFaMJ5uYXLDUPmu6GF4Z2xrcncvZvzZhDZRsf36rB41RQk/18q78yOLJo22OQUNn
g3QR6Lp1nl3VQD2/1l1LhWxOoffc1VlL6aslBuyRCb8G7kPXwjwcKu2NwB0upWAiMBuFYa1Oejw3
5dXwOfybPgeB1TITbD/Hg0Q5LQ67z7Gh+zlCzD/HiaMao3dTJnoEaXAZP+bDbN/nn5PJmYyifDNX
doRPpGcm6g5mcet6EbZhb0j6bzJuXXtnZAJxNBGRV2bTL2b1H5IbbHIGqcxiOBirBGM8goaZMKc1
hk1AwLEQKEdmKs5yjQoa9UCNnvPwPdCBCVkbrTKtb+8/Ux2wbjKGReyi7nPhM+z9s4CHRG/Kyy6t
SFKYrWUA5Ckl5PWU1c0bSffMd1LyGGiVVB1/k82CvWoaXRT7hBmtGcQmjY4A2fzQ7kH9UpKrKJ82
KsMFtdLLhvnyjJWRjLZFgsPi0MODstC+B0YrhuccqgQ1b61nJ36YfcHwMn0ftw7PaoWDpViB31GP
fF3ZnQnbJwkmiwUWOEyWcmZwkauvh6mLP4q50V7CKYZsYOCyfEm8ghpo8MwG9TiYPOplyeI71hHD
w6MZdty76fZDfGh708uDybTjcZ1ZDRsDV4NsNxidSa7gnLYfBP+5/kqXAmBXWRpsCbASvswt4g5A
0khlgjEKeTVTSvSMXRiXL6GPP2hlgfUNgXo0VL7oHmED99gm5bjEVWH6/+LY+fiEnUF7DEVqNgc0
WkghJxKcq21ta+ZONADo161yqTrHCmD3iusBAj64Eh1I7O/Cvk+Rn/Mp+Ms+xX+aiw4wWxSBpNe1
zDc+hYLNp2iwpjqe13FiFrBgURWGi76w8TKkhrIqsWOIobJuiZ9BjGgtukTxKVFE1yPOyadwUQe7
cOOQREDq0Kj8s8dIH4UAQsqlpkH7GH7KIAtTHxjvMx6i2V/J5GR/iiZ7QFCEKTSmfoEZF1llY1jx
nbNoLZl/6JSmYe/sS1JnPopFlfl5RPyl2fz/frULahOd0/efj+WvMbm9/8vb+7/cfS2Q7L+9N78v
Lv72F/xaXIhfAHstjngSRVHwL9bzX0f0eN9NbkjowFE2c734rbjwf+G+sbD1PNPjt8F7/X1E7/zi
AaC1uVoBYTQ/EXV/wfoOj/LnY9/zkJlTqLhIaYBW/nSRKvRhoCBABwivBSZm6OOjqPq6Rsdn0ycO
/SZv9pgYL2k99odJ5OaX2GTHHB2j2tPDUdCduvKlbrIcKlA1XxoYDK+Fk2Cmrwrx5KYxI7V+Tv1L
e1TTyoPND18RZ1DV6s1XfCFxgmOiTWFXoqiJX2VZ6PcYyWjKh3qR27A+NCNjxpr3z4Sr0C4wq5hk
IJjn1kCcTKX2VPTcEUgW6lds73JYdXHdw5WosDE7kaYHJu02/G2JVWkQ66P8sATw3DdpSdBmL6PE
X7Fp/id7Z7IcObIl2S9CCmAAzIBluwM+0N05B6cNhAwGMc8zvr4O+KbM7H6vJLfVtc2UCAZJOOya
XtWjww3xwejOziO9uMHSSxMn2/Fbm/451PayoC8stDEFjk2b5iyoIEUK2fYv0dw5d2nDGqbsRHXl
DGUGSN5or6JIp9lzMJrnRe9iNHcMi48Zrz90xYAosIpG7ZFvCwM3btC7eAyq13Ka5Y6OPsxroO2t
bSOtwBd5jyg2ouQ1YwZkqmGmnlKFKAQM+rWRHOx1b1Am1vTKr0y3XeXPGB1+7m6amcbGDjj6jrpA
Oh/Yefl2Q1vKxC8VwZRiCb9lxQQ/fV31VCb0LbjTMEyiJqBVo0k/VZs4FHTRYgXsWYDgwnOXqPCR
+rMfSY1Rj2qtHQvUHUjzS4vKoxZ5Y4zLFZcE8Fr6n4vMSLwI4i7NZPlxRVlcRu/Ujqax59zCDJDx
uABYpe9q3qlK2nADmmyfmvngEyKbrjW9Z2MmlL80Fe1nEHu6QS+3CfuNjU6qbxcTetq0wEi8XCt2
E0ClMwcn1TxLvaWYxDdYpYf1HdUYr0OSnKVZiY0Dneg2wmSzmekjcCbjFFFI4sVl3GwcWgnocLqy
8vDLSJNTVpbuQ6409vzhu1DquTNpXJupwXoymQmf8ScLrFWz+0DeONliOxQbCiYj2tGa94R9BQF0
ZyVsPQ94MXauRoVJvBoR4IvfJSFJSRw/xdpn9RItZuhNgcju4oX91yh18SJjgFR4s1jWAinVqmvW
2fuWfdIYF/yDe6K5LFRBKFzNkoWruWAObswQTbGZp4fEKa+tRj7Gs7yq8nbnio92XawaEUCdQP3M
iuagSW1Do8etE8Y/0giEOk9NVqzsvnPvWBdhGNfDnG3zjG9pSXcyLA5yHtRVI9VyIf2ls+TC5ab5
fHB2gbvaGyg4eOiqqLuUQ3TuteLiNhYaWXE/wKpbisgD/oJ1N6heWkPmW1dU5zbhQ91XE9OTET5B
JXroYAjsdE37yOrywNa7uw2jAqy/ld9G+NrM5VeeiAtCrbm3ZQ3jsq5bnqN1BtJMQrj+GKC12zOr
iA11v/y7RmMsfwCNti2KLI3lBbuy61GUguIJ4ad7kqHqXo1A9UfhjlQMMmDO9mZJQKZvhFGzcVhY
CJ90fg27bHH6J9NY5B2BXG03VFqKCm4J2NqDYIQC5D1StaCNvsmI7WGqrx90HFGvQ64sg+RDG/xQ
S1yeCmBYLE+N4qz3TfRMUEW9DKE9HW3dKr3Orfozu8GU7q6i/tFSLZf2ydOgMfrPNm+tTQEN7Arc
GdIzeRfybLb+HFdOjp5gRz/TyTV/aXXVvtG91vph67ZHLUnxTDRcJZ7HStTQA+1Jn7ZzIEokfWcK
X/NeiS+Muxb3Ou4hF9W5j2aWlF4Vq7LbT7RR4GuItRwbg7TftfLLyir3kDq1fc4KLQSrVZnytY6K
1jfClnAEwjnP/SACuZeso96XwGqocy6dwh8jaX4lllW4G02QkO+KNHnlLkbeglDxjUZt3QsmRvPV
Mcv8tCADfEXwJzQCF9JY+49d+UYFjjFSZTJY576RfJKabnjPkM1xXqxfftQXcIkZEcQKpCUFO5qe
V34BtonaUru3orVwNOcjl/YZ0Lk4q3+6SrNONccprbtsxAUebz5kUJnIbcQw7N5WxMuRLDK1RUG4
dPew6Hr85WUItklE97RfA7Kt3FLaGPo5T7xJdBo5l9ii4lDPk4UoUv8rb9eUQWhOGqFcEPYQmfmM
cO10D/D/uGlYqoN2lyXJjH4eOOzfUeMN8UK1FZ1KlJz5TSizO/ABwYXMbpLCICEoUpJgvaHLO9y7
dl1fDDKdr3pnkPXRO+eHi5ttr0VRegqCjvCA23W0AnfmLimd1MuZEG5oBAJK1Wf3HWiRtV1D+2WC
HFgvyGF2S9glZAqNwoM0WvVpVUPwnOPsp/Epr2cmhYAu2yobwAJQvBRTZ5AbP6Vspw0/bfIhUlFl
6veV/fG/U+ufhXAbrfY/jazb9+zzvf39mPq3P/GPGdX6DYoPMHscpGsccfWK/mNGtaEwCaybOstm
AW4J/euf8Fn1nWBETlwFckbVf86oEGsB1jK2OojpOE2l+VcEcCbeP82ojg49ymJ2thmUBTMG//93
Yl8MmUXgq9a9LGU7GEUltG5BD7AT1vkjQiSpM3v4uZDKW7frjY+c4XgCetCdUnl008swODhI0bSh
iSNHGO4cK6fzJ58crxjjY5fTWkYjOlt2rXF8ibEDG9x01IbcJWjHqJYSU9gMA7ucsS+43NHqvF2o
PaVLlliR7AwWQYyqWkQlNd1a2Pxg83A+fGVpzGbNXJp9O9bhNi51dCIt8EKlnpoJgCGb1QdYIFQu
W+HyasiRSuLWuW5GovRL9ZKuzg/0hQknWvEypcPiNab7yufmHBXBySj7N5UZl6hzT7Oijsau6G6c
AOr33YGMz31N88IG4uiWQmMsFXyuCdLkZ6IYb8Tad3pQPhVl6xcaPMPR6KYtxaAPRLUoEeoT6n0m
dKUpcbD6kSkh1XZEw/GtyHlGfUFwX/IdznM2kAvNJRaBQNQmTngs5R6k6Xf4nQb+c8W/D1bdQpv0
bqJLza4aTHjprdOCpayIZFHac7aG4jMowt04ygOvgQyGRecpPVrr55incr09uCMA0DoZfyWdkx3d
LMxv8avEHtRrRiwM84z/IQxFo2y2xG+PhW2PXpWAip2DBs8YRn6CZHN0G2bZk6Hg0sT1jr7wd4OS
HU8mYIrrkeZH1DyfNnkHQtVwPZELIDk6vqioucsj2z44qrgCLhf51L5+Gr1reCpfI0FjcG5054YM
GA5IK9UPaipvUIXIMbnqmGYTLtc6N3epNF9UCAfYhv8w4azdxPrQHRT+y70tnOzTmIvGM4rgsaWj
b98240WN5lWiVOGrMr1uiuKUQjQAuaF3+3ElI8rROuC0OAxD5tMI3OxaK2y2xFiNH0ijL1WJAAbQ
zPEoLAR5uJIWFdWme+jq+ntfRItPuBDGbbqoV1W1FEwGg3YXkGzaEiFsSdsBh+2HiTllhOIIJaE8
20OQHYG6FRBS0hfJ3vdQVLnBeRLqPD0O2AhngLWTF/BWlJO+10ZuUUsUD/j+YPm0pVyeqtb040k/
wVd7G5mtuig8Q12hYxwmmzfFzY0eLNN1lBRvbWm9R5l8SxXb7rJeSi8pWowbKLdZZwKvSJ8bjTvN
6luYmvCNEOWZ62uxmZR2VSzQS/OS6FjIY5J3LvaP7m60hLuJI6ABQ+RB9YW7UqZYeeiM8KJAwN3V
9jo+Qs8Ka47cYMa0Jz/tWv0qu8RPLZ4sMVkUCOeEOwvzkGrr1agCW8buzOLRDr5q0X5EWnKdOizJ
aFF+5Tfcnep1LkRpRJxs87ewH3+yh1x72koYHnHU3kfGa+BcRPHa89lzfiT4EDw66re0Qx5L0IZb
TMG+ZtJEF0f3JHtJgQye6VI8hvvlltGZgsnCn3AMh054YjemLw9ITTkJPi3ZzlTfcSX4MWj4BoMR
S0n7kRXqYHQfmigvogXXbP0025ai1gwIhDP0s7cEhF5i0+Sz1RU6Rv4IfFdOmFDiwN2ougd3ERNh
BadjG/bdGANwk7m+5b1Gky54Gi46J73kegmC5yrvR75fW3vDvFbzSQhfcqYIvTfe45oW+OE6MJLb
MYdcB+QF5Rm8ENrZq65oJ3EacR3MnYEBqzrTgItu+mEm1tGuu2wPl+KqjUd+Is6pW+gcirBpWHmA
mTY5UFlY7gFNfUUZoRnZle2+BUDdmOAkphEDvwvGeEn3Sgv3SaDLK2Bah7yfiQLWF4CANKTxBiU7
w22tLbYx5iZmd6cFX2zCCpU7Mwu4zwz9Jp8Fb6IkP7QZRabRYvGQ6VVxK0Bd1ibSdLoU7HeQBcBs
aJ5rigTCZ5kdjMIkCiQZZ0XKdDRp2R15187Ts+Sui+1muwQsIkqr/DSDAKtO8YCNnCOixjcoPWAo
u1nXadnVKKDSV3rJ1GEpi3ZpMF/ry/w5Dc2XrNZhOl+ecCvf0qP900zCxMtoOdyotQCuXMoPM4Zb
VpfmntWKftCi+hYFc99HTHSAiK/5KWXYiOicI9t8sjjKiLrWz0VIYMhpag/3N94JTfGLRswdZe5b
4chPKb6bp/55FtWuSPTKg4WieGvheAqnkBcQqvKZ3PvFDCjNmtia7q1WG3nOQLXHoGk2Q9CcZh2D
jQyHZU9sOfKI/QN7q2jMhEdMEiDNdmVdv9QuZ7aUertL4/4NpF12pOktw9losZhpzmIyDy4IqI2e
GxyI6S1lDCD4VPC4qPieSmfeHO3Iyk1kz6UTfbquZm9UE7zAQSp3XTFmvtW3H2SkNr3QHrDWnCpi
nfqqi3MnwxPW3zV5v9MXG8d7/2JiMhqssbvK1vcgV9enSA5oaAlNviCMCGRCO9qOwyQ33Zxdl229
+LVDxCBQI/kzrXpmky6wdcERhNCWPJjwpLdWGwZ7gLqZZ1W8rYZGUX6mxy9lbl/r8XymepkQZvbZ
YW8EELn0iOkd1vqiH3ZTxL10EdPaNMWlT7EQSpElaBsrDrT1mqx9sg4GmXhNWyYCSxZyOzrgE9ll
gTxEWTqILD0Y3FOvYCnA0CNjvEu6cT6CC7jNbQz0Y421h0DOvq8Tnq7KZkOj6xwhTVVRh9uIY7c2
UZhmEZxn0+zYWTRvIbeYnSzKFxuO2KZlztt2Og5u3kARBp5sJdjHy1uIKRE3TrhTYBx9MncHKM++
E1IBCFHGz9t4ryXicWzjq5Qodi5Nztze/Ik/Df/E1B4WR41+oCNqCZcwOtH3YcNKElwXh8xGqJp4
hkk6uJ3VPX2D4hio5bkgcHe7dMMtZjBk/GT6Vc0sOYOakAvEyydeGe+jxMSlEraES58fRtd8JFVf
7NKQ6UKnjXI/wfKd5/g2cdVPrenLx7wTizfwUfOxgtNI3jJamfANfTrgoGxWwz6bDN2TAAr8ZbRb
6NOQGrGkExnkgevGvPqQk3Wgw4d3PrsTBmCMbnLBSLqW/vm6XtwvxfIDvPWtS6poHmfPjsJTHqax
j7D4ySDRH1Q3Ppgos4i3ZrMHc3prNtPtGpQgho14hnmYHxE0RxTTheZUFqYZwvcOQFO/IyN+IMfJ
rjWLRl8TMQOJywWR+Mmd29o8u0H3XCSxX1fuNbj1x2QhXrk0MLjU41jMqECM8HbbH/XG5kHl0eRK
LFEWOnGfJzkNsvhSoW7alBrb5Q01YqDwXbVzVXvnhMQWrboUl8q2NYxf+QvAfChjMeeyLLaGJHCS
9fx0JgyaXhvPb2tk/9w0WLb00EChiedbsxrPBE2inak5zlXQi+iQGlAITNIjoJmCHu94hJTc1C+4
wNlVxrGzIdNyXdTpwWzYvEqL8zVAawycsEM87PZy5rjT2tdY1ed5rQtQ0TPPAHtkusv3aBanfA6+
Oj37UUacTA2z5AAfeshtDN6D/SuED01AybhUnCJbOHeMF1V06q22vOF3DIxgcgNfzfEKPcdaD4Ic
bgbZnsBmx7gsX+AdMSFrnZ9kKyKkxIW/frCxonwSZd1nqnu3rWhcQQjuBszR19AMvZcp4ychcnYA
fF7R2/idkcD26zLzoUY8WMiNgWbtqbRV+77UDn1E05CiCWFOlvtGS8CvaYSl6sI4jBEZEtUrgjIM
JU11a0TxTa9TspinxZvrYH/L1oxHHMJAMFqiLElI2zBwKPTsQZrUSaLRI0H/yObiHvzSrjCisxr4
VOY9mDYxeawj8Ci7V7WTvWXkCgqjecD+faFr57FKGZbxuG97G48tZFp65kO4dRPyC+3T/GExfVWt
Y/pQV+Fl0POKJedkm/OCApV8TVlo4O0238uETuHBDC+WHd/PBGs3dQ83oawyHcuootF4jJTvyonH
u+TSZUzdjcjwSIIUThgq4t43GuenYVEyUBhu4PVNz8OuYOgOE8h7S89YvCiefU1jx5BM8fK8zBqg
zLC85cC7b/rhb56vv7TV+/8hcYtI4cAI+k8yyeU9/HzPfhXvv1dK/vnn/iGWmL+xBiAsjr/JsNFN
/qWVWL/BorZI96GWmOgerPr+lWI3LXpz+P9Kmgb7vn9qJc5vbPmocGP5ZuEBUhTv/YV9HgHdPxqJ
cCPapk5Y26A80iDP/keppM77oakLLUXrhibIBzKwr9TAHKTN7wY22sU6OnTEYI3/YYZPbbETLM20
Zu0TTk75RMaTD2VR3YXBXRcsRwhAW8O9nhNW6LSA9PUhHiYfVOHudz/o/6fz8P+yH0lIkuSYsbkA
X3b/bHO0ws7OTWE4WICI/R3CMBr1jTIm7a0gPjXtHKfRM+6wkaLOrHYisY8ZA38pvZFvpYl2RXQA
EKCnRVK+qGbgJqQSK2j2g7TTbi/KNUYTmdb4mFIQVFJSWuVkCWf2rHA6R4eIhNYNuBxDOd+37JxW
4JzSDMaDadgPLc0Kl5HBftiYVB4Mm34ogTOzkTFaH06M9jXPw3y3DlhrktG40bOuQYtPVX5sYxfD
RBQRmjKdED9VEEr7sbJj0rg1eb7lOFtJ/SsmZBpvSEHZ10wGRHKzml+1N4PDYyNWdtEPfoAkHSA0
ceUcFOBDP0QaR56WTTniCZ+nx6GF68gZVCa37aQZxr7IsnJHVsnCUUJrJO5kbVnLArukBqxrGLmA
4xSx0O3HLlnocpq0x45rkvDYzSETuKAY4Tg3zVNXzE1wFRkxvMZKSKJZUzjfzVVZU749Rh2N0TEQ
102zgNIilqd1kR/mQjCqS6BLXGCanr3KbHMxXOgl/9DyCitLHxTdnShH93Hh676BHLGe8ionq0ZI
jnbGpKjtGu/XUN7G+ly/FkHvQNFEb/6ZUivRUtgBC/XAiBIQHA66WG0mO3Ti0xRV47Llg5epvZMb
Cfwvi63gnjqqIDoI0qw4L4pOhLvhG8UwfmMZSACDaHC7yLU99c1viLS+YwD45jqghZLI+qY9FItW
wdruWe5siZ/h7zEAyHILIhUc+oTFMvMkI2OsX9zVNsW8goNKU6ubCrqq9ml9e6ysb79VPAys3YH/
NtRgDKPzWn27syDPL+/y27L17d5qo9HSiVd8u7pat/iqv71e1bfva+kIkW6BjrvX/JvAqS8D1+J5
tYs1384xWRRk3LJvRxkbzvYWFWAte2qc/tx9u8/kakRzvz1pyepOW21qJsEb1yMQ7/6Yvn1sJTcU
lJlvf5vrVHjdMATpFmGV1QOXm0NxsL6dce63S678dsypb/ccwyVOOlNSM0peZ3XYCX7nr8G3764f
AoW+trrxGpSYvx1z/95huRo1f++wXF+MAEa+y9KwOP/Z+xp3aZ6G1pL6IX5EsWXLyoPCXDMd1Xxj
3bsAhvz//E5b3bT/6Suur+rfqdaCJqZFWHPqo48C2oWgW38G8X/34vyzNr5+Xy7uc3JmjlDuaiL5
/VcxDZOPfGykvnhrIKWzIKXrio+A8kh2kzYqtt/f1V+aF/6nu4A42XUWDaxB/r0N6P807/3PP0wK
//pTfx8VpPubBTeF5Ql9i/xmfj8riN9MHEEKWccQPNKrG/fvs4L6zcDXI4gQwPUQEHP+tVeRv+ms
WTD+CIaLv7xX+ab4/OEJZYZZBw/FX8gGieHkj8/OIIhEzCNb3KGAeeUJ5ZTGKewS66MfbEd9mcDR
e5rELCseSa9q5XlhlqGvTfKGZ7Ofy1ebA1TfsjLU35iM5JdW6uGhLRH4xUiwn9qB1hOgrwj0V0Re
pSRbFXLjScbO/EppGUdAb+wH6eBAWrhOANBTnedoFYH4KY3Dp3Cpo6cxaWndyYoZxr7q5jf4wdO1
WkqYam03tyT2MwtazxQ+18oFAR+5+T29ryZaal7iyGm6m9Htw7PuBjOcEJi5G3Rw57AgVt5j9sMx
OHT9Z22GxnWWxd2Fg0fimjDbMzsg66u0IU3uyzwjkmtq3S5z6vqRbZq9twgF70PDPgTce7OtbXRQ
GEzq3Yte2bxhXR2lzOzOWofHJdPjizLnn4xB43hMyN3fVt00wed3Yqa1PkGFmZXdkOqq0Dv1QHzy
AD2GxLlOHJDFPggNfhv0GZ9N2LcgggprX8jGMjfKydPjnI4CsbYfLSYlylRvqtGePlSdzQownjvc
RvB/r0enH/AK6PVwof+o2c6TO3+VjuqeRdFOBa1zbHTAqtjWF2MPnWrjQJmSqFPrc6mqmnQWTuV4
m3QVvAeKLvp9H2viepjYNRGdGsU7R2P/6M413L6ppX4Ce22RKFYvTDp5jOmkp2wNWnyiE/+GaCnb
sbuIMhqO4ZR2V4sZRzdzKaxLTetA4TfsHSg5AmLIFt+6MZx2PhX5ZD5QTJby5nar/B636xRt3AKD
KsRLWY0YMLj++o6Bu5wuEIl33pixIcPyaECF5Amf2o1uZDUY+OhEzREr7GWuP2xY5g9znXYn4IXv
2koQ0avmModtBvpx/uRmkO0K0wpw8bReHwahFzqJpw+WvR1a0e8AHZo7vRZsIowYb9tkW09RXz3Y
cTSeG7CDfhfE3U84moiAM85pd3LtX/Fso18GZAR3Th2Zt4HonL1Ou8dVLCgGweNikg7Jhn1jO3jJ
8dz4BI5hJnQI2llGd/GGunP7iH+o8pYkWi5h6KQK0/jUM+a5yz420F/DrJCE8nPaP8qePQIKet3d
z01bnEPTGPegI2Om5yq2+PWM8x02/3SLy49GEkwqxoclanol27pvNw0Wtx1stppb+zAdpmKWFyBw
7b2z6OGRNF6wd6Y+2VG/hokeUlvnx0TatYB1xGJ5PZStZzmmCnU2nLG2gcn3WXPh+bUA5u1CfZJ3
q0/wNk4ntcfBwCwnuo3W96fRdmnrMnoMPO48nqbADtBjQyHJgUI9J6sa+4Wx5jglBaAehZg9WrVQ
cNfjGsroYtXLoyumAefabF0FZC99DfDMj8GCj7RpXL1+Ds0IjayzdJpJJ4ElL5z9dV71SuQScFnC
fhAtBcibdhHOLiFAC0+2QDAwRXdm2l54LJQ4ZwrVs6Fx9JV8pvzMzAFtXg1NQ0XD2PBLMhTsAJFd
hZYGoUOGOrTZ2cw2sZh05BHs94eqMMKDPdTy3eSPEl8Hngp4xqrUs2uXM80ta6bwf3UB7G9g+f8U
Ivz7qc1Y9e/P+kMP9OT3osC//tA/VAELcrMhbdwJYOT+CLeTuCu4f1JIsTp3v+OFfz/qzd++z3FW
0SyZGRFsxIS/k7iM32ybA2RN4ylFGsH4axYK8efoFz1Z5NcoBNHXnBmd3X886mkhzOJMMztvjpeF
stcmW2/yyZsRyq+mEw/UDPLpicTrGFuvXWbLa0qsmlujoOiPt0WHK21lUaQaRQVWOn7U9hLuG7ys
cG0iHLbIHkyfICfOZlt8Oa3Q9sscgZ1oivypStinSq3GT1UXVXpHH6KLQZDrm9/nengdkJx5Kpe+
+Oic0d4VPQErncp5xNRqIS4Dmyri2AurGhuZjGG2BPZH1cjFS2io+dHadJMGcz14+J5wemAn4TKW
4CvoXKgcBgtZ4GO82TZ5lJuvKnFSP5oFjGGrtPstJXjutsMSC+XGWVlDkfnY1RPb7DLkLrJkuPlx
baF6zpQY8MkXr3odW36e48IjuxylvkybdkenhsEKsrBunEwBC1jBuA0nm8eGxngnckeIUOka8RuN
GmVu/LvJZEFiFVXv0VhaXJWhcOhYEWUP4Kt7SLvlOjann4Ci7yNcDA8ZjOnjYJvRr5oJ8mBwpOkL
yzdzQibAqoBLLNXwgUpL2zrEXS52W8kb3Ocf7Wwu15qk8jZuc31v1io767zRXvQ4UvvZHjTKuqZZ
e7ai3EB2QWHG5YztsMndaTOTeKw3PUAViJrRCJlXLb3xrJO68bMpl3e9NuoXIp/qGKalVW+b0WFg
qPiPYUREL0D2x5ijTF83i4ZfOb7m0s27HWNu92DXZnsjrJamgMp0wD0l/TGbVHnQSkhkHWiEQ56Y
mFiAEN44dRmB1aoN52WQrTyAXX3JY+Qusx5zeMWTdTNX2XtsrNbEZG5viKrjo3OAY7Pn52vATwBp
QiyIY7YnUoPnkfh+0xwdcFcbI4MeZ5lhaW8Dq6ouAE+yna7wBFJt1ibbvrawTGaueTONBhQKAnF3
w+yI667U2h01sc15alV8JBY5Xs0l3+dUu5WXoinB1+aqtnFlc47TUts5M3kfDOynmLrCMw1xh0y0
OC6oKkxqfPJNy/iqsRW6Cu3W8F1B0xWlnF9ls2wTbRoOBHdKTgnk/5E+0UtMYYRnNtH1mDTNWS7U
IuaAXHZ2vBaJrX2J+mQnRzsyXnBZ0egA3hLXJ9vNKNjh8OY8IfmepHCwOFR0HyflAyUa70PdXbVR
em1CLthVRnRRUJew8gN1CnDNOu2TVpeSvizLhzzE5nqubusejwED5HIyTXkA5Dvtpynd2dLgC/AQ
sRZ/jfSO5i87hXM8wNAm8QDWbl5FSLHsp1CXOLoDWm4gA8GY03cAnWEf5zbe+i7C7SMS6XVyfk01
mmyix6YDJTPSfLZ+Bq40bbqyEj77lYrum4Qkf9cKk3Zmp+cWocGJoVBiL7X2phzKEystzAF6z0rT
WmbMIdTMidC6aDz9rOyq0ssX82VC/zoN0K23WStQSdIXZyguEusGMPmfXcku3oGr5IAIybP+lElp
+crO9jEvU+482a5zSigc7ZHthLl33NwlApT8dFlcFtadLIa9yjpQZc1AdVRsnQI+wi8OxgXcuAP7
Tjhi25kuEPgF9YVCb8bLglrvsrOPfe5eSVBzKHzTs8nfSF8pwM6yvhlH55iH2tEBen3RGyQPGuNZ
RyxNvRV6fbTN6jRaM4ChKLkpholOkKC+C/WautoFjw7WDt7ZJRV+KX0WuP7tiJddcJ9UduprWQVa
L3HFIYVG7dlFpm85F9DEAjYh9vSi2fOb7lQ3i41bXisXsZ3YxxOO0D+cgQj7iif34KFTrRhxPwgL
titwnpqtIAvIzRpYwkAEdIrcQ1Q7v2yj/jUtQCPBJfO96uVzBNaKpaJJ9rGNm8MS64yUw6ulUfYU
NantpfXo+NoYX0d4TE9DE8/XnFRHI+1BL3Z6sDcmat0zM+MDIUZYj3LwykpCJhtYqZl5e71MMeFE
AvrwcrLHRsKSjqeQ/pTmMRz7N2IHVPHkuPbKyP2cxPJgT+mTURBooFpHD7MTy7eR1SJzLS+S0qsD
XDxaGZ94si9TS4+LvZBVWcT8yADu823ctuyruAdSqxo9kbA9a3NLmCPlDpiJC7OGvpEJd2stWH71
CrKJdLj98qm4qToWhRCLhk07pn6j6c6mc/UPPZxOVYN5odB59wve+GWw7PPmLtPDnTSwLVrzoRHc
1rEZ5jWRWmVfVpFiV9tct3iD8ze81vpgeMwrz3i/DjLNP+yQ281Y24JwTP2emNnqcm63ml7nHog7
ZvZ+xIoMlSR8NdWlBieih/aZ/fSJO/6AVXm+jRW6ZxhT57fQHVQO6Wke2OdzdaFvAUDBtpDGr9LW
dvggWQy7N5oVcNNR8Z279GxfE6v2MtRvJIkw4fFPJ0+V/XRoeo1DMqHlT8+OY5pqMEhE5BGFjfc9
B5sbcUaGLQsRBnD9pgrF/TgN9VGBTkeCCAfPjunfqpaJeimNPqGhSXhe2ZBveBtPpDve6oXl89K5
7yab7atpGfBAjQl/ofWk7F3X4ZVLp+EjzyqAIg17V3DnOxj43bbUswmsdfTBjQVDi5t2W+XgmmRC
MV55dWb7INMXPpfpT2EtvCUb4stR3jV8xPLY1+LC8ThcXsKFF2qlhXe8N581mzGl1EWINQ40FdkN
92RyMO/GYmy9YNZbPzCtR4qWWIUO/F11hCVK70vuH31m4Co16j1r2XZfWdLZRNKNTiaYeG+2tfYY
RNqytzLtLmpdscdFs1cOqRzadstLaxXojMQkPXdRkrhKyntj4c6XVRbWSBX+mDM0chf+JriwdtmQ
P+ebK4+VjpGJIL/FbpouSYo8wZ1HFCWyeN2E4XDbkE4ANA7xcErzLyijX1E33K0z4tYajWvA8fV2
ICIGdjxL/DDG0pVr/cUsiHbo48K80dcZjcVVRz05lWJSt59rot9e7Sobth69GHm+5FeDY8TYdWAa
Y/YTeGCH6DMYlton6cQ/zqaAXKckdSjsyfQnY+k17rOm8oplCv0GneMwJ1Z4jLPmIQW06EeFmR5o
UQxOAZj0XV2lcov9KtjJCOGE27qxwwZ3T5dlxj2V8K9KCuek6Wntq7jiGh1Lueti0FU1AILNOLYk
bbsY382UvBY2ZyONzJRy69hbh2a0ufqDgVsi4EZWBVg/6KoQjrNu7zIFCm+MdFwBOm6d2GreQwwR
zzVxbdZ8nJnBQqlTG3KcFyzconnkXBmTMyAtvkAPwDEwo59ZH2PQIkEV0V8JW7FQ+rwR2Xg2qHjY
FrAx9m4wviUhnQaNVeQeiuOI8wLnCp6y+VAKUEu2o/W+luvuoayNMx4MxflviovBubkZqyw7mIUx
Uj1eHyU7/21fjjx3BRTNvPxIwcc+9KKyPVPjACtHjiR8rmRSpB+RqdrxjcPZ7AP2Q0qp/diXBd7e
ZeA9SILh1uKR32DB5dcy4CJTQZXsFyVOKG8vuI45Vekj9ENH3qcyv1T0zF1n7TCe2Vmx4SAC+Au0
NhLkgtAykqY7xbVgl1bVbP/+i73zyG4kybbtVGq9vsdyZS4arwOHBkGCWnR8kUHStdY+qzeGP7G/
DZEiMjIrcuVv/le9EhmJIAk6zO7dZ58cpVnRB9XGZ6fnTfi6PCOdx9WcxMGRTWuy1FnA8CFAYkj+
GrgMNTEhpEAkS2VUxqVoiVZEmjud2kZ7qmklAKMWxqFzqsmz0SZuSqN6jXTOMexh8tu0KY/4Tl7z
sLqCDshXJV8CIStVbFytLm/nobwBf+cwZKupDufeJx4VMc6zO/f2WnUaWVCuqZ7mzNmmlL9FWVyo
FzZxM5oP2WQ1AR/T6B4MrN/OfNtzWt8bGSxy29OlF8TOTUOCzg04w4xj3j2ZMeLdwJ5MPiAEh+Vw
8pd1QJSpqo33VBuIXnEP/Ai0ESuMbQGcW3be3VV90mzjUKFFnSg1zv5ErLU4i/fZoDwNZml5renL
z6ckk6dMAHSex0tF0WED2753n+25/Mwt9mo6K9B4kQRIDQdtdD7KVsBZ4+7FFzyna38sQto6VB4y
hRa/Ja5Bhs7K5m2sTP2xLSc+NrixqmPcrJxcAKG70ItmqW4US5ZWpuoD7gw8Yn0IaTjlw2uLMYA3
h/v/0Cv+v4HGYJUgfrpeoXPmtZaxle/HLr/8qV9nLuILoWWTfnBH+361Yn0hgSiYb+u6hrhJStF/
mbcI0A1HBc3AqAQ6yn/6bd5ifuE8bhkMaVzbdYTzzwrFz1u373d/jBhIv+iUYbGnsVXzRzlRyRLH
JhLLrC87zSXwrGKU1n52lGOXogylMvCddj0+XV0rlKpkwo8mkvLU9B/jGkgq0fy3GoHGUlQcM0SU
Oei9rU0kZxWu29+rQbUtrbxcMY5OvWTkTBIJYMY292kfEA+NFqxiZwCQdQOYDhgnsuQ0tEqiiDky
aG5Bz7KQvNEgySM1m2CQJI1USC5Jl4SSDqrkSGYpl/SSITkmHaCJeC11M5JxYutvE/9mE2FqBAws
ppco8qCiBHjUIDEpN8V2DTiF44UKAiP+dEmwcOaiYXYweIKDW2E7MlY2AJYrSSz4MWVhA2dlY9iS
VoDX0gG3KklwlaBcqOCOtmhvMxAvaoteRpAvaAc+oGHA5qk5WEBhwGMXFpAYR+EbksL3gQETUUiO
bILWXSWSLQsR6dKYhGChxaAZR9wuM4mg+RJGy6HSfBPIW4dTQ+ZxavmRKKXjcRUhMGDPSBZS5J6N
etM03FxEcjMDvSkd3LOk4HQtYBIPF6eX1gaN3VIBmKsZIekAdLMk6XSD6cVEbxJanPlrjbZ42Sv2
ZyQJPLf00TgC5Vl2ueFN9t41c8W3UfrV3WUkGT5FRjdHIrOpGD7dQkO6CvBnYbVnLCUZQGDAtDCg
oQfHok4mKq40HVudZAcrSRGO+XwMJVfY6frHIEnDAeQwkuwhT2+aI9J7veENqWbqgaZDje8QwCJ8
AEcHoFdIxmyonm3IRjQyG0WijpYc/Uxh7JkSgyzgIS24SEcCksRyXoeQVZIjGKH5EqNk/kWiQqKV
ioQsZywae9ZRIR/kEJiQmE1lcjiuE2p7NbW94Dj04s4wh4lEODk4gytCdXa9uY3UplqGSvHEmk7Z
GxIBtSUMyjQPjsleFzWhq4HrWCrBUbXCidrN2Hm1wbzpJF46J9a4SPjHFxbsqR/iHu2hUUfFvXOg
U3Nn3oBU3zFAvSSSuQIyfhSzQdKlru8GCbjOeRUB+gO9MumF8nD6bSmB2EyisQ2MrKpwUeklNusg
SVwIuF0aW8lF2NV8wrF6CiRuq0vwlrv0innb1qzdjtTa/J5KQJeHwwF9wpJ7woZ/82mC5E2MUnKW
+WrqMjJGEvc1x3lYsm2GNUiNbVlq5RsPSgLYKk6bOHEWhu00C8utOKT6fMaPcMUyG4GuBNRYl9Dx
IPHjubPVFWwMW4wGODmBUp6hlWk6u9AkvtzIoMsskWbixHdGnG4dCTsXLKI8e5xfJzjorLeoFpdo
NE1hH2XqUpXVtad5noeTAkddayHwN2S1mcoku4StoYjfkbkyyJcktiGZ7M4n25W7IQ3RANvpCJVu
gXBnhkWc1B+Je+t3+hyjwUZr5vJbXIGAh2SRWFQnK3T5q1BS4oyYX0rJjStnhJwMmC/EsQ2JAhhU
gOnFpCGSt3upwnxMUTknxKApVPjIINE87MXb2XeIABbHNHH3gkh/MTUPvB7B8fmh0fWV1qdiMzbs
Z3DoUXGFS+vGHFSPheh1EsR71tFeDjFsZUwczIHMRjGlF/qUqGjYc9J3qsNBPkXqoA9bJXpsRwZI
AQ+ezYg5nmgDpoSs8Q/IGNyLzg229aQTmuDQHtsh7eQzePycn9q+FpjUzfxaTMm9atTuqgspTGag
rZ0Q08CT1gPtMpqmv6QMBFZiGDPqrZ4y4sSNZnZLub3OJjjrnvPrirDTvV31n8QUhoVv5iTG+zu+
6W+M0Lx5NN7cDLQ+ULU3y0xfQ4sBehXigOeclPlfK5IZFOesWCQjBFNukhGz9Pje9nzyOQrd5Z9R
MiC2BTayiFENgL0hrHI4ZmdkGmMydpLlrBb5hRxubJKqNC8q09wQtiQ0yOtAKu+TMZ0uowoHfIJi
czWpOeC1bysLd3DpcOfzbRVo6O4NdSJ4b+aPlaHewyRflLTUrhkxKStDLRFrsIpclrBjUNM2cm+d
gP+gFWtmBV1xNeo1z3AXmwbq04M+UEbLWEfx/IhZGClvJkp6eYzDdzb164mbNLQX6dChXKVm4/G4
cFunW009w93Cab2B9YCv9jutCXFvf6rlvmU0GvFATLTLITt2HROcaG9OLHW7l9FeTQV5K8cLM3xG
EWG1pT/zjjQL83kgm0AGwlmGsfMxKw31sGXMdUR8xtPdgLg+4+at1DcADCMfFDvKd/v5JJJTJmge
f8s4CRSReZxtcZ9a9t41S1zR7KUWrtnfuGOjrc2KaUL2DF31OOP7pyZtjc3rMeT3ZmFnNlxph9Wc
G2bRDJd57Ox0bXzKbc7uTsqDrRT1IR3YiIMZ3AxsLoEECwxvZh4t/Yrlgu9w7y8JlCwjncaxrFa2
mu/vdNGEnjrd9Cx0OqGVC3YKDEHKC/rET0MXHC01fgqJ5RcB1jyRX/clv3pl3DwBerJHUq8z0pn8
4uKCaZdlCreW9EtluhYmpXjRJdDuc5fal7RyXhgmktrW756QTBN9Dz/aqji1dXqy3HIza/O0aidZ
fG9pJ5pJ2Jz3vr7t1PoF/eVzpqovcaS/xZV1kYiZFsWsqJZ2btwaDUL4KMe6PyUW7iw+BEVcZwij
OPMlRrWl6oHWD0V/QjT2IEo8CkEoiyA/29QLmBrO/rs6ntA+YGEjnwXo2tS3/BA8wz/WwSnl954Y
RORhuCLCWCwnfbzvetlCnIJp4qhaUsDId3Q/l5c43tfYLJZI5PYh5zOLsa1NiTJg4AlElI53v15J
rcXoKCf6+PKSR4aJxL+6Sob4qhT2nl9uPrb7TVzFy6bR1xMbNAG3WjOZnq13nstbNx83c6SEi0m/
oq15zbZuAei0AVJT2d50JjBsHC+mEaFGdmXmiBhMKFEXCZ0xGSj52mlf2KwTw3xH3nZJzHZvGfGm
S+eNIxjP1N2tIRKqVymt73m/2doFBYl7bgu9p/fDbTyb+z51rtoGacoYxqe8aG2iZin18yKgNVVr
WMqHDgHh4D3VXR/DXgtKMRroiTjM5soxGIx4qRsRIvjaeQ9ChvK96R+wn9vLfoiZe8/ZUSeXt+pm
813xzReECP6inxPlZKaF7QH70yNEFe1qMIzkG/X3jyC8/w3XxG97dknL//vl/F9quH7/g79eFvUv
oPe2YVMeqdqm/r3jwPzye4GzvEj+clt0qMkCHFf5Z/nnpRjht9ui+EJRrq1C+gPsCwM/+D+B9gkV
s33//rrIit+ATeUCymXGsawfrotdTBVWaGa45fqm5JFfazwgKNHZx/7Mf48xuhtEU82N5WdjyrN8
NLEIcCJbqFWX3UV9WfBpk2bFipZhrlztwGDK61Q67dapbosnpdatizDOItR8an+bgClQqhXl2qkh
Sk/TcGVqntGFwVe3LZLNzDb8xezt4EInGeaTgc7ZW4UqIXLufbTesQrGjNBlqTxAj/POGLP4a9Q7
QbYIuSg8CBHnX61pYOeOAic+TIUSHBwKkFZVSHPNYsp04xgJfTpGkaWeuvDRr+AkeR5U6RMltWhG
Q61ldTihIk3dCK9mQGiNiSGnSjpua137GGnWKL3c1Fj25KbhzyvMKsoKjRl77toe7ix7uLYzPDhC
nYN5gdS+vkBTNl1VVoX+1ndvfcuPVupQJxehoOkPcygnZ7YgoGGFkvZEcxXrxOnJWIo0mK/UJFPA
g0KXxltnbr/mdRGRIq6DbF7YzTDf0haCzdyyw8uoLaZbpC791uTjaEl0L3oepgydK57nayPv1bXl
J3cTYfDbOC0NbSHIDHJBMlGvZayEwkWoiXY9WViXjHik6WIqTYdksxOuYpNq4AXlJuoVGFl/a/Oy
a1VVdS6zyWA8ByPnN5bZ/K9TSoaeDZ5R7Vs0WfeDPufeCBxwRZMqF33GgluXVnlKa8Jp2s1lslWV
iSJZTTu6VsMpvxpN6Ispsni81YZpHYgFWLeZNaQ3KR9/qDhGk+E11rEVWdT7KbfoFg7QSy9c1e0a
L2JP/9HTdbZx2wSNdARqctmqiv3aqUxlvZI47AmPP7LLSuphxrMphg3utM3P/hhNH5MrQuLmIh3d
/lGVjhnIuuDoSu8MBk0uYJaW2+9Fyr/OgjY7dbgQe/rgrskIfw5GGh2CQuPSXjfORwCwcQgpX9vM
euDcJ0qXUTCDDMcXaHGGLA82pVTlEJoNdvbZn2NSQHTsmzS7rnzNWGWCHxQExJOL5I32mFV2dvGI
s5cHQUNvLiep65nQozacRpD4mLWhLPOz2Qetxod5tv1QyUZCOTWYeMRnH1B1dgPxkniCQhHfGEZZ
XPD+wSKU5TltXGe3ENyJu6sUxXlRzu4h2IlyX5+NRKHdW08RYnvIOKksCnDpPQO+EmWGN8BXUpwF
R5Tzlqs28HX+tVKARJ9ROi00BL14q6QtyQmFeaGeFUq5tClVPAjRInTFFINozul1Ivid4fLhXFll
lXiqPZComIr+KYmtZo0HMG/WeNFJril8fi5I9lCa3nHDy6K5vaKtwd4VSTHe6eXMqcbcoH3dNLaL
IYXkDWypOaAbUaw23EX2KAgwGNMeYSnqCj98pQbocmh168BMH+al8yvKF3SLpgot3Mdmn97y6DIO
3BqoqnYbn5xzo16xRInX9lBZqz7AeU0nrrLL+Nxftu00PydzzDkfxTlzeJVzwkRWYdm1TnBkuV57
sah5A8CZ5E6ibXlA2HfhjNsg5pZOo2bICLooEBpo2CAQmrqvczuxQ4zps659Htb0b8ELqvGBUToJ
HjUdPCPUIRHn9KCm2r7jTeiHYlqr1Lwfc9ui2AUlqGoZV5RqK0uTbaFaNrY30UuAxJZlJ7tMNsQm
EBQJaGI0dDJ7ZUHZVjgFDHlShLEJI0OvpMUmdmIIAqfLjqBCzQHdKSxUb8X0QdGjeMngot12ST29
J0o+8LYbSOI7AC56aaNAGOFJF7VZcajUg1y8kqWgIp5cFVEW41wdHxKV42KLA2BuKNCxHXAQPOlR
vEqN6OBMbnw9zqbWrn0K6DS61IzmqZoGHhmGP3UIQICtEEXui06v/PWcZ+R+eBQVu6ZKFdyGmc7f
lJKfpzESzavT0FBRUtiydtp5F6nmusHQQA46yw/IVx0mkVF/qtyaHQ6usQvVVnIKIcKXNgvCteIb
rwO1q09Dhu+WYFK1qJnrg6EiQWwCtVzHvHOYpjrsK8FE2o1j4zYEsrowdbk74s0u1mSh+fG3Chf3
ps/dN5MgzwYFXHKvwVuTRrLalQoeugkqmlm9lgSURfodo0gW8WwuGTlhg/FdKrR9jDYTG5iqLjzM
uuk9uHVzF4FspJ5O/p/PFqSQT1Vc9NXCiEYNE8JAM1ZLXVUEHNOMtxRtB6eCMcG4InqtWvTZgcgv
1CZW9nbhD5eicPSt0FJBID3rcAS5mV/cmmoHXhdCwV+0TsJGMEkkqlsh+kdOmWor8CpbRcI8Km9h
lEXJEpM0feDRFD3pnWsvzue2/5xq/xo55ZD370+13mvzmr/+Vf+rzp/7PWDiaK6rqkLTkbgaGimS
X8VdxhfVJmjKWRfbv3Z2ev1yrrW+EBDl8ApWajgkUNzfqVPzi85eBrsmf8ogL/LPqFMCXj+cawFb
ZZRGBeTTuH2dtfffRaAipEJNOQvAhVb7Wg1KdnLNuj6Rlxd4bpqmIJSoBNYz42oTUWHE3tnhNq8H
RfWpBLzVmXeCOi31UbFPkdKqhxnnzxp5l3NUOGQwKRpmBoFaF2nbDHiRdXXZXthpyG+9Fji4Bl0L
Vc0YjS+zVouRSW2r0wQ398ZtimGaDUDU3wcNISrEMU2EPaQ1c6phmAuRrWz9zaT2yo3CcYHg94z3
aNnCfFwmdQ+SyPbbJeVO6Uvs4dPgGilG0jCEVk1moc1s3U1zW6RrJxyLTh7NuwcTyz4YqE2oPNR5
DbuYL+1RjSmts8ZyVSoUiy7zuB/hJFWBVhXI9InPwWKTTbSfVsZ4CiPrPuUvhC4TJHOdW8qAMSTE
UOCJCczL0Spt1fe93qwbYyj73cS7J+TzXuni5za30SioJeFVQmmafNAx32AQoAGUUuJz0pt8/moa
af9ipCHC9FSk7o58Yl7s4yZp7uagaSByfOBTbZ5JyUQxJWBJoINHijbt6FNNLOsNGxrJjU4lJHGj
m639xJUkv7Wy0rwbatcG56zrjscZIYIt9ThtdF8okeGzOdLLx7RqHsfZDfY5djaEjkYJ726e2XdL
YvApMdot+gttG58peedMzDNYm1/gehKyOH66pxDe3uBwrI/JmbcfK3KqUC7Wu1K5zjNlbgx4sfRc
xBLWt4EwNYnvJ99IfqN31saZ7zcl6l9K6D9L+X5Y3HdWvajIV8pwAHe6YENEtnpE20R2IFCIEfhM
D1azjBZgBe89VcYN2H7I5IEObmHMPlJ/IaMJ9jwge6xlYGGe/epi5DRsoY8g0BCwCDk0MuQQBeW8
EqjoGt/fqrm212QYIjJKQC4ZkDADGFwhQxM5n+T+wpVRCgcMCh3DQMCil1GLOhxP/chCUAYxinMm
o0mLeG3IoIZKZHXXyvBGGxfWMZaBjoQFD28gQh7aYGCMETrRD8PJtLfxnAeJJ8ZcDoeGa+ecF4kR
QqGGJkRSOVF+4chgSXnOmMjzwiI8J09QuQ7ruQHxrGUwJTxnVPrImI6JDK70MsKCTxnIYpLBFldG
XIzAzuB7dfhe4XYbS0ZhIqNFpSDjMV2ZORtXRmZcGZ6JzzkaR0ZqQhmuGSrD9GAYmq+NjN64vcHP
mXei2+kPuoznaOekjiNDO4OM7yTmLDzFprwtEvQAk/Fh8O57HG4YeZL/GWUQSJGRoEA1tj0ZoSmz
WTvK2FDKDe6NipX0VKvKvqntklmozBkR6SlZDnDrGL0CkNoiDidzSXVHHccqaYnxrgUXetNjryTL
N86ZplHGmwoZdAqBqw+RDD/VpKCacx6qPmejItCdI1cdpmJRT/Nv56j5ITDNHsXgIB5EZpYXs6Yq
p9BRqkOPI+eu1O3uoxa9jUxOgJWEcb8Lbdu5YNdbH8sgHXjemfYOG8jA1lnLtbWTGzVtXgoos8oG
nXdYYCF35ZRNlrkKl7Heg7aUZtoQA878u6AzihujcgI2MG7nmYgWXzUgeY921mxFUgzUV9zH0YfT
jv5lO9TjQ9CjMNtyH4D6LwvOaa6QTsEiSp2Lysaaq9XV1g8z6wJXm4LKqdIQ7nd2Pl1WY4MrLhOq
RuA8LHF6653RITUEb0q7Cv91WAzhXrPa/A3zHPcdXWdSyBuabQR1pVZLw6IlKOAWwUvQzs3HqLUu
OlSns4965oZE88bY5kk33JWxY95QGOjzt6ICjXBC3rjAcOxAeqctAg9h7dxsoFSrgxpb4WcG8l/h
i7FDBD4h5HIMRL5oObWyNpxzh+axed0aygOb9bDSc2UDxgZnFVHD+NF26XjNHGDEExdaN8yNfSoQ
DIXPwTRoP2hA1KJtVicND/MJBMyaHdNho+B07S6fzP5F49POS7ltnzKtzbZUmhZrZ47mg9kTsWsk
J1Dfh4lzQuN9GqLK2Q9hvcGyd2kHn0FpP80aX9mkNclhqHqemNRyBN6gBm++Syo/mMpnUqzVinKk
YdUzGHnhGMtOX02C3uupivrPCfGvQkmGyQHsZ8fDh9c0lSUE6b+8H2PIv/zZX+eeclRJrZStm4b1
x/4BR/tiEVkyOQayWnQ5n/02+hRfZE5JOkxgYQyB5+S30SfnSpeToTwkqrpJVOAfjT7lePWPk0/D
gpMBkLFkKMk6nyC/OyEGvVYKjaEfThFnNSabOBa7uboytXjfmPeWFm/0iWvjEEn3/JKORU8RzarT
DlQW4PDIWecRTQD9pdVFBB3Ix67HRFGb4y5zaO5OvsXf/61HgCD2D39jACKLJDOJLtXlkWLKr+i7
vzELbZq6sollC33s9FTm2vRMzrEaPZWs8INukWymMSmVx9IwMK+bNid8QtVu+G4N2TBD7I5UgxO/
5OkhH1TIu4IGi4hVWg09U5yZC2QBbGp40NGwy1PLFBD7ZowR0LYAkofCyBG5u3gbcysreKQUTXhJ
YBZAMYdm4bOAXZu/tay0m1f23LPOE7ZgN1wlHRiiivMj0Lt2r0HNjct8wvzhzTUM4ZKgEDhRa6Z6
jz9idl/5tKIJcqzYzYhsBDNIwxmTQe3oArYu4tmDuchKCVAZFIyGyMXITyB/20yzgatwmGsXrVeV
zcz1rJ6QM3ntwBMDQLEHEkgB9tANlDqB0mxLxUT0YjFwEUu3d0Dj2xIruOeY5YyGX2h9vCFroUqt
I0Pu2G58ZTmOuDRazjM2c8xueE4J2D0ykv0qajhBrykb8Un1azl4ka5XYqWqfi/A1jWOmXZkhRxh
gjladpYxfPpUINwpWE4U2NoqAGwPs/TJOAvWTIqavzplpr1jWvcRyNf5UBFjmihZT9iDchquIWxG
NlwVeKrvookUlfURKhMqR9OwGV73XRFPVzOwjMxn1wXpjSINntwuKY5dpOY+H1wJMJNt1WKpJvn4
0qQdo+HQGoXYU8VQ38R5DY1O+a51G2SpJcezVfdA+a/DvYNLvLJhsCAeKsXVOoS3Ogdn2vmCK96E
yEajOTBvYVX0mEAOXWAeKDLduCHzkhvecaG25dIy8pPhPWcyVNdom6Aazb9T44ydJTI5+7NI0WP1
SRJuYBPCy56zzWFuoZYV3a+efSwBBVXcVoJCq8qe5oJxJgQ7i88Fn+qxv55aSFKuTimJmS7RRmPp
qlO5MgrgTy4bQbHXEjtNdmmbW0/+kLjHTO2dx0raJUVT1PqqL2L/ogEg8hdl59v4VKbZvib2GEHk
CkVXwBHMEedRP5Q+VFpZBVtSAcZaqSLKgRRW98xNeosZil6Xg+ZB9rrXld6Ch0zw3xdpVqGNbUGx
kXYOFnIk10puSaIhnjabpLc9Fwr6PkTGypSSl2WhEgC7gIlgI55HW0UfG2cVBlzhMkuzY1DpkQcB
vr9GaY4unvlsw0Wzc/bE7BpY7XYykKwQfPeswQ0epsBi0ZnNhFmssR5O2txyBmAQVe0pdD0OaPVM
gF8u8V6ppC35t6ZO2aBrVHkR7IyMCw4/hgqJ1DWkoEPLL1dxG9gxg33bRyrrm6nXdKMMIVWVUXmR
UCYkDXxxs4euQpRLGDjuMzaKoHAxG8VwaRiK9tbFUf6CgFt8hbJg/vfdh9jp28brX3mXnYoob5v/
/i/mC3/+OKBrk1GecGm8dH5YhDUFzfIjHPtK31SLfHl88Pd0Qi+sRXwTH97/5sWYjvzps+f7F5NP
+u+e5AEwSUIsgNbzV+caLe1wM3woN/0+I022Zly2+/nr/fhRxweHq8oFpDAFfKguv/bvXo4QLeSn
SIxlA5q0BpIzdmPBE3/AyPTx85f6i88oV7WlSEvHK+aynvzDS1V0pWcDAqJl5D/2jbbD1mnbtyJY
ROkVfDd40fLnLyjXp3/6XjpsXeF6NdsSzg8amsguXRXldLoqVpi5v87FgjDpqXyf7uttUSweWcST
JNOaRXSlbD+Db/vwf/upfP6C/rBAlceI717+B9eOUUZ6k7U0GUeXb8XGXgGcL+/zzUH5uxf6Ubdj
//BCP75BTV+0vaxMnq5Vb9iMC/t4YXjx4vNvvp/y+/WzL+iH9yZ22aI2fc5F2pNxai7hYW+i62Jc
1lfBpoeJ4XAAeLN0tuL556/8lz/I7w5kPxxvhJ7lii8PZH2zGi6ze0hZZCaX/TF7/PkL/bnz8oej
n/wWfPf7wOlkxmTGt5IgLNwh+oTXZC82QXBob6Lbn7+Y/Pn/6dv53Vf1w/vD9Mta6+VXld7xIeFf
FHcAecHfPL3+7lv3w3sj0MLQzrhhr5RbPsrW5s66ZRu31P7uufV3X8wP7w1Nt/PIDXid6AHIrFrR
poHXzSS9tZoPTrU0n1gzE4GCbWbJ6ayaw/mb+Y/m9P+/K6AMQ2YAfjKgvyvSKPtDOuGXP/LrxQsj
hEwnWN8AEcYiv8/maZVWue8wtwcdUfE/fnfxMqBNGMFrQpPSBzns/8UIoVP8hr5M3snO/8w/8kSa
xo8ffg6gia3xVQqNIBgYyx9/+2TDmFvppLTSIRrXNTHno+FOVDey/GYoHBTtLmR9dMX1ITSXlEFw
udDVNggoIavdQ9+M/VqJXWMXyhQi1dQhuR+jn0gFk13sZYqxLRwDrKvPykvG6ulVXaUquLhWevqE
Q49TLKagonvQC3jMfRE57l6H1rqyZIKzC7tpN1S68jUQdv82ylioD78pGPZDAnBKjoXffa3rpLsK
JizOzT2mq7u+SoY7J/LvKvKskxqh6qFrBueQbyXXFgebOzcp9HvadS4VWweZU/PgSkl16K40eB/r
cHgIGrt6ETKfHMlwb1V15kkfKPExiQNDFyirXCaE2XS7l0rT1enedgzzhsYeVpeEkoMCvhENIyiJ
O+b25MVBbt2wpq6XU6ptW1wEVMKXlYkzB70Ul50ssvtdlAEdNDJ2yC7Bj3pvaBy8FZ1Zm/qqEXmS
rGNXIa+l19hsXDoxbrtSte5G3dQPKfw2wihdjHeUV3Un0d45TTse9SmrVmYVBk8wLwEnwQKH1tIa
nN49jCNGjoUSR/1lQEzwlit0fqdWeAQ38aAMt1EwKjdQt3sEiJf9HFekERtOl/rWMqNY94zI5ovL
qnikoyztxxNiRdKyVk0GNKs6rDegJigNn902DW/bLtdXox/6rPgx2Y3UVw0cDnTwWief7Adi6TdA
EEAkrDjfKB/UHxgos6DJnfC2qG3iWK0xIiSy8k1nBiyJwqwmuh/V6w7B59Iv0njXhWX9YpcIvInz
D1/9HNHIIgzc9B51R/o1G0Gmjcani0SPO+U2tE3rpM9c23RTtpzS49bvCkWfSbU0AY4ejP/uirl+
u1WjCpuAVcaXduxHeyO3m1UojCNTa3OJ72zkp6yRTsCeP702rMXeQz9OjwXuyl3ciEFbdC7f3pDB
KLT0RDQ5wQm8bCcn3yArDSkdqVF8Yu422h0Vu+qOX1l3Wbt6x62/0j6rkfgLgcNyejfzlr9QKeXv
lKdwr0rYvk+i/LSGSbU2bleXHyn73HuyvtQeRviyjyOwpSXweMV1RR7AH4cK6qSDIibNqFPHG2bv
UTewkhlc1nBhkIx3VoBb1dfS4qaUpSkqc8Ur14AZ9YKE+yzjjbRe95OhHc3ITC7ahCaJNRFl4pwV
MoujZk7ue6v1CYFRRVHbRVD35YEwQDahyqJ2cWcbrXIVahX3aUuxtLeQffOd7UTiOomm/pYujpJc
iezw8cnxXXckRRhd+KT2vCwvKM0pzDy9GuJUuWg6JvjSJx+TAlWqWwujJgir0HbGoLl3DFeUceeg
TydfTFPevC4HBxWrxR6qXqnlYK2A0inhQ3GAdbtqh5hCtFi91xXVf8xx0+yH+VSJLqyX1oQmE3VX
9MCogr6rDFFFHKXhysX5clBL39ghg72e1WEZJbFLAQYvQcXES+WPXNjcIZq9uQoejWAsaLec8USb
6lOoKpca5AlPunplBFvsXFu9z05p6R8nphtD0m+aAngLrIGWo22v0GijzvLynWhYJkxiw1p1mIyW
AXotKHEMp5l4savpErktvKnub+YwUA60QoRkidtSvUtU3LJxCnejOmnIBMEol2iCk8+uuua2SyqN
cq8t8EK7VdLqbkriU0+PF6PvTcwuj/lO/NS0vrMOVVLsrWY91G5Ia0/MesonNNOsq3h6Gebqgy/a
xo6jvPOx2m+0oPsqohYxhiHwJ6hiNWJIyZ3q1tWcYRnaGEj6WGOup3VkMoZq5ieVq8CEYUrxEgRh
RbR0q1T2pYAtb5uqWs9jNTDMMremkpee8EfolFYbeM47aCVGG4JOBBH5qHJ4092gRwmU2lsbKYtZ
1ISJ+M6UOjwEisOUh5u/zJWRSQLrDb/hEdcUhbHweUzsYlMcCecvi35odoUZ8KYR5FZC663y87Ub
8uNwx55YdVa4Kz/I4J/SG7MElWdmsavc8dXVB2k0OI1huiZWsA4xyLUGIua+MiibY6895BjVc53h
e6UE2jPiYdtTSVagzH/h5ohIxaq9NiE8GPLxOorO37NXsA9haZtIfJPympqBGKUOgXIc+o29juOQ
bpM8np+docXWTmv3c2xFmPl5mt654/RQsLmFAqWCFNDPd97Pe1li3k3waJd9GywrVfPpKiWXO0do
GNS2n/Z5kYuLOZkpAZQpf4PhjvrtXP2f8+a/PnJS+9Pu/b//C804dPJPLWSXr3X0f/6n+D4Q+9uf
+vXQaX3hqGGpnBK/je059f0KhLhfVBYBDvSzRgD+XET8CxCifyEVy/+hMtO2Je/MWfCXQ6eKptRg
FsO0H/nVtyXBP9CTc+b94zWMg6bJ7w8dc5ZuEY3946Hz/7J3XlmuZMt5nsodgKAFbx65XVokvKsX
LFShgIRHwiTMjDgOTkxfoJtisynqLr3rYFWdgsvcJnb4+KOwq1/2dOItGVIU1w5IoTTaNUmP/Isi
3v2vXqTPgP/rfYD7Jf+lSL/J4t8spCK9DndP8s3o8jAHkuKMgliVHP8qvkKcgpRM5eDtW+rfC/3r
9kA31X25ntPzrFXfAL1SuGXjy27bJIUVJko3kXRdwd7Gv/vukImX0gI029B66nbYgEkO5PGpVzjC
93VWpYRFP6/vBg2tqjtqdkibomz9la3xAW8K9BNfU8MeFy9kAeu0VM9njXUNCNLyK12Uy6S0qTUd
QSg9bFzWgxOdENAZb1tKccu1dAx0IlWEbxpqPTQQ86X+G9c5TSzXzye4MtsWXPG+zl60TKpl55Le
ErX7vZN0fGHkVMmTAL2Ghd7X51oOTufmDaZmikQE72S+PwRr+HHBx616bAU5wFMvhUpcJ+56PVBQ
1Hqm9WRLtsJvmtXPyIxSjezBauH6+koLDcDFm+mVwkWB/mmY+3FX2OEers43ZkdsJLoVLsUpcFyl
vdnBeQdAorZW1VoOite+cacZ0utGsKB2vTTPIHWcUxrcvME406fr80qItlG6H3Xhna836pW1NgQk
d6jgOM/nlCTX8iPQGxmdPwxNtW7j/fl43rv67bKre7WMVEt1Yiuo78zn662mFqwyK8/fjZ/j5nkG
02NO0Qg8dn4Bpr12K6vypboZNrdSX3J/4hP1L3SJWBPwOF8v1AHOcYM/1qVTXTd2letOz3GWlKnY
LYPd8aICqbuuVbLl49V494vHfROWvtk/cDU83gUPbEswJoAzp7LqTm/6H5rq1Lt0RYNmHjjWMqDd
n00aZqIVr3ZzEO1UhhZ/8ao0qUjh+JiUplR/U7XbytfUvlSbtcdw09pQv1W/S9vR803GfSBLKG2X
TvsbdU+v+9s/FFr0Db20WuuvGy5PMurrO+AwOBU5HZ4bdGIhytTadgsHiuTA8qWu4DUvNrqF5pYl
P3ANcglPeakapq31vErhDSUORL5b19G2dW3iht9nt58WUN8F2nWV9pNGuj4PL6/Ddm3u21L6w2jL
tFYGfpvyv9LtktkWcH+Z2j3W9V4KDtNdXzc70Br2B3r0qiZJCE/9LM/pFdjYrh8n6nJrrS9KFchH
v9ACiEY7u3tlfC6fjzNC3PTQ3RfOm6BWOVcqqlZ8lZqqsN4WHv52na4pjbrt3vvu63ms/t6KlSul
1jVaOGFEplgCjRexJg18ImWP80IdFFZqqvNiQMvwFGF8y5o/p1bljSqQHdZtirUoN7jOifrZOyED
oF/yXa07vxQaX41r9dk/N0g8i2kuTXbu/JGBMpIWHmdVve8eF7Or7NA5t4XzFa1/S5ISlSdP8NV2
t7S7+VgBUPM7fINK8ns7v9gpMtv+3U/1/+XpX+TpHwVANeTff59j+S+Xn3Rz3vzbv+4X6xPB9H9Q
SvSPfzkuL//2r9f/8Y/u5ZRvlr/Hn83iHy9567Yg2H5b7Df/uUHIf9zpTyFMXL0CnmeDfMwGsg5w
iv8thHmrUUEgIer/HbXiTxlcqvxP0ieRVBWgK/iyRAf+lMElSpeamO7AVgCHA5pE4/+l2EiE+X+S
jdy8WavVURLIdSsWW39zu14fpzPFmsXUjdGKVaaG/X7XQ4VVg6P+J4KYXNR/crO/+V3T+Qsw7FRu
Rg+b+GnKuqQAn1FPgjpDB7SRnmILfl5+q353iDGrT7qgfybdXxAteHwX7d7Q0NG0FL2PTJlnBET5
i6bLtqBTk+lKRMG43Zq1pQ08n800kBo8p7mJPgbHQL77NEX9DcyaocrE21jUZnOJaMOlc0tGNw9A
5/g9V1fDjX8o8lVEtlVBV5VHJreru71N7dGjb5ijZsN7+XixWLSLTu3BXDQIFLqEWx4sKnP2QOq2
mQ9gmNqpFbXteme24TxZkVpjt3ZjimZRNLQM0huTqhjHmRpRza5bZvBQUU1Nn+aqhmv1PZTgV64c
MkcvV8ve8qVejHKlk9kslJuvBiP/qJe7PzTu/zae0oJE/69Eghvyr755ktufVA+xb5mlg2D40PQf
1F+0v1SZfqouDjhZo6PqA+ahvL3y+l+Z+s5Vl0FPl3gZ9EufIK6qBhpWnVTnO1NXFfS7GxY0xgTn
AoQr1eKsfksq928q1+BaqkVdPfnjzZo+mPPTgWKp7lwiYtH1Qy+oQWKFU7tzqW3qv5z+/4PeCIT9
3xXUz+FoVkmOLqH1Fpt/UxxvFyRl6XRP3cXgmxsc44tpDdKg7OGyAzcsd8QlbW2wDcrh2z3dvFf7
AcJjTrn/nRRBs63q8wGzLKYLJKBjaa6r7H6N0GtQ3Oh8eDia/RKffTMsuXpYD8Ge9qrhy9bDc9BS
qJuqDYQi/z2Iol3ikrsEt6CqS+YZ76hYDbI7r5X11xdIivHLlvXaL6iiLfLXLX5YUEw98KOAgPcu
ARVvzbA1rRPb9cHsnt2Cd7ydNUN5lqmyPiXP+NRPlxW38d+4IPVrvPGPy7Iu2pJZR2t/HWHB/1yC
arhLqKeNL8GZw1Sapgd9HxNBL0yPXQohHFDUhsQBrzqiQqwUl0weNBwRd34qjjQZTUfHs8rjXb82
BcKhumq1vPzg6qvrgnYVj/EzzkiMpZRxha52CQ5XdVvehvyRtKbv+DIEKywA7SBeJzQWVfuAdMSQ
NqkVh++Kqb/N05TMt/xHM3Wd6r15jO7e0fFjQDQHjSZ+JMCM+7cuGBo3e+4C1bftnrlQecVopo1p
6+cxvi6AmDkk7eZLZYsDFRNqP5z3juy0LHTJFTprv2yrumKOhqoad+k0HIWP8a37SFru4ZGhrO/e
kOWGa2XKDTvBUJhd6xvMEnt0dP/j+DSigz0agB3YBZbYJ5Rn594tyJITz7PkMgRldVjW2+4pSZfH
7nZ2XlZQUPvPgFQDVWEtAIjsk9NYXuATLS8AsOCCFYb0SF7tdwCCYkIm4fTgz8fNcbWO2aF30a17
8O+9XXTwa9FzeObicEJuT3L4OOuT1uceTZP1L9338HxW4Plxo8Hri9D/eXZb7qJn8GSq6YzNKY5R
wLMrIIKKnPjy+LK89vezWgw+Itgul9mcUz+qju79sq3ra3LqP+NrQuJQccHHn0EeHPxHUh9X4nN3
38U5/46z5I/zcF+8eFzZK5xk6utpDuNGpxhWvYc+G8B3w9zl7gg9Zkldl9n6udea5vHcS7u7BDCJ
RTF8OqKyVngOKrZuDJfV9pOvnIe7/s6vuXm4Xabdshbigv7NLZ73ql7Z20Nc4PLyysti8bgXVCUE
heGlKbnXwsZKBjDQeL/MEhTlH2B9NMhz3l3kAd/BvVqLWV1u0gzPQ4Ins1NScdVw0weJprw6I4Wa
DJSCMFBf3nEer/0N9CSU1OAQ1cOiPfgVU7RPk5urBYYUhilbLiLxGTVs1TRsavaQ9fWrFpX8k/f7
+7PTN/VDdpmr63V0XMqxLbAkBxUt93p5UHBlDrTwUCuy/gs2/DRkTrtzwLIhQSvRPNiEb/8dIRLd
ExnsCQuuq4lnuxO4PFc/8bldKEfqCO0Twld1TsHDO9ia//BaEJWMvME8SpxEjutQeMyJXYXncP6/
h93fg14rkG7N2bUcpWFs0PSkvghsIMFpcqtEbpNjzs6v/ScrL+v/TcKA+iYjhneEKZb1N2THMWMr
WBzm0snY5zIcUz4kWgUA4Ry2GqynhGKwd6XJ3vGlt/n65l/nqjobhZLhOt/Bxl69jZJlyHV9Bf9u
vVyhonOK+KQoQj0apgxcDNeht2cPE6uAD5/jegZ+VrUGJ/qSrpq9A6kjR9gTHWSjsl1HHDGOI3PR
wh2y3jsAF5lz1YquX1ctK1CLir+NKOuBU+nvx/vBIbx10G+YQiviU/wPCJ6p+eAIN/xTr+ZnPbmM
LHId3ranMlptNJi0rBmogTblXi1VggEcbMO/omCBdkKulWq31Av6KbBbNSfrd0W1AquKv2TBQLVR
7yCgKRpEdYaLk16IKibEkXG5K5c7O+GmWSi8lGmoGxwW3iaEA/GeknmYBy0nP692w9Hhl42SjSvb
D0PULXdPMNAgAVG/iE9BikKQFLAxBHlFNATwvrg7xFlz7bKefn1fdedLVMPxCy3iadb+t/CDKbQM
Qx1CFR16ySuhVtHyLp30hxtGpPmz+aIBHt3Glu3OciE6v7dzvu0aft757nRgcObAEnAt9sir+adQ
JAPr7b4zVkCW6augOsPh3vSFkUMsHfcNnaHeFITkRI9BzvDAXQ7f5cNClDxBDMLNeFDLASF+M1Ch
6e8vZPqJrchZA9GJIFuuJPcqKIdweHjvgBbWpsM5VMGp3e+0zXivj/qhjp78HvigpOi5rqEWlAyE
YOnS02sG5PM0uzcfMB93s6A3mdGChJQtqi193vVTN1VIQ3OzNgXTG4QxICAaKDlbVT9Vs1cT9NwD
dLfjRXQT1dA/VXWxoomR+qdye7N79eYyZKujg9KZR8/9qtnohp2bN2yjaVo2MyUvhwetw1JU8YU5
COkf3bV96hV/h2eIAhqCldnMiir31WF9SW/VLM7W5GpSVb+4c9rI7EQOhzA8iBkGDHoY6lFR3/ke
oMbokKgssDHUY4JdOorA8rBEFMzNNXgOPxlH0Xiro73e6y0Co6HmnnBmSmlZuZ1a+g/0cZoeIyIA
WlIIFN1si3C5q3t48ilfYpXXrmAaLNlWn+zNnWzto8PfVY9aHdO0c920AI/xsbmw1zFvpN7FcEcP
9FF7R5OrhwyVwyInT3S6K9d4QPhy/jKmJ6Szd2uVmu6NNbXdbqczvUGV4BipOdu9MS9VMCsaeBnR
upte0zup8bI3GIFwYM76jNXAPEGOE2MGupPTDKUK6aewVprleY3OmNlYkAHd9mO31GZyvdwRZIkB
V2A9agGwmZwZ0VFk4xwsCw7TOakp3ReQosJBM3ZTzrSoWQcf9bTFRnCgP1zn3KG+gg9h0GF5DdsN
RaEfeyFzFbkp75EU2V4jt8TgatnJEyOJcEggtDX5ZcSuv1fdhu7uMQgm3SCg7ledRoffuWlBlUfV
hTxkrX6O6of1AjB19CC0jKv2oGjGQoQq690GCNWPUcmp60RmSY4zE3waqkRYOtkGTlrVOheQZRSI
hdnSchYKuj9EFqhvpAKF5Irkct7DlHSZDoQ8MWh+c7+lG/odPm2yVeFMRp/F9c7k4epKJwlwQ+qi
nuNFNhttfbElqbT+PI4qDvokiNmGXXv9br/P5Nj34Bexw74BWfthmAV1DkSPJS8QfuNKPizdyOj2
pD3KsjTszd94O69/aL9FUiKn1+o3V4Ew0WookxP+jnWMjvld4iOqj3F2sT9NRGse9b0+xvZwiIIK
W6RgD6ZZ4JxPJmcV29jrdr2fAwzgJlsQT+p8mysEnc430vgdIK0gi4x9lUPY4p4nFlNjkwJjpodP
1enkMTxfY+Ow9UVs7Jq7LOVOQo1fHPePUQMD7Qi1wUsZ5PeXnOAVRh60Dn/awxyIiav7ZBUmM+AK
WNaPS6IFraMqTNvjCLnnxO7DDoc79o660V0Sl/OrIJ/psVjbFbVajivdiuJNIYKG6QFaZpcYyBU1
7b18Ps9TuVHBNcxhAhaQWmFEg4RgiIqriRilZYzy3FvEXa9/Qjqyh6JayJb8dLsoBgYAJRv3tybw
OMTdGJwkmGaB97Fs52oWB3vX/+3OZrY7vP5JmTBbIVI8GzEd6Pnrt2p+Cqz6708cQ0SxDbjZk6cA
TodvLYPRYahHG048zm9YE7wmuqtlFEUVtVw2ZcbReHn1T7Zl7pEwLSL+5ujt+WQWlfsUHGmaG8A6
aublYTnpfXtt8MjjoNiLODHAHLBfUzPGmcu6tJYPX4TFw997hYA2S1Er2HpbDdA1cmhw9raWCnB3
gf8UDI3XzTJqatpxqzEb9LCwddie6ACg9tkbWerx3U6N0anqTds192WmW23abv5aVNzdrsfvznrx
RnumODBY9kyxGEZcyGVhZxh0VYAJ1Ygu56mbIiz2TvSdjf34edB3N+g4Ir2GIk+rK472PH32IbXp
lzCfL0isIy4J5C9qF+oZ5X2owKJ/cA+TLUoOwjyJzd2pIiEqmAvCbYG/frsSTqmmlyNCDmraUDma
ezmE2/OsCNd9YWC8NLx/PBZHQI2LTOU0yKvTz19P1/gR7wCmKs253CukpZ0HdEA6fK1ogSpPVsLX
gbWMRQ0C7edDvXf7xmIWfi6SA/rFIE01JxezizU9xq/wYsoInIuDya1W40hOxn741XYBADfq+5tO
7HwUYTIWTi1nFtwzz0eSmHFkpm3WBD7Nx7fOUWESHgMxlb52aopgps/YZ9MwrC98GzR1rjB+6Mwy
2YfK/IwNH0N+TJ15siLjmvD8VEFi496y14sO3E+krazV6yO4hWt8iQ/oz7VkVeVBSQvS/PLRxrYB
cMx8LYJaIO/2w7aZF5TJqZ+KUPT9FKdXZNqQT7vdNq5t+ChD4HNt7jll9FN/jKuKCcvjrnt3tRqE
4tWDjfjjaZuNn0a9wYl2COyAyPUbTKulzNT3DV88IxVFyxIOsYd7mFUP5vHHcVr6O4V2wWhXO9Ub
rAYPVeMrd73srY4aYDbLmeGbg/2IQ2OWV8YUMYE7GoGovQW188V/g6NIGKmwujH/wMzwPjQW4d46
j/yIIVxYH2b1tUEov2GZbNgX68H16uwO2hD6Ofhp8Nbvb5wwU3ak528tB5e+I+rpZF1zDFcRKaDO
I/S+C4oz8YdYRvfkPOzNlvzUTbjrcZwG/f5k4nXXIDP5aBFX9N3h5mvvtmjZG5UOnOPkiDev0xl6
fZjVAm6l6l1eL2vjAqXUbYwk6Ta7w6H7co7cKjPE1HZD5I5nAe3j85SDaLT8zgsIPtRJ+5qkfatg
ev3+r4fMubuSVzeYiaLPlrvrER3VaSZRRrY11Ia0fCq2R3lUsPVunXc3v5dvkPTqW3WbFPrAG24H
H82boy/2c53DK1Pt//bxrpY0XWFsA0X1bEtSta+OE1L0tjelirMXZZjkSHngOKJOfde1U4FV4UUl
ZzXLkfxPctqOQEjpDEV07e83LsULUVT7q0YBr8+qyJDRDQuO3nQHtf5KW+5K3wpsn5N+3I2gqbdr
0R0jl8jPzyOpjh+Ll22i3N7MydbtNrfgebLvU9d5IiCKx7hGWl7/Pdk6TnSnrF/oCWIybSzmrduy
edlon6ImsUWTfOPKVZNTJe/t2gevgHJ+8taq73neBC2KPnmTS5T7B+/pr79AGQYnIURrquB5oi2t
ZZXEzFmrbmrWEMTWlLAXseI/Ek/GswkzT3zrmZd5w8Bj765YFxgR5YDwpyno388GPsxslsUNr+Y9
HJE4/uf3F92ZgreezaqDmiWBZUb/TNUcHMfH8T458c6B0gDvoE/eNyQqxieMyHQ6hCSQs+5hALx1
mVssig7w5eaAroQaEggouXd3lybUUTU7TRW/xfcOuzNFl8V3U0dzyu0TC6aOIjGLS3qGIWPnquzK
7ja+xrfxurvpNnmzQZLVXdOB5hQUPNFN2XWkuGfDs7KQuwcZJBZ9SCk7o2kfnzgmWbwZzrZM4GnR
B0E8iLfJNX4SJpjz4XCtF/RlsG/9cC93N6hZF3UP7kEFHTK3RzU7q7UehXV3jwkKr4RAy+4UbJOm
2ic17xp/aPbIyy9zD4pm/nMK7nHREZZleG+b+lve496AD5o5sz4zEYL8qAyA/+Jk0y/X6lXC9+o2
roVHlbxl1HyG68YK/QOnIHEOWaMmFt7kre1EJv3WdxYwt/EpyIKyOybc0hV6D0NaFd+XOdXCbXII
ZOEqIcuIFo++stEgTZirIcnN7tjUO4uZsxgZM254hV6Lx22cj+/4MYNrTHIsV98mrBeBkEec+gXv
yZWfLI1ozg9T0g9TdtegPr3HlRAoLta3jpudFqy5OgWHYcZqbrp/7CfV197DyBRlGWZQBCtC4wIJ
qQyKKlksqLNXtDPwcopChBcswBoxUEQt3BxcI5R7xkyfkMxFSRCIs21JdibCc+FB73h/jyGdEduh
Ew6aISBj0cGtp8VhIY+rc3Xo7rrAE7MVb1b+9Flgq7UxvQjtR2k07TjBeBiFGtGRqtB6k/5e9rJi
gdxUW3vWYap25qIHo2UP4dnz/VE48F+8Rk5HDLXQLtWtyFsJ3/Sl9VKJPEEDab/gLUYD1Gguy4XD
GeS3KKpQ5k9QaTTgSj4CK1V+j8vRfFen4WCgtVU49ya7YJJo5BdfROeGDhJ6bKlBODqzKk/LuQnD
FfdGP+YbHtw6Vz8eBJ2Ecs0RouCz5EIeSShy1DBl44c6XCTJ4qg4OcT5VOARI8IPrbsq1uGIefq9
CMk5GFktF1mUdMtD4f0sz2iAvNeaVQrQotGMFyzOxgwoBHXsKTIZhfgMQySClrK/rZAxPLWnLFyb
F8TnMdiGCH/WqOrKarBaca+N8VmkAeMS3Zrl1UTQyjJs44v+1ettTA9DYeWPRiz4CFowhKeY2JET
VcTFMostXBUrVKJXwmPEU/rb7QeKlzFQIbx4tMAmZH2EqAhvfchN6FKkYBPSnj0MFEk7eb3gMyUN
N5APJgnKfpLMWDQdaiuTsVgFNrEcF7FJ2Nh4lsSwDqSpLDepk8qywpzfmM9+TCb5jWh1by6L9QmM
K/T4+VOON6xDy0l6uRnzepnFGxZZxpyHecKYiJqCjwHZLLL45Soh3IaaUxDXlq+47ppu75/hbCGj
4tuzgld1MjnGL9G8n5/uhH9irpJdYQHQtS1O5dPSyefDkcSRVFfMAS7cVC2P4wfz9YRBXOHYwmMe
HL9RxZZsRae+sAG29cPbZ3LAHwYBbl+mFuYw0Ya37cN1+3CpfgXPV8U+gpId0YdIF8JHXFQ3XbEv
WLK4xZ7jRkgHPa8R0ntsXHQF5kFTNBK3zBpNr/hDW5jqO349usevsv/+BVstonuRHy70TVf9pn/R
nDwL9eCaiY7ta4cQ5NYebZ2wMHBoPwAI+mJPoZKHScjBb0dtQnTOMJg1UU29iszXtB1FAzmNckT8
iLDti5DvjbN8wEAacCg5pP4K97LyS90lqupqr8c7BVi9WqKLjqPlcjVYGy4hZ51jhDuCi48gs1Ea
1TSUwzM2EOMxDMPRYsFrQoccMCzbvYons2SGMJ7NJndsWNYW/8oTWplAZGyI1fZDX38SBOyYt7oX
5D0x24pHkE5rZGDFsjQJNxi8OD8jbsX5HIUwHiHVutAdHvXP8RCOO1tsVdWnB44alWB36F38jEYj
mehFr1niMuu6c3MrMXV6GCLfKvoVpFGRv6txOX4F2fLYF3prcO4AnlPzaWs1n1ZIlQpTH1xrEumx
kbqNkt/6paq6MiJjrRoXVrR6dPUNaKMIWOHOwv//OEOsGkSYzOJFOOLYjRgkO2cXWYBoWIxGcTKS
gf3xgOucJTjN8q6EiaJ7mXLMwoqoOX8Y5QIWKWeiwoBqeku2tEoBE0JRwu/lUYvFdQveNaAYfXVY
5guEHtgqORmDurVKGwSXvaybL07dU3c3OyfzCLihwYVoDUpuVI5AfzFw/jLth0nV+Hr4IJ10HrgB
xEZZnVIGhbBwlzZywuztxcvcAUN/7aK5NVNx2XxsCHDwNWhOuBQGmAxEiKLBwI/a04iWnlgI7ZvB
RBIfwUth4sCfj3olth52Y3s6bkfT3nIcIaDmurcaLQbiWxZvKI7UP8xhPBKRDj9ElOiVj2MVdn3H
1BKTMIKCsXMkkC++VjGDhO9iN0LZGI84Z3Du0EwQmSdiSLj7oPcxu3vRdBkxHI7GgJehFM4RUm9j
6IcxaAUMCXMO24cB3PXLu4blrxeH64fE7nxPoI6MirbD4dTjthjpEd7Rmvm4i3s68jFWSbpgGSJf
DxbIuwFCA9G/t0iCl8nQZoCv5zGrK2+nJ0JGMBaUngx/+NlH+YHnVqclmPoRvQZFR3i7cB90r7Sf
Jk/d33mSTrLRP7nqH/DXond3iKBN6Nzg73CciCODfI8NXrojzo7AYxlHN28h5wtqnYlUkWOfhNRj
4v+Oxn6vh5rCA5mG7NPhAIkY7rXwIZYuWdjYhqOdbKaQx2gBq57ZRYJCJLrCimvsFF7x3qqAbERj
aMJJUBnEUf/S5q4wzjGUWSeCiWIIv9g8roQiwV4MIKLRKPHF/G5P20YkNqwoDCE/FdbC3dAi1FYw
sYEPtQ3YPGTyIkzK5kMgRSOCclay/KYOQ3WxTZBEFZ3QfFXOGsoAFrzP9JlaGML1uAMS4YKeMFji
48NmhjGXDUxR8mjCMpPyeQNHmfZhgonlQm8EzmyxSNB95TFjTLjSQ2Q5i8FKiCR86/in2+8KG+So
70j1uekthyjtFYLeauCHr5gpwVoX8Agf3yIvDSBltBzYalWhPaMrcT0mFsco0PwPK2BFkxD+yEgw
JsIdR/Km0SRF7fikHKnrEF6BMfAI6m7wTMJb78bWnFwIDZbVsy0sfqRF5Iq+hywZcT1ZDJhWwlhg
8v/xN3vP+dCa5CAmKTdApfgk2bA2CCHhWwMmwW+EDYvDp4SPh7x5Mh+VUTRl+UEQI9k0/SVg0JRB
DeVlGSiow/oxBCvd2/p0Pffp2cZaVWyTT9NuGY555O/r4Ghv3sk1FicHTtRPMzqHW1vTZ0j35GDK
TI6s1ujZvg4oUi3CzY66iEpIxI/zHq3Ya+HIZca6DVH2UFplPnL2cdR+DK+3BWuJJ0U4o7C+HYdC
FPZbUtGnIN6jXUGNMv6RaJjgDLcP7j4Q7aLCUJv+PbgG+Zjux0imP/aEeTNJipEt9xZqYheE8xdF
XC2Qj5APahWK+QN5J59kCG63xBjS6+W6S+I1Vy87WT90t4qu6Qs7jxiDysQIFGEhfOOFXSuCuQyN
QPLyopiETJg3OAB/6HeSEWU5DNAucnMhpwRSomkRv1EjD8PPN/VilvZ5QbT1h6mEa/zOPMGp4DFc
7u6K2NGiTGEw8jW581pnDhXIXBLsuX4t3Ce3hVxELngYNqfr5QOhJQLrtjgL9kKZCmMCdgnSjWAn
TTHiw+zQBWpux6jY835N50k5zrqvuBBewjq0UUKRQ8cUMwSdQY40qXLwD7YWff0FZZXZ27M+QDWY
swj9IrRx0RgHFYtycEbJhwqEVORyrRDc5dnW/+jUUA+rJ8oeBUKMtGSvHQiMHdEnd+9AhoiQih6J
CAS+lVsiudH5+Z3aEaXt7X2PRib6js6INoNXuzo5j+pJbTb/0NAa1l2eirooZ6AZbRwg7PF7/ArW
00t7H76iQ0eMwmf73jl1joSyfUaJhsGUyFzbuTUsSTSGUUgjSyeEKboeGe68FvZ60wqRQ4Tg1hvD
THBtcnDh7R/Vwhb9QiDLIkKQb3nCCbAL4N5CjxeuJSIVHiyn46zlw5x09By0wUHURstEUhIH4LqD
MBmgW2IdrghvrnwIB61QiPOmj3BpyCMZrMa8YeOujeF9YuAKnxKxdwpoWCNabtScHEN68frNpNm/
ldwGgF3aDaJBdRvdFlWuBVKp6cXK80Jw9B7Ry990GLgvj7Mn8R3imWCmu4d/9VPvn2TtSZXM+a/F
/bU62BLA8FNrXSqXmq2/JSuWdjsp/cq27q4lQa/A/9t4M563c6S9pFJKeL5A2LIYHuN9fLXUhfBz
t0+3Tq6r0g8edffySrMdYJ6zOhBM6rC6rorUj/2cxjdwehcEKn7qlqBycJ1sR+lvE9jeftrGazx9
4HLGIU9slR8j2Xzrfp3fNUeKE0HVlGyjCol8X65NxKHVkfQKosDe28e7B5QeovbpzuTGpt1vvK+i
q30CBIz4bSRcvCOdYE1AjkhUv98hTxAXPr4FZPIYfilBDNx4/e9vEnn7fddxXJForeS6kvozlnB0
tOxFxM3FZ//QVJTousfkyTCSDCfCIUjwO3bGliiI5CDS4AMv4xWfY4k4jSQtoKsQchSzlw7mdt/o
FTSRYTzUpOYS5pW0C1yPZAaAUGpeeG6qOH9K4cPlxFmBKHWS2CTZK29irOcPOgcgq+4WZtghOJC8
W7QONz3UIFyPYCd0L8GLbMZ6SLpiBCK9rZBVte9uSSNcNhfZFzB9v2nnOaGqZ39X6fSavMaXoeRn
rX3xre78HemLRfJxniQeRQ8yVp6kP16Gh4QS59Vuse5LTqPEeOpesydhkF3yJliTmzdphZIiVegc
FqdFheVNSIFEX5PwOrCaZqdzDfAgKcVhHt4d5pEDI6PzLFHTCngPCN22PDv6b+zUIivRCKnQLYnv
C755GW+G80HrqzqYx9VgM9q1W3N9fJOKTIVuWOrtxxvyKts5ZnsJBeqcXHFzXcb36dubu5Y+jUpR
ywKsZz/mdzgnNL3vSGrLvnNoz91PCWa2cXRfsRXvbKtBo39nIw7dPKmNj/2MgHbDNEvmdDF0g6Zu
5bI6xQe02w3Kl6iyuZ9HVBTlkx/cYSLtywa7BO537N3aeb8YUwgUgimBbBMOTP8we042OL9I2O3m
4x0WzIuX6T99NeuKymalp6r8PvDrTUqkMwH8tQC5vLI6BA/8t0+cPqla0B6ncxxV+1LU+V2YvSaY
OGl4j1rDwySD1VCIW9cnWup87UfZpEyf8JsqbdVjQtURL68HxRIlL/aCRwhXBKyZ7GD4v8h0ylph
k8J1Ub28bSg+PbC+/km2NAAbAqjzNxZUKxYF1QfgvEqx+jdsH4G3Oq4bu62rdNrfko3H4VsBj7RJ
AKvTkg89FYKmlSypkp80uXWUd25DUgk5ri8LIFxlbffNAIBtGnsTSiitSpk5/zTflOfqG625bhRy
k3rmjgVH7tk93E8bg4I0kAXRPCxRsUp082BT2vEGl4Mk8yb13jbO4SZET9dRAwreaFJcdzlSEhM6
LIZlr9Jl1evtMkfhQBYUA0n2Xbz/LCTH/gB/IUZHjBPGQBNmd0guJG1yTAhpEt/03uT7ZeQyEzbc
KrpIrnE5zWqmSVS5QrJgiWzTnZ/Hjemx6Rf1PsjNObiPKTkrcVhprDe8j8EzLQNcH79/tgzVUcL7
nN5cUxM9gw8N5+3WYPdS2018LQ7XDfP+qXVyNLxxldLz6Z7YxUvlJXDbqcHV+U+16prty3R+1neK
WBnI7puFq3S35I7PD5a0vnm7ioFz+7lwF/JJyU27qpp/b986a4JzfVJdh5nkUzemtWk9TGcAejVp
hYZm9jRfj8XlTYGv+V/snUly5Fq2XeeitvAMuKgb6gBeVySdhZPswFgF6rq4AGajMfwh5MS0EFmn
pG+WXek38lk+i0cG6Q6/95x99tlLi8jWJ2ltYyA3O76WPpO9kl67k/tF4lhZrEt9m/RscV9mqq0j
DtCRW+RSv8TX/KpT3un8RltZn8zh4taH/CB44NnqOhIn3zGTG+GH+2W2bUiXZ5SPkyVe16zd76In
93E5o9jBYlxTbdQz5pv3hrN6W7ATfGe8xVsMIu1Wvrub6Lsp+X1zEr3IYGV+whFqLtFMeoCl23W9
HJf9oYc75k1b56zzDHxwNF5SuWqR28K1igcZTzSujXvnol71O0lx/JqFW0AF7SUN4YP5NsfRU9cB
rvYm9zV7y/JTFJM6w8bTqhjumQX+sIDJkd++slTBcE/fBncxp/KTyNiAZD2K6cs6Utb5SfmojuFp
fkDo4wmJmCpg09mmsCR/WyE9oB7kfGzJqW80b8JOmW2UkqGdyf4HIPAduYQDY63FrdTiSOtu7pVA
IexyUDgSqsXjqHIGsXHPLRavPzHIc66vy+3AT9UdxCPjlM3P7OXr4GW5qQB34zZ3tuPJ3WDswxxQ
Y/jktv3gZvbGHQcleWo5xo/O48s+iUPFfgnhuTpE2HgyDFMW8hbcDzCwK6fgP5291ldyjDrjjqFj
9Ol+6A+G7p9+nlp9s3mf0Uy5hdtDy1TQ6xVGvcyBeR6Y+IKG2RboBlf+8r15LA2WDtcEk3zD0Wn2
J3xFnzpDV42YB27pfc7vt3OYe3CtP1lbi91znmLz6ljHON3jc8Xk2n6Usx/YK9O6Nuolw75eHbVu
jZHbPfah/2lvFruptusxaqU/MMyjjSr34QN57d8DgbSboroFvPfeGPj6Zd6iE34hMa+MFdPSnhN4
XwTrVHriTty1byLxgPOsGx4cn0C+xtxG6R3v7EBXAOMTw9iwigo+jWXFw63vWGT8FBal0h2vZcQL
Z2+sD/fG+UiQCLQ4Rp4V4RDS46WABz2we85lYPvOT3PXIyCbvovzquI9NeStfm15anKPPAKGl4sQ
vzSB6Lo7Y0dLrFMMCxqj5Ep7RnFcUgAnv++Pi9ioq/peQ/Qt6EFB/h3JOFv+08sEytrxGTixGcwq
0eC72Wr0ieNMB0aH4ZoYFGTQLsdr+ZOem12Ve9U6uANs/i1WBBy+3UIGegAWPX/1zQi/vmt7HzJu
xbYQS5vSa354Xfcu/o38Lv6imaT1c9Fgct/Gum4w35ie0u6hXOUrg/nUnfajdxtLbp5zCckOYdUZ
PLl/VjnK78eXbHy21b1dbA3l0Km78LvcV9FZjMcp22jIZMTgixczAVqE36w7ura3ZXCa3yPff1l7
Iz5CzhUE4XiVgVN1fORof1hosqGfvhdMLhH7zv35+tWu0n3MWhZnHuVRuxkfiEN4Do2Vca+sGUI/
aMus2jlJlOVhrb/QuP6aej/LyCT1spcBfP1dKDhfPV4e84EJ8VJmiUfjd+V1o6Ee19Orc1e8UM+k
uN4sL//O7wWvgrVbVJfsMnzIwRt52rBr974g+36ZA/OLSIyIllflS426ijgzvPv4B2u9163jpZwh
1o11kWdnY2n3fbDvrsnO5ol+KuwjbzUJMYxkT0m3IQg5hA7FgfZCMr+LrXNLUmbzUVw6TIs4ED7U
k9UxgDCRykgpOfFbredkbx7IRMfeT6Y7xyh8PC/a0Y5uu8uc4Sw4J1ebN5Vm+yRRnBpaYOcS3iUP
0Fa22S51d2jK6AyOTyu7CB7L44tGzpCZX+BkMHsxNmBfHlVk3x4X17TLNzF6O2bl0AMRHxYb49Sd
lVU6IJgA7hXVjqROKzoFwHQ2DTTQj9El3QGSzLZivBGteCXbvdzPzwUW9UP6JfVVif8Lhxruwhcp
PCdcue/2e/Ur3fcrQZml4MkevebAlHXD1LNcPSOFckbiSaTO/M526tP0mFW+RUl8bhA7lAdqTR02
0FK1IVCAEtr0++LCR4x59CJ5MMfHKbzIIossIU/VB9JCSfpduVmaysUSiCS8iAaT5yJKO6GXUxze
2FKmdKrLw8g/PwVH625UPP7Ffiue0w2f52oFropoVqmuunHNT2XwkmkpImK9LpVV3qN+mXvb8Myf
OfXSV5ARNlaObqM7K2N5o6jUt9FtsZYsY5JFZzEQApD3D4tykG/UXYz88IDcBbGAX4+a4cRvPl7k
nvH6Krn+eUoukYZQZxCYLe9rpP5PXii2O5p2TD20I/h/UHVnxIsCYWXRAILQa1XeUS99jN7jx44X
/zN/LB6MT/5CxqPRAfIBfDCvOZd3xOutkFFRAyAB+M5teXhwAz5SWXnjtjrAUtryiK2RAB7RWxGe
fZUzcLdM/D4OiJLHZcmxYs9ve/vIeXZC+t16fXxI+N9ET8ld/hC9R8/tMcF/nW2zc98hU/S+8gjk
51vQL18gSfN14jp/p1xMbLjcwjv9zYy84nW+1/e/ZYF/a8n5/wdEIih70rjZ3/y/7zn7f/oPaPKf
/xRW97cv+/lou//x34ho+MN2BYvHNqmrpBGzNfzX4BDrD1Mjks5U/7rP/Le0OvcPgzQPh8YHwgxB
dzbKy1+Wlu0/ILxBTrTgqxiGy//795aWlwbqHxss2yLRguglVqot1eE78udfH1e6qiVG9r+rji06
p6iCFYlL7dWWbp9sTVe01cokkfsYmXOOW73QoWHnZSjZN4BOBWdPF7HfQeBiD4+9bCKvQIY9tw5o
t2kkFMRnvx5TXqQ1GDahzr7GXW1Rarlajc21GqJf0ioMTOlZoUR+mgSdsSVTIGdTYdKxAamanLkz
UvXWxD1g3FT06i+tgLG8reywUz0dSOm0LxtVOl7ciDLeu6FCq2IPIX+PQproNa9ExEoh+VQkBjjj
cFbjoSD+oEibft3W5vjmuD3Nml3FLpC0OUz2pSiHbO32Md1bmBmGsYravqMCkjiickcknHQAaNF9
tS4Q9BOk+di14BaqwryiKiiFoW373IRzYWlhGPhp4eR0y7kzcecM4aB7ZatoCkkbLXEnqlth4Okj
PDy5VjMakYDPPNnYgkTvsXO4QEWjP1p50w1kNSgK62Cl3b25k2PR5RsdR25nD9G1VyI2kyx9QEC0
ZcgEt2md7iwIJWYBtExycLwL8pE4Kyfy+GLOMluCySBJq2MtUSSp+2Arjpn7cqotxLlKvuuF5Ewe
hBLj0+gaAzlSNMHZGtPuuzErQLKTBgqi0booWU/1zO7aaDJYndLMPaWTCZdFVYnUIo5aSGxBOYBi
382N9mcSsDe3BSF62qEIBIENiTZrMcA8NQq3cTRGgdfbvZptZSxS7WCoc8JeRub22N2KIZs3dV2k
t5bYRDqKrs3GdSmovzO1SWhx1BDac59WsfRFiqSStwKTeOC6GNf6wOnWSh6CQI+DUJeHcarblyos
6ojosoWg0+tzZhK1Le3nUDUHNs5dp6rX8WQZk8cbrATgZQp14xAmo/iDEquky7RKoiHdlgHiJrDA
bg/4Lt6EJHzILfRFA4mhTcrCWP3Xafx/Ajf8OQxC4xz8T47jD3D33Z/+5z8GOf396/56Hmt/CFNn
D93UDc12rSUJ++8HMpFMAFk4kX//GWfh35KcCHXgq4gUJQvGBuD1twNZURdmrUmUk0kElA4Fl7CG
fyPKydL/dVfe0R1TLMlQhqOby8r8Px/JuXBSWyNIYjXAIulvaT/BDY1SFy+M3VMppVLZJgCo7u1q
asdNr0sr25tJiBg+pJ8xSe4zHUjcUn+CqZw32WDRt4yxq3erKbXni8xIm4FZQorbp221YbUZZapx
jnbNfHbF8Ml3zHFRJF39q9TC4SEJoec1HNUPVlzH5mZSS4aQY0dqjJkNLrbroKcvHPswKldDaXT0
eUGk6x7IWkHy0FRUb1IG2n5U4uhAFk93tNJRXM1CJshybWI8LvH4j7agiI+bIEIhCfNvyVEBeVyP
vqfQ6B+00UEWko2CMqZb+Zs5duWuSUW5GqEw3IejFVIIVhr2/zQFvGDUSMf6UK9UV2lvZjxmh7aq
4MxPk1N9KNCKRg+8YFuw9iSqW0l45LWQTnQ2ht44tW1a3txEikfAq+NaKXtSIx09JgIUyNmqBaih
e4YSIsAVhFnmRdTsnHKs15Cbir1u8K9qlxhM/M1CHK1G6z+l7LWdBcv3vssG+35M+uZuiMhI9KxU
aQ6JO+FnD9McVdUV4WcL6uI62b31ICJt8PUmJhs0a5S3sYjbvesI7V5mOW3I4LTG2pbCOM5FOb0k
fRI8u2lebMLYaddVF1h7O7Gyd9NKtHCd6zmbHGMebYxg7k6maLrjFPbD50hg+hGElv7cF231NDtN
8TgLvVxLxVLOcuyqPajc/NpZdnVtRqFuu8QsVxAb4deb86Yg0PUYR5n7bTfBaz6MLMxMab0FWzG/
uJnLTueIVki0lfOT83g8J2SneRPRm7tZVHJl5ZKxaKF216bpLYASTX8fV0b6MXZmiUivCOZiSSW/
YJ7fZWX+ZCQ6jXBryL05OvqjQYDWpgjq7rHsNeurkXb9bM4yuKWyij9HIaMnGRC9kciSMVNG2vi2
1+OBZc9Jt69DMwd7LW4pSsxAZ5NOqBHRKGaQPQo7iO57o4cdFoTLpa2ixMMKzogq5UZct2DeQ38G
yX5uUkdDEtLgW3puohUpjPfWZWwaRfIGQCXcGpPQrwQt5gdIkKTm9qK+RqLDildLc122Nq3ebLIN
p6n1sew0FMRxCO51AmS/yfgyr43s8Ri3lX0MqzBZdwbYXyHt+UMrZx68Pld2SdUPZ61Qqic7MpCm
CwKTr+GY00sRFXavU1ht0zDAs1S32XEeJQvK8PT8wjbmbTcU0DtSE+mq6CsyGsZuuo6DE60rXXPu
Bmuazr2M5t0Qa+OdG6ujX2m54g26yVrMbCZndZybs2JL7R6GFR2XriMRBJnKLlcuqM7aXCqbxAmG
VSN6/S2pnM43s6leW8Qxok00aGh6ZwsCi8uBbFHzObV1pJZYubSFekhV7Tm2kwbiPRQCn+K2uJMi
Sq5h1HOUkZZaEc9lqW9qrjNAbBtl2mS1blwsMIMASCz7Jbfir0kLiWLl538oem3+bEgnee9mo499
SsPY8eF4DOVGn4ZbqiS3ztCWSkpq6nNqDAM/RN3Ety63y12ma91Jk5N1CrSIIZhTMuyrXFntldip
b25r9zizoE+hnDtBQpZDYOt8A2FQnnRdjyM4RSO2LKt7CqqJcEzo1eipnaUq17SRHKl8DJgh20W4
rZRmgonbVZIa3pju3Llha0Wb3VfRtv3JMjVwtVkQ20z9U6gzq9GSbClMdnsWRWqxB9LkNnvnFZFZ
XlRpA2Kt5VJKjRP5CRaZc+S6NS7zOWqWsOefjpb7Wsx9is6nJ888ZBhUSGX1ZB8xLurDsmWyRWoq
KaJ930A6iabzODT981Qbw2ue2sYh50XBKZqOheoPQ/M1zIppekbXMitTy7pmrz6HYu1nIHkwYjCS
7rzIbOXNcvkcrBWhS9iScdStu7EYpK9Ao7lok2KfpjR3ch+KdVp4PZm5jJjjuH+wJicuV2USqr8k
ZxCDsrIptt3sEslWRNZQkWDmDBWinDLjblMmM1jLYJqb1dj247mZ9PmiZObymWjl8FJHefuhTqim
kaXKHUTBfmPPTbupQuFUXlokyit8tGVWOVkBg5pcxCs7MxUGTmDG7gXIL1Yj2y5h7NQ2ibWO4YlP
3qiW8Z0WcbrppdkzmZgrFgVHblCioueZeU0/kPig9wMGEuAgn1AkJVEIsur7TZ4R5Ey0WsWwHRip
vh4KjUHMaNQ6Y2Rt7D7rrAhU3yp0fi+zaM18PZoWQ/x8wH0CUdg6ZU3P8+WabmaulLTpMHT2jWWt
M2OKn7MsTbZ6anaA83gkF6xaQKMUIDgnc4rGlRqPULBKQOuRcTIsChUvVqvquYly51U3ybejjC71
10pZRomOXa6bJVPXlh0tkQU52APCp7IENMbZzhgjhpmZOMWRWa3jrApvDaTvt9mULkmxU3wCi0RU
UD0i9PVq/NR3FrvWfY1zSk4VFsxMrXZaB7G4ii3jUjhW9JGX/Y+rB+5NygwLSU0nUySqy6FKJ7RT
7XhYB13TPIUwT0+QJfdV8q1ntr3LIUU8uoQI70vOb0730Z6OWTsor1LN432eKYzlYm7B0ad1Kol3
bl2X1sd1WEeq597Ajg0yCsWoLbQXAjpl4FM+qq9NAYlHNaigSPezi6X7099mQKwBCd1deTOaIb+r
ofbcOpKtfVnp/duCgCSJWJUbQzXlZ5Xa7eMcuSbLhHnM+J68PVRhkPZIiYVmnrVeM66zAhNnJbRo
OJIwaG4Mu2ATXqrodHmlIK2GdcvjE8fmgc84Qc8RWukYyWQ99KN6U2fDZk6TEdh9mJJJmswCpYHD
sZPOV5L2+Vqk5lR5wtXrs2u0+UsLhAnfpNL0zBwSwEgbx64Vh6FnLpAQidAM1wafavb72ma6hgCP
DnlkWn5HQ38x7L77VXV9u6tbc/hF3BvzzZg5hsqfICqnM+J4XSaPWmvWX3Y6B2vC0kOUANCav0bR
ASvv7RqaeJ5rfGXqZY1lrjPqkB2xk/lmdAb4i+2vsdfMt1zhPuggqV+qILPPOQfqNjZ7Qpdbqe2V
VnE/kqTAq5eKrvIU0Qf+XE6MzLVBTCbDCAGJFLLz8A5aoH4YW015Te0ue6gN3pVYbxR1k6lh8m0X
JdFkY21dCj3PvslWte7LqkqXyjnJPhbc/MGNQrmFNNA8jlVELknU0MWnWtB9cTWOtlfZDTn4/bAQ
MrXJgV2m8Zrq9P9xxNqdmOY7UUC69wprLp4SOtRr2urGndnPITdpMlWaH4eW/hBJJyY2YZrZ+ArN
7KGdEiYMpF1mqNAWRMOgptxcOfrUvU15iA7baFIenaJmOE6kZPfQip7pgfM7zrELaj4DWsAB78na
mAVbZ2l0l0+6E24IuW4f+MGThwhYFmlfukG30Ce5gLw2tSHhrZFA+W0UyXij7shu1nJGt7Hd/A7Q
7N97xWW6pvYCA8Ic1dkhNESaHBII9eqfA8r+S9P8F0A24iSYCyTI/6yJ7r/+VdD889f8tYEGfAiA
A7QFjGtnSVv8ewNt/+EKPjNUKqQqQisiAvEvDTQpjMJBB3VVTRP4OCx6678omuofLgnItqqqOjGN
pkAn/Xf6Z774XyRNZ/n2mmYK23BJTrSWoMZ/kDSjtNSDLtQAzJphcgf9GLhwDA/Oq2PF3UJmDB+d
wGn8PmuKXTfIaYvK6TzXELLfR4slZbN6i9Os30UlZRnnH0kbkURJtGPt4FozXiReguZX57jhlghT
dhQzqz7KLgg3qmittWP1HQU1t1O33FOEya9ctwVlHTL4mLJkJZQyPnGSu4yw0+otWe66sczJwuIg
aBM8DoPT3GmKle6K3xek9vuyHGQV+opoUBj1qFrTJmg+9Z7+mjikvvq6PTuvViOqZxnEM97d37ey
m1ePYpTGoysl4XDG8pla7nExWI6XUEhwCS/3vNkp8XOg9ra1DrOlEBgNGb7ZwdA/uIUZbsbK7XBH
uPrA5ofRMvcZR+ezVRNxAjro/NSVHBwqIYlJQwEhsHKmtjlGsJ7xgtFdfKoVsgF3XkAuPVmZLx0K
MZoBsMKfNB+Y8XZKOr0njdPlno7MduYmFD9KUaqP4NjEOXAcbRPoo3oK9TR9oLiSX8qsz1jClTzV
VhFFGckdimwPWhHCQFaB63qQPHRqzHxst/TB2ecQuIKuUHFfVLV3C7RBxEFCbcG7ckkv3MTYcl5d
ObnM/EQNGCOalOfJFkc7KSf6onHaDUE2v4OWTHE0lkW9aZzMxVvRWNl34JLiA3b5XtWHhjTpQjLD
F22qN0BWGtwbsWlkn3qtMk0Ttspue8vVlCe1OBHUWx6qrFcJLlCDbDcFsbxkozW/BrabPlQ51Cq/
GRz9yaZaWIaPHT9PPRsoxk1vUAEYAz2jr1dV8aNEZnA3aXOvkHhvjvraNpq6fjKWDHqytC0cyY76
EiwJ9emSVT8sqfV0N8rOXZLs0yXTvl/S7fuuwx2YxhWZ90v6vdtHJjttJOJPSzZ+FzaXSIbxJrbw
F2c2mZPRh6qK6CmVx8J095psulUUlqMXqEN5BNAXbLT20RgvVmVdjCoGGG5jE1iUkqFyLjIcHsrZ
XOmZ/BmdDAVZIeG0na+NGHZmLbDRJvcmtM9Qhxxs6m7oBTWCP3nH0sTjkCA6T4VmMMYLNmPR30l9
PFaM7ZCewFE00husJ61lgZGkyvtx1M3vHv22MaKHke+qdrH8hCA/rh3AYHrzM1bjxRQdfM7K8Ju4
5ll2Tn1NzBFeLliA3IXs1zLNdBV2a8fsVGmW68VRxF4HBuf+zW6/VOrH0oKsOTjXarZ32mg/mX1O
mZiOh1ACPyeAHODqd4iRRg7Vmihwv7OoO+I3KejTYvUSUIwfLMoGyCwEVKeS8MxkSPZQN0NK54ad
dgsDVJMCMjZtIqk6oQGyDyjFLNveisxx7lJ3zk9xmLM3pdr5Po3z51rYzRrUKl6rvA9WQeZoXqPr
2aa07mA1Ep6c6ccqom0hqf2zHCizQ2hBqDYKM2PRMndtmJC2dcdIJQjoxNoEezXEj7VjOtnKMudd
j6aetMxSUC9Hv3YDr4twvc2mdQkpE9fjYO1mDadztTQoY+ybRcQygZLeMlllBwiO00rro9JHx+Tz
jKeiVwfssUyc3XbyuqTHc1nXTG7tNjnxgarOtNGsHQ5YO9ziqyCDfNbC1u9c0wNdU2/StGif7UT8
yuL6xaaVnah2VkneHQFpEmLUje46kblzVJSMcUzoEInuvjuufQ9wc6sovO21HXh16CBxOemzsOZz
kcavbtC9yqFYOVH9mjl4FGj9d2UONsdqU9qP0X0ponpnTwNT4pwVtaDpnTVnpriPjPjdsVCAiiDB
KTPLJ9USWFe74MOoW38p9MIQVDpy61VthlOB2aKamkc1sg/AbJSLIadDRe4nAJnRRxQjSzt0PcTK
+2jIdosYO0i8rAWLnJFGOJBT3o0q3hzTJWI+5SaylXSF8OUetfBTn6Q/uxi7mgJ2SXKsSmy5yaOj
uCvFOkcGtuPo0ALS882kKp+U8SI6dZ9UCKPOKF7GFqmn4F2BxXNiokPWlWtFWEHswQ9zPjMqqX8F
/LteAUqiOnLcQayzb6Mg6m3EeUcMaaf0+6a4AblZI7Lmp9pNac5onO3oZ4hzktuyEK8RghgC8WWK
C1ie1itkI1S6OPoJJ+4lidmtp2UGrTWckrn4JhP/aAv9VLjua2cnhwb5C97KoaTfAs5aP1nGsIeh
wtRdFAzi3SgDj7RQrIKZHMmYImLWsW5H5U1H5vWdHitMA8+ARmXT8Zp0bvWgJ87JHoqb2cvaF87w
IOCR+Vb/lSfKNjQjIuGCm2GRT1HKIdprkU46XBpV72MgN90S9h8YyZNQE4Jycu7xBOXXE20cb1wj
I1wkcEwqfbkz1IFzJTOfCxnsrbCPV1YpWQxy7H41Roa5d1wymiOKbDsjPVVryhUfBcKQ3BivW5BP
m6Dvwo2D0rDL9egjCHuU/uQ4l123dwyY67MLUFMZ9erCp/xp0N6EUZDNp+uogmBrTlEiqk09uCzn
TM7Mwavpq2oOWs8yIpy1GuZD1dxH3HZ+4CqnwGzilTD7dJ8bk4UvR01uGpH2J7WNTXBFol07ULZ+
KWo0ngapsSQt+9nY1pBRdq2rv4qATPwxcce9q84lzUJSEhICXf1OBURsrspajc09Q179u8ilTRYw
BLLvPnZJwY3Myb3QiwRngFIz7o3JUdZpMqR7GznnRjxxs6pz1FdXcl358zxXK12rnU0eNvwgel50
EHL4u3eZEUx7U5XxWcwJfVxYEWPUFd3dBPl0M4gIS6Mbm1dN5NUKkUJc6zzBbIkkeKSaDO7VuNI8
qY4suAh1StjXdmcCP6qQt56J7q1xtYB9TiWpaK9qS98aGnhKI0SNhA27SiMVTNWsnGDypHT8uX3q
QKPt1YqTY8jp1DsE3/t2Csdd0U6ETORTQmtdv6PYdZ7gZlxJZZg/4rZgjUZJ9GOXxZfIxuI29SWe
0sHdhoJRcN4QNpyHn4Duf1nasNaE82A0ZrK1lfarmyt91dvFtDHtaAdGa2uabbzVdc1YOZ1ky8eV
2pqB0TGb4vhNazIqS6H197jAMRfmZueDWGBA3qDcIQf6lYiJwhzFcD8xs9imQXdL0uA4h6SDDpV7
iTupn8wCj6vRZ8YvtD2sPpLcOsO29nFAmULKO2Aghtue0ge/HFr7VZn9lIih0tMkDl5VX0U9YRyl
cioLRzLSn7g9I4xvrnjKBnU7tey7BtnPlKT7hDkwcKeckfO02IH03j1nrkEg6iSeImRQ8nyDaB+2
dYXMgKE+cHAZRy5bfLAyNnlnX+wMUhMQkHMK+H1bQ0heiYQND4Z+/IhLSxLVe6PISfyDYDfzpK70
OHHvwFzNpNXYiEvtNF0Vq1cvw7C4AdphrwPXPWrphEHVHMeNGbq3wRlOVj5eyjxglz9lGcEItnmw
JOXk8QEh8+gE1SPv8jpQnVOadM6qmHVnHXXLh0Cdn+eiXjuCfQ1cwUaL2UENaFgiTQFSxeffp6Ti
jTNYNSOkuHDr4LlXZ5JaZ+OSxe9BxQIuJ7nRBMy5WQyHLv0Q1fp30B0bhzySoTuYOqksA7kqwZS8
zjoXexK/qrF1cJPslvQcEXWfpmg6irHOJwsoNnKmV6usAIq2x/gdPNFXcrQw9MSs0hOn1hXxGWWl
+hIx0IgEi64hg/tUJu9plJ5sbfaCSjuDSdxPRjIdm1illRjGa9Pbx44JiJV/WjAqGCME6ZOqNy+D
Up1MDVGbn8lPY5K+hOwrAtQkYZ6ZS0GK7b+GshYVcmtiINQtr+6JpEw4oBONzYisv2S2iRZXrUej
YDeqHsZ1yO+VxL1ncL5zqrFcPSXrsCh3WsAaSS+fO7t54+nezLZyAljiVY61kZms19VUNxfwfOd0
no9KlTAUI0s/tffazC5txLZVh2HXGJ4d0bTrGafPd6Gl8dnVhmLH/OuUmtgKU2NjLwQ00NBkBdVK
thHDSzDi+h5Tsc6tiazU4DLRPcUY/LvB3pRFNQLgWKSewfBDq31zB6aGjlP5oZ7jxjHX8H/OYkje
psK4WeF0V4yDurH1YqlIFV9kOdiYxGITUJfPtV5dkeE3Q5O75wljxgrLyFrmY0HviX86ZFpm05gW
amlsYn1Wj9EgPlK3gWlos8hqmdFDiPoe5LjCA/bN1OCus9jvYh5Vg/5K637LfRw99tSsDxJDkwcS
HU57kdhfVplLXx8x1LgOJvYWV6mbq8Ir7fFBYVjpzHO47mVxroPIwDo5rayJk2F2Nwrd6zWpc/MC
dQVB7X0gLN5kkKFOISZfxV2nusvOQ2WzDE3f3IWlslWVhDZb6ai3Rp2PrIBpsbOHUr8qA1PcstHp
C0M3YUM6jxKSxzPUlFUbol1PljXs01brVb9Q8C0dNDnY1yZScGKbeqBcY6GGJGDZLPtZ5rTv85l/
D+HvPsqxHFEwgjpcdaApZi5kZS9daXuZGlQsMSpO/WuYmbL4OQBFnNhG5ELxiD8Ht1ypps3CaaUF
LIq3SuiDAiKcg+EuqjZclSAI1b0eGsTFW6G2H4CSPudWnmwVXZmP5mAc/n1Ty//rHNw/G1P0/9xf
GJVff/qP/93OsnzVX9U4C/qYwHMiTIG89k92FvsPxwEpz11isL75G5T7FzXO+cMyTBstjuPit07H
N/yLGqf/4fJnyGa2zfonPHXt3xHjdPtfmcp8g0UtdFD9bNc0fv/5P4hxDJZKSKyVWJlanivbRiqO
6k+q3r/gU7FSLkDVeiyCxaZmN2lzBZdkE4/jxDgLtbQYaYoa1ID+f7F3ZrmxI2mW3kpvgAEajcbh
sX2Qu1yja5ZeCN2reznPk9F2VA+9itpYf1RGIjOrKhvIfq1CBhIBREhX4XKn/XbOd86fs5h2Su2K
G0c31jcwjvGbsjtKSZhuOK/MXBQLl30n9SkcbyyCHar1frlCE/oqgCwAd8tIkqIujYNU0gSMnV3F
hI48bknS1kJ8uaOJfhrXQlPKYRHZwGjFzsY0bNncWtbiPzlOpX/bVWDSXemn2ORAlc2XHywFLVZV
opvL1gmGZVvlKO3sAhvGn3OsJ4q8esUfMk3ohlt31iUkfuiOV52FsridMQPjTWrJ9hzGpmj3U7wM
XzIqvcfGkb9BHRqeiL0g3TSFOK2bea7V15A5xtp0qQyzo7TlGkJU/GZ3LnvsCPpNAJOuN7f6UA25
/Qh9xklmltlfd5y1NT86C5UkH/A8GFnmW7DJwPLqfltXeXALFpAqlqOV3rsfVrzIWZiAtoTCi346
c85mXvYag8rXTSuh3Gv3y0xD8tlqJT+WOFh4ZrALh2hCnJBPdIOgczeime0fYzl5ajtkGBibKOyW
J0sF9Q+pasONtuFwE+x4e7T8hRck8kJ91tOSv5lA2HfONOsnnkRjux27rPnBpaC4U4VrU7q85A1p
gCIGmGzL2X0Zg7n64XIxQBSo1HyP1SK+YqNAUllOuZyBB8anOWP9GcveLfvKL0oOAR0m/s+lYG7d
YDUO9YNSJkFwUhE7NO1gckjGRBLiXzat/+GygfUzsLMYT7T1VsE0FGmxj4BZic7FmpCQVQsfrt0f
nelxisceV91WcfTa8arMR8kc5u2KJCz0TZK5i141Prz0LKyDj7lZhL6UQe0iMWRd/RgMkemOniOW
N1tZ+MF50iVyl/VNYW+MGNRrES/NsnPHDNGvwlyN3gdXE5sLa+HS5FFWXXTRxqUiqV3MA2vhU/Tz
rd+b3ZDp7KOJ6rjZIIHye0NK8h8rBMuHKRyDe73+6IfSs7ufzBGSTXzlBC2QWB3NVl460fFvtHi3
g8F5M36FJlcDqL3OfuS/9kmrfs5LVr7NcDMAWuyo41PekbWsxiDU27IIDbRt0KpqO7INzYY3mgRi
VdYxhuJUv4sxyr1dlOTI0GFU0C8ZOVWxBwFGWbJZN0cK2ZoIHJeNOrXKvajKEaSgdFQWbKt2AiyV
zQzKn6fVRwkoKg5OEIW/qygd/H2ZGeeFm06JXtYvawLPhnjdZTn/3t5lc9RP/hjNZD+E/P/cdbG4
M4sVE6maItQq1srWXAXsoM/hPtjv3WxbGBpSBEiFxaZ1I5cy7dCx36BQvfkcjQGOPnTatg67sObJ
U87r/V69GMCEHPHIjpj7/dz9kjIHdvP8uacSTLKJ+UrWfcOtQc3uRV8u00+1YGDsamOl1m5IXfJa
Qz4rH1vc4vlTzuNIgjTDtoVOcJ8B1bwrr615x3iy46kprZ62z6FOYnool1JB5IgyDHaL4/EUy5p0
uWVn+viJqGf0pkhpCdhaXiMw5RnhjyH+Rr1SiVmzjapasxnHykhAt2E7j1eMRMB/Tt81W79uLaZZ
fH+2w861dC478ImLwV0JixzjYwS+u+DK7hNgiaYfboT6OaUyePEh0SdTFPMubT3mXKX4zcpoWkhR
d3Ah7BmvK9YPziL7hVxf6u3Ijq47UdfOUyv78sGx4LK4CCTOyWnqtjjIeDSPvessLdpyIc5ulsS/
Btudu52RXQPLW2Xq2bULcGmeM+3ybMkGUSrKsui+COb3kLfjLfd9/ihspKulTciyQiG9odNYh3kI
PbQl2zo1E2sa+bbBCvGQl1oBiS8LKDXeMsghg/Et5nNpV+lvpzettVUDyMA1cIeVb+coLEjr2RKP
fFxohuj4cDu7Gpb+3fL8LLzsUPRfatVk90LaYtzm8zD/WnCCLqdkUawEqz33K2QQv4OpY0HmlOTL
nQssfVNyVWGQDa3s3Kc1bxQ5WAnF/IEs39htxmr50aqRQJDJ36U23g2/rAQNUCe3XNGSA/sXQ0iv
zP9tspLwX9611pMBAQCdGiqXbQcrzblNtUnEcbDH6SG3hJtvZpAqn0h56mSHlKV+j33VsURzMF58
t7rE/YaZWoy7zKvVy/+MlN1/cHf/ZJ3/n/bu/y4/TV199v95qBR83Z9DpReyM+/vgymMh39lpN11
nR6zoWSydPiSPydK+w/my9VtDV3XlwyXUmL+/jlTWu4fDhgIVizndMi7MfD+laHSC1YH92+hFU/y
0LUBrZXjYT8jOq0O8N8NlX4+pX0RpvlOop/cJVE+j+z5aZfR/ZinEFz0BPvoF4bqr7LhDUosh51O
04BcstKFt6Xxmg+/tpKvNI99xHzHIhxYmDhny4qfxg+IzZ6zbdiT+dLoMboeGsVk1RQTjmjWVs/e
bCiUiJdMH2ULg+0Z4e5FPYsTEGbxnsOVbj03fO7byL7Ks8Vcz538zKOpfzdD/TjqkHpaO0GHxaPT
F4sbMtgae2nu28TPXuD5rFMatu6tM6WE6BsOlz3rW6fDmLflZdR6yxGvQNSXHEbIFcNYEFZt6uQ+
tdrkw8kXTYC692g0QB/ZDb4acYvS5lyP3tKSMvfi+y6plmC7mMXTm76KsA/jSecPQ2LIQ+dL/GoN
w/TA4dZcRG7isFEqRRXPAU3IZ9a0ioZTsh+7gOt0gXvyOCt3ptRymMtLS1fzQxf67bnuA/O7jUV7
p5cesLHr7OqhQvg0+9zV4ZUqdXrRgSWfVVxwYgjbuoYELdkVMgr7cQTiKzZZq0Dfc11cssa7w5Ia
FaRi6cbPZsk1C1msMr3qazNc8dgqnlU9whkFHSUe0rKf2yn2j5oz68mp6gka2gkevHEMX1tySi9q
jslPG9C0N8B/tScc1PCClUtU7kTPtX0Tdl1yLLKMDoKsHI9Tkiyspch1zw/mRsGVm+C8bPoUV2Ur
WY1Ki4+f3vpuPJ7YbB481FnFIewNBd0Q9qLEK5LzSL7QH2nIZujpLxfg508ZpFRW62Z5zIVFFtud
TXPFsnBJ+FQG5qpCxGS/XUCpcjZk/ttioyr2hdPcGOyOi7DsUtj4XJthY2t+0m2XuPF9MhJ5aWRG
9LQz2ZPOy+Q5DKeIxjbWLWM8d1Z6HcV1d16ABQ5xNXW/Vpbywp7aUW2FhOJBnNUxDmnQykMXelUJ
rW0MOzV8ad2x4b47xEFKx2jp4VMlTZFc+jHoA2sOl2rDmcEkP/QJSVdMx8Os9RpZlJlDUjFV3TNj
V3Rp2eWUbAegix/wsOImthdi0a4fXScKtTlEq73xuzB5Cx3t3/NHMufYcR3fEWMzl6EO8id/8WME
wnJ8GDy3u0nnxhk3ThDXH0rG0yvkBJVVY9RuIqv4kao6PeoJBDXRcfHUNhHx9kVTCBSG1XWceewr
Lt02vmYX85xua66V1wDXO5X5zr7RzvKGXcmGG24gW2yardcAp9VBml8TGKrf0yCyMXG/ExCm83t2
WJospoET8pCuYx0GJffVKk/uJ0bkc7qmK+JSjGe3Dpvfznf4wnGH6iy4xJEA79Ok2ISRdTKpQ/OE
/R3caJ3cvrM9RVvEUg3cBxYyVrfDaDnsvCny5TVNsvklC1Xq7UJgZZYRNTFYgU6k2rUERUjK+TPw
r52V++A7SWKSPrkVCdChkdbBWsMmohbOcZpDdafqPMS07eyWSMo3g5V881j2imYFnaHoKJrOc1C+
977t7pqcUXb6RriSZR6xHmrArmhlvEp00M8uaymtAoCvqsr7HY/tRWtN1JqGKV0YKkuGc6RxtKI/
sbHBe7LtlFGlXZGyQgQYH6wtJswhZdhcWFYWf+hvBq2xJ49Is+PycclVX9y73Ki5IKz0WvgNsvUr
05bqScJzu/nwbn1DbyaJAeAglYrn4S9YnA3ONzRV8Jh+Y3PZStD5lqwFDHWRAEivjF3l9NYD29dx
HwpH8/M4qi3uprJmri70NHCpMJN5weNlfUdYFV55UqWQX+4wq2vNx3XnrIvaE6mb49T0hDTqJacF
wZjoaWEbNz0/whp5I06CC4eIKG6v5vCqzCL7Ni1rn+xLZF3Zy0hLbu2ok2Ryhx10lpPVhO554kZx
H4c911ivlOlNMLW0wg9dyjLosU9eykJmV16QsdzLL8sf3EQm0igT70W2YpuLpDMl21+Kpn8STYaa
6TIVL9xCxupxSHuqVXyWgP/UbsQCTVHY2XYq4Fw2Y6X735Gc0t9pmhquHG1AC0vahCd8+uHWzwVZ
nJIbxMxHEmSb3y1CTj3YNy2Jm4sQpT+9mCVdDA3RDoyRxTm5XuG/dKGJnxNL+pvZ9P1XUQTmDKdu
Hq18tbAqHgAbqwVGrRuMYPjHFMW66do3FcfmOnIxnSbZDE8zbOEPJgwKE+JEPyazez9nMjl4yxSc
F+WQNPfHgLVuntfS/xKQUiGfPlU/oMum43peHo1W86tYEtYeDMgypzHGJ4lBAnhRcst9n+qJrEPC
yQ5Z3rAaIELvPZELyqHE53B6r/qup+Qsnpdzmgm2f4bNZH75bm7dRcsc3nHFdK6qynIu4iDqqBJZ
v4kYG/dXClx0Y5Sjjw1W+102FcAejQVZuxSamgTLT9ktEykwUjmUIRuzdJxftWhHwDritlYzjW6N
jo55UaWvuu0pTiCg2r/KJQou0zH0t8Wc9dPGzsDStsmC0zfLhmqVSIj2yl06QdQD1PrnMvn2XRzI
8B1LnTBRUZb13vC9h61MuQ/neHSVmZeLBVzrOst7JD8+sPNdDBBBjGCkoAg+4U5gSl6b2CbAzo1U
01nh9iu0XtpYtSbW/hfgU7LHNrafGT+zdUcEh/+hI8N2l1gFhUUG9fzASRQ8LGloPyRCyqNUXo6u
n0+XkBzmy0oCCBorDNk8Sd7laminjAdQzEN2bCKslDbrzXPjWp3YmKWO7murT37ZXZz98DvV/wbT
Hg9T03pv5CT8Tc3N96fb4hMhuYSfxnHq6hD38AS9HwyPlfGx+kgV3s68TIcqG/Vz3PTBKQ28+rlt
lPvlFEN9qqF/oIu1uCX7AbxRhG35qvKAgabMqwjqSeBf68Vxzo4te8DmPBko3tOxvnWDeAVmksK7
tZbMQkWcvaY8O1E5XXexnBj7HAq7q45CM91T6aGzrMS+de0DP22HW1TNcpN03XzuhlBeSIyyvTP0
gro41/QPZakCD73LwM8hvo7FrnIHG4ezKsS+S8biPBeV/gnHhbaVFFX4EYI++ZsRCYWdeIEJqezV
0rv2SHDfCstSl5bBAtz2Vlb9SpuyerIbnwv61Inx0gwD6kFfKuczYrV8urXZSX+dwSv+rPg4Xik4
lIMcZX9UOJ2k9yohLzMxZS3MhETcawfBiB+5eXewl2rRBxEHziWIlLyHfyivZ+VhzBTK849hslDo
s+SmeU5Gt73KOH/oZS2y7jUc/OjZeGF3W5Ofuu1FJs9VGtMTzTDJ1krdrySRret27zdh+eXFTn3s
6wSHrW84Pjulp1OUBiBteZNhopGe95ijxoLPeDrSzOR6HUEET/fPvutpZ2frsTi2UPtXddEaRtNC
f2SzZl/JiA6Yr++v6Yn7UPXQLPXwmVqzj8pUlKziEDml8PlsX0e5Sx83sTS6SNJ8IowepiFJ51LR
TMhUv8uMh+zbl7Cu+SB4bAENsHlYd8HRr8PyuZkBhhovnplsbRH9KBsTnkpBPiCQzloHWI2t2fpu
1O4GPmcgcW08yB0smqI/zREpQ6Yt72MpnDo56LpK4IOMR70kC12jvmNxxiRZKmOLX52hM832aBhA
FOgJF9KFcFngSRHG65v2OnIWHhEC2X9bCXv8IoHocsA5BNl3TWUGon8eEYZKzKoCwCh548f82d4e
fNUQlcQG93YYB5HFp2lRVA6UdjQeBxMRrK99kq03vmytHxVs2v9HIvu/h3mlIL//OUh+/fm/DuNn
lnb/QJP/RaNYv/KvBpb4A1QbF4qmURpGXfl3eWz5h8evFRPLAT1w/h4nF84f/AN3BdC5/mOQ8g3/
FBuEjUKBEcFDHEJd/StCg1D/KDQohUKJuhAwbjjCtcV/FBpi7rcujFq0c3WA0BdSulCu5smuNzql
5pG8G61OUZhx5x7Lq5xLw8946ZnqGks37KTV0vlNBjJONrqrQzpfZyAojtVsuiaGkvF5Q3U9qblQ
pPFaGQ5XRTjAHYLSpTvhZS0FUqbhwTzH+RDuFePa7yhoOu8iGRks6nSghqGgkuDenqLa3y9iKV/4
yI3iPuU8YK8So0TX/nbFMvSQ7XNsXVjDJBdodFHaJwHCVQInYGwB+q2Bv5TDj9nab1V6MfVh1e8i
n3v3TgQz8a6xaUN6DgAex2PpFYV5XkpNRmoJcJFSHMpgo3iFLhM/aMMjBt3wGsC/0JgQ2uDjJWa1
c6FqjjRGKwKdW5UPu4kei5+E+/ShnYnv7nMii5KCvmh+S1IUp/0y6uXN88x8Yl7lQmaR6OMeJIX9
G+5wfstyKd1tVrQ2w8qcaWgNho/0HGBQkMkqKoylsBALB3UZ5eXOkXHy04+n4BcTeKF3ApCLiSiD
mN84XtWf5jZG7bCmhfvaaHl9uB38Cjai9F02W4ET/xrSAJCI49PYhB0b7vI8ctaCQt+K7NM0FJ4+
lZETL4cljAtrW4o6kvuwj/L7ohIDZwIDVnzVizLvd5r4PJv/CNSw03uURLyg0+rxanLoXAFFqLzr
mow6G4qalP6NUsbquiDFFxIjHKPierEGZJhWODQOipn+v5BsVberx2a0TqTruxfZKfdtwrksmdvs
lhqwXFtPw0wgEZo7oeaxJ4zpQ2YOUXesxrgC7snDptuTqsbRMOSXf5uyXj4WEGOqLT3HODh0sf+W
F14Rbj0j9a8qnAYCW1lbP9uNGsVGBhPoYaC5329cqGn4/85V1EOOo4vAnC7pemYrxP52IZm4K2yh
f7RBlh7/dfn3v0Np0Z8SMCb8P38wv3yOzb//23+lAPNlf1OAeSp7UghbKv5mVXr/qgA7f9gSNReu
wBMhT8W/hXz4J5zT/CWBWgJyFTzL/3wqW9RuOFyWaMlw124Lx/uXQj6BLf9BAlaKKwVpycC3ud8r
21mPjb+XgCGOBncae3/rV2p6RxesP9pK1RFMEIIqNTJoq2Dc8rdTa+j90TXRQ6ArceV3Wp1124iT
s+q1i/LZ3rpquHPb6aP/LewSb6ueC5Gmy0ali3uBfZNcBchMh3xFaio/GR48xpdd5hdgfW36ADlE
Ldew2MSUs3RXxWv3p1VcyzSmONaIS2OmyymDPEjz5GbKucByzYHL0ZhaaGbWYSTajv0qNHWrbodt
N3BBCu0x35dBBTektDrUc2jtHTF20GhVd1kjUu/LpJg3xq2RtoKRSLHV9cSQ7cpxXiHw89uO6pxt
GKYk3ye144pwar34CI1JqkbcZSEtmE77MsXgyE6FCVdkkz7pEHvSSwlErKn3cWnvZpeliMZGnOkc
NoJ7jg8oG+RbnQfTgQKfX47Nc6cb52XP3bXcFhkhhCLsv0AyKVKPPK6uXsOKVjNY9xqckEBBDpnR
eRWZdmrvJrzyXZotGmTaRsQsOQB7Lbs7nXvsNzAFm2eClEo/r/c3ZRVQCG7qeFf2pt7H8IPUUDZD
QTdEDutrqeQaxXS7tCz59dQuMe3WXbuM2aAdoaiSScGgPsx+cZuVn5GX/FR19UjCZj96Zf1IcQBr
KMOKkqSiL6P1ul6SJ4gAX4uxZHnf0nVfgdOX+0nmRH/D+T0pjCB0keoLIvUihvUrBnSCtpEoiRYG
dz8mPzBKa/6b0btrolfFsIcDgEhdJohN8Oz4pkqymIbjwm71i3JpKENWXzS1H15sREjDagruGkPQ
pO1oHvjPpnXDduMjeaX2shMWK1lRtc+yWFhRqcLu1eOQR18hoIVIafuwm+CiZ+YM7Mgosj/DMGt+
I7xwMWi6JqAp2m+by8abh0vkF/EC2tK+YRHgmxBCP5RT4HAwFBaSd5wSPHJa3/uF/Ii64Jj6CuEp
QquKMLCtqW8fwnCcrmu/p/k3jUq2DMtGXHdRpB7Sdj3oa189Q8mJZ28sejprY7CbjSupgpBJFl6U
SUrd6WgxpOdmGZ6CJvSv2qr37xb85LcKdONCeW71SeY+OqNHOledIrC0ceucXV1J7N2Q+RsomgrV
gUOyp6zB7soHIiPBE+J98LyY0N/VkDY3Y5lRJAoMGN4yTtT3Vj2Yx2TIvHNic4/y6sXnNXWn4BaH
KVq7MNJjIvA1easbfsppYkNjCSgkIovD3C6ICXoqICYDs00tsT3Pey/ncGag83vmrHyar5JgoK9v
yub8ujZG3Uc5gwvKic8gZkIp9cb2PG6NMUjCh2NHAOLeGL41g6CwrRmWj5lEFIyBk3YvYe3RCFib
jAtwEfMkDAgBbvNGVE90EowUfvhjl26dKNMEdseIz/rStBGRB1ZItJJtiYn9GC2UO9uspXCKKNx0
LuGNLZShP2yFX/OIq7ypOxrf7h7RyH6gMxXPYUk5bGZ/lpO/p/glpsTLmbuL0bsck3uEL3cjTf4Y
0/Va4SwXlymf+BLp8GChEr7njp8clOVS5BHU0jvFsA0IainaxhR18nIECGFVk0X+YhONClWVQUwf
68GqeRSVESEsMnEPmR6Q6JcOFbFX/q+IDpM7OiCo0tDTfJMP9OEXFN4Exd2QOK+2jIdLpLt3Zx6a
X11O/Uhc0ilKN6rlon1xJ7gMRH3UM+E8A/az1OFeDuYHpRnJtkhD4JkA5rmL+KUSQyWZ5ZfRxeSb
m4Fwz24MaAqfartjDVXfP6dja79MhuOlDma663l6Heyp9Jj4HDxvSnG2ErXioteKZRuSigrPqHFT
ue1eCBAon8LNJDg2BC0OkR21B8ym5uR0qjuu1Tj7Fir8i66C+q20a4IyXKLTSh9F7y7boTo1ZXec
REP9vTWK/RxTjDxXFJ73tV0cYVhOMsi6JwhwIFoOkr0/EWjJQlTo0XLzQ5kQpAgUHXdK9iRPmNyu
gIxBXuayONPrQ8yiyMQuWjzrLu1Sog2yKI9p2zQXdTI12IVVCEw8G5R/27ooSelvbbSNW8LFSJNj
Gt96PKx2XWui7Zzoac+9YiJrQqYsCsmiKbHk22UEm6PGg6NCJnN/SHjwb0RdQE3Z7MjWqXrxams5
ex3dQAvESR+eZo1ovqg629pSs3lhdvqbmJNzKxpHb4RBk+9C98sv7xvfdXYjj0CQj8g9JVFBDa1j
jXsvTvq7KSc2NQaBOlg5/XaBL54k9ec+AXzE9LQ7pa7KX2m58X8n/P7IFyh4j9QlUcanHRF13+QU
HxK7c2muFtJtSOF0jn6eekO4AVnUoJdO7i8h02PkeemTpMM8po0VRIqtAh2sXV234rouvXK4EHhO
KEnCI4YipvqcJOFWmByf254bLmDO4L8RQJlvoOzYehRyUUUOKdGnDKplTOXRLh3wGJuCXWlmBGLP
mAB3ecvLbKspOGEoqVty2mwpTf1wU6zGrl3fyIna+oam41maahdS44ObTiW+EzxNtE0xu+xSNb7w
zPQ+DOmGi7SoEHjGob3wsig4LrqVt5BJwxW3yGBL5I2FXL6xLoY6CB55BmU3HEW3lu07LgTd7P1Q
bdY89IXLMGdGogA9+s1Z6Li/Qg2u9wqF6qKVKr2O67w7T1NHEWOV6nOOX/tTjgmfLJW91m0fcmWx
7Pwa62B9hUyS3pdmqj+chB7pmNIGWvy7EZg7CqGGaJhei67QtJrLaS2/orOp3kdGgp4l+VxttW/f
y9w7NEMQP2DtFA8qnAkYIlOlWLco4XIt2Brtlgqp79YtGXbFR71WccVxOuyDtZ5rjJLurLOE15va
Loun4BUPZ7Nvqy65bRcuvvi94l4kHqsC1uIvOZUfS9kPF9ofvbNNdciDQ96Iw4dY9U8ZONZqPXQn
41QtiZc+6+4SeNp7tXaOwduyNwCZ9QdCA9s4koiYhECjBAztjhlxtku779p9pFV7zK0w2Mu13az7
S9HZd+kZz/vsPgvaaLdQLrIr8IHO3dqTVpeue+1HFrJorbLlNCGbYGLpkIo1vbat5ZTesdFr7WBz
miKl5r3iU9nLIDiAKCD7Aa2pexlrymhAho9oeeV7jTHNR3FQbCecsuk8rlVw01oKx+RXfmVrUZy0
RrbRrOVxWSHpAPtulIMacB76tWZOTF1yKvCu74Lc00feMOkJSN6ytx3Zz4sswmV3v03eqCOIZqUe
1m81VPU1Sc+c9BIEYbx6xAoOcqcFzzTANx7uq58c5uP0Goml+ki+7Wblpv2NiwX1IMMqeVovDE9e
KJdLajjiu+bbttZj6d97q5cdrK52vPrbEb1o18nqeTeYQzeII/mP6NsSdwfGcl0672b1yqkawDaf
Iwvtdlnd9H711atviz3/ttu91XkXzZBcVuHSYcevzny5evSLSuP7ypS4oshYmPgVU8khaqu1hfTb
5ocszDxswPnOn+VHQ6DrxZtr9wDS2J0dt85oiBnVlajZ8CkgZU9OpXBlxejSGbqCBZZVZk/1ChvE
K3bQoklsML8lxdutxRQkcl63b0LBTaPkY/IJ9Qdp3N4srl9wRkM1BFix28waBEGwlXqgcwWcTK4s
RCZWLKKSYnnEMfX2eqUmbDgMtKYVpZDWNLDLLOvFa0r6kjXXnhlY/70yGBZCyGnxi+zWWQmNxEOv
oeskQr0ufAvMdPymOpIhGo7linrQ35pwWMcMzFqTnsIH5U6DZQ8cMmtKSK1qrN9oNAO+6VaOxIlr
snRkOumx7vnR34OVPaGvbb61M9/czfPg3ueVm/KRrjqEwRVfgdGGZIlWqCVc8Zb0L6CLDfMiRSIe
RbpUrHhaoRhvxWMgc+0zMS96ReMlOTl6IadcQRYQrlnpmlRa7V3d9PbvdoVvOopIH7IVyHFVy56M
Zlnix+Gb2IloO907K8YDQEEouxeyeu+cnHc3dtyDAe8G3IUEskaYoKCZfdYzLOTRMGlTE2zx4Xg3
fcNEYuWKVJpOlzXe065aqSP5DSCluWK1zEolUQpb78CAeLXUN7bEj06Nwsoy2SvVVMrF7/diZZ2W
Yp7e/kf8+ecdqasU/s/FHyT5tPr3//NfaPLr1/1V/fH+CNaogLLJgARShTSU/lX9oa2FNAmiK02o
a8MLaOCfCKD7B9PLGiqB9UNZkOu6sL9q8n8Iz7eR5dkn5qAv/osNqe5/CpVIItOEObkVCJpjvHVx
2d/xf9MAhahsaW9DVWvOfNr22P6RBD0tLkDfNCtoH9XDwpL7tPwo2NnGlIe+FtOX0zbpsM0NVtZV
4kwhu0sWWpXCNXzWZueAM5PFGZ4qUJJyDXdTjVXmHgNB6opqREr9wFe+6opaNEquyjTeW3AAV76G
GUHupPFqMwYO2TTkZcIHU85sVlkR8Bd1Ga2g4D8ZeKRrfLtdExRsAUqgXTYed599YZlKbAsFkGBH
qMY7QX8no381sM+3i9PLRqfR5VSX1b6QVOVtbWcmyjvb+X3gLzbOaVCqazU0Eq1ETYYRelKfeR9o
vj4bSRtPipoD0PJ7YGaEq5qume04OdNl62bDVeX2xbCJHdodAfkK9Wm7pCJquOVdCdx3G6emujJK
49FKK4Q2qHwgjPfWw23ud4R6Wvc4NEg9ZGrS7PeieSxcBFSu3hOYN/j2Sf9zacEItimHM0HyQszn
VLUrnuNFqNkL/QBFURWfVpPyW/Bp9bwurWa60tyzi8saJuW+Tpz6y64bw5WAGodTvtgO909vveTU
lvoVW5UbXnr0S1OkSR/W1hYxayXGpfMM2UR0e+a9Eb2D4g2Sx6QVy595yzRASRDMPcOuohojNOOH
kP5yk9H/fRnPcXs9WH5bXxgt2Ifh0CO68Vw9vmSU5fzw8WXurDoSVz1qk7eZZBRdz5aZ2UzrBu3j
7CTONlBW9wQCXe1dqnUa1hjnbMpoynziyZ0ifnF2TBTWTLZ/CyEZ7cgyclqLZZ5/W3NSvJJOmqFA
XQYRkQPV51VpX0PxxyuqWJVM+2H+q3KpRtDByEg1xvyPmi0Z7f8ve+eVG0mWZumtzAZuwrR4dTfX
7nRqES8GMsgwbfeaFruZBcwqemPzGXuyKjurqoGc12qgEgVEZpARThP3/8853yl9a7707mTvv79T
XDf2AxSHAf9pqNE6VrbWthfYWlbemNFH0McSCK3ds6NnoXIKeUvfWNUk3srWGNtVVYURJUXx0psD
VH7HTxuiiiYkMYDZ0N9jH58Ulz25Zh+8+r2lIJ+u+6isMaTwgiV/ZZHzcLzS3YoOcl6gs4kIFoc9
poHBm3aO2ww40k1Y8CGo4GCE2nyOwo7OrcKotZ3PBiHfOY6s94SOxRMw0/BxaFqSHkNZAyi0omaL
kY+DQemY5DaynkxtrRVEH6a4mrccW8u7Auj4nph1d+6dkVTsKHOd+7Qb92OWs6OLxxC7BdYhUA1O
Gj/5jamfiJVAXVeFKjeTgQFxoXPqZ2KfFRYnM63TzYjN9uCHAGOUnKJixcs93IIjouMz9XOTmyv2
Jm1tCYa8ZuT8Gqd0Uo2YG/Y9I/GLAX1HrHpyRMfOTNXZyjsKXWynIps2IsTDY3HRTTpHewmn3N4a
IWl7B4ApSNmq/uwwNm5qP0rCNfl07avmCYcnf0jrvQHi99HN3OJk9GF7gdWR+OtGiuiSCpk+V95k
3A3IAuuoNCOuPYPFHUdEQruJYHk8Zba1GTFHrzXV8qF2vUsKQuSYFxxLlsei6EwzMIya5x+aavQa
d3P6GmrQeVbkMNy9NzYZ8BjWWbtl3KIhxsnp8TYkzkFfT48tRmsWVcq8jZ1B4HVLwaXEfuNtND9O
P60x4/DJ1NI9WV3P6jrBBLRpSEOtrdzqLj5Awr1T9c0XJhXMT2Oas3kN69G8sUnv7EWU2K/Mv/He
r7yOZX+q7SqtHY+ei0vNiJcUYsuDHpqAl50bD2K1TWh4Nwov+4oZN3bzxJ1Dl0F0cSbhXUZE2CSw
AbxevC6Zd4p42gNWJsohR6faEvKxHxtWHzQ/+Q3yYWiztQqFa7+mejrrm35MyIU7KQ9uaEB2WoER
wkJR8DS2giFG/GCzET7Da7pUJO1MJMMggyKwa/we7TgvrCzbA0ODPc9yJz2XA0zFuci7ceWXgEBW
no/hqSI+Q6K5hQ288mw/hkzYjS9ZOUGrGEa50BvDnzxhQhDUWv2qm057mms1XaF3vCw8idEpL1nn
3g46CFUIjkEhHfNl0YLjwDKZEYjgWPdRk1Y/iQ0kW0HEZs3h2MfoYjW8ewziftD7ozs4OgAXSsO7
TXkkBZmu6LdkZjv4mRBbw9GTXWbwzF17Vtmsu4w5YuYa24xcjpSR8VB/mut22JTelN5wH4aXGjqP
LdT8LNlAY8qz0h1uKxcOcOs/D9bMPrXkzbufMSGeFJPCTeNHbTDCKL3vJ9Gtm8hk05x209WtbBbE
Vd9BtXTC6poas/9Q1kZ+VDUTRxI3w0HNRvVSDenwpjLgEauqL+Vt1XjxQVlt8RzB9t2ITBrcEHBQ
ms7JL6Iv9DdiluDPLZ7Vc8wnaiVvDQPS3tdGGB+e3e4ALP+yAD/ySXhfiEHGta9K62QMZbdPsKz8
MhyxkOpABHl82l8gkZ07VrLZoeorlqPt96I0nVPzMOr6cCPUskj1l50qwjeBnXTZtIbLzjVftq/U
JeyS8uh0zzKVP7Aegsyinsy6y77Xt71K40DkGZuKL70AUKu37vzkD/RILttftzdr8KnLSjgciS2x
6FxWxYQM6OVrxUc48YPzxgeWpuBQiayOy6qZlF26rTKPYATM8pVOlnKXT1T8xcTyn+lHCEmzZ2Tw
HSe9jUKaprqerLrSjHTfStugZW2of4HNMjBdhLTnSJrdwn6m528U8pblM2VTY9TfFTVgUAvEkLea
ZmtVuMNlgrLTwEdyMzafAh1Li4u7Zsi2k8eqD+zupPkHG6KahuMRFEVyyFQ+v2MwagJOd9XWBxjF
RzTHZ9xcb9ksrK3WfRUogdCT8qTmk6jC96pR/rZ02uw0lsJaxQjlgSXa+shR2mfl2AwbLWQOylsB
A2rSH9MqJNAax80ORDvUJduHLw7KwWwHeeLMmbFTP+SN5l2tPF4at0ruYt/oF+i3ke94XHCchfN1
DcviyWiHg0GNZ72AAWDfoh9UPaCAjrYmOdrxc232w7Yes6VjsFWwbxyF4X+mQVl0FXuKCPdvE+5s
w15rM6xmDaTQmr8gJ0IRN6zR22mk8Q08nods4UW7yWmoRW3ojZNKU68N5tubAp8VN32pXrAl44Xx
JjxjayMCkeN6KUjXyOzkiJkhY0FvmMJ5a8pZvox+t6XcwINfbZXEK/Vx5p2PEQbrbVRGFKN7E/qF
HBtyPcPwasWlEmCRXZkFmElCD/mhrKa1jHQqHItwcBAglXoymrxaomVpdiOMct40zuBe6tQgoJtx
CZLywxe+lfge3KGPrvhO+g/O1MbL3IbNrq/aZtvnCxesFp04tLNOL25jEgLyNd54BaZwV8j9YCb6
Q8SteXDGkmy6hBB2yaWW4U+uqJDBMOr9tNLFYpPl7BVCIFbXnOG/AMVXCX0tYwW9Gl69s9MKnUrY
XhPNyuen5h7CqKWJdHTZ28E+TI6RaS7vYx6pOAQHPJsBPk3zBPtTzODro3sn1NXDXx+j/z2MbQZD
7b8eoe+6pPz8j/8jGZfLNmmnwydFSaAUKIvi9/1ua7N/Y93KFYDbgffsH+wT9m+evzQ4WaZtW//5
r/42QPPLUBIW8AKika/x5f7fAM1s7dowHAjZMZfzVc2/4muz9D83e3vMzBr/AGXA3sb//XmABlCo
KTEHxdzc5KpzsMr7B8xIlCd7PBsFot5GSwdS+yMOKnaFat0YlMNOKIhFk7K1KqANGi0p1sQcn2dG
C/Ki7UQFn/tk6ZhkgWHRN0nU5Vc7RBdFNHnDeuBi4VST2Lcdl/9GRfr7aHBg1i0qiCQquDmg9jFH
IuHOgjDzAJdtkulh4Oi2bPAZm8oS5yo4cN4vOQZqq0Rpq2g4LAHEZMRwg8oFmoYfgjQqiVWtg9os
C+1d+FB6gBDwIh+L4mwIcYv9CA5xWc5bx+0esCcQ56nbN2zNU1CN+maGQLHOZ/mAd+Ax6pdZYMSD
5jGgjZDWZ5ZVQeI2Dmg+XhykDV7aKCwPaorgrpgazXiZ9zK6/nNuN9XBdpXYwMqoNlajHxvPsBcw
W4xdHj+6YWf6FVhFxcuDTDSIQYfID2mvydNuNYvGKc0zNlmRGLtYQnWEsmSszLj1t7Ojgyzs6Joq
NIH+r8ltRlEWi4vu3GJOR1druxslIZINUfOgrEkGOfbecnTBLdbey+SHv2Q1l1T+0o6hpgSTdys/
u6yj9gS/We1FzrEvDXVretntSCgdr0zsw2pL5hc7l5T8zZm4rWwATBEM3cLTP80IdwPdYReSRKRG
pOUGgxWeoMHHW1l7n6bJuVeCBYBLLy4aL5apHc3VEiFTpo10kKJnjM4h15tm5ZKRWAHOpfdAti60
Ato4GvgaHHav2Wwdeac9uA1wHcPJj3OmnfPihvSdCuFVkasBReszL7k6NHCbZbXKJpINo52vw8F7
H2GMVsNR+u9NcvJbKPAcdjq4bhbJl5y2Mi82DlN5FSExI21eDbRVxs1jbdrHkbU2S427CgQoZI/z
YBFad0w2SX4w6cD5qELjV1psFWJ8L/VLJt+N1meMLG6FVtJzGEA2XOwrF8vPgsx1A+M09B5pSF3e
5bzWDFWeQjPDrJFXN5zt+BlV6VZBNttp+XQ2MdHjRgKTRfG8NeAybPchv+RrSOiRc6i0wEjeWcbL
PTAiFM88oyjbrjaYBtZlYmyzXNsmmLE5utCDoitErjYOOPv+RAp9hs0N8cf+SJX5jCf/rnfD+3nC
dz/EaVAZOqf7e9/hWj0O5XHmSo7KYZUoZ2358B9hXNYSz2koP4WP/k70W2eBdKzZOoj+3h+MYzj5
GtZC2pBneWBA3PVKsAGyk/3gGHs1U7BMCwlrp62bP5tOSnoI04IY280wihNRpO4Gc9RdloC00IyT
R6JpxZLyAUBg5TnvBXSBVV4Y9AHpm3icX4wFY26jrLLds9qJm5G/+di8wu6605NMYy8ostXU3hpG
/txa0Rfz5d1csKYxVXxNW6Jf9qC+CEPcu0W+ViIPUkinrv9ZxeGGnNsL8K+Nbg2rVD93dGBq6dHN
P7KpCEQ0/AQBi6hsBqX6kTSs6NjumLOxi/SEQtD4lS3Upu/1U2lMqN3uE901MPeRpHuyxr7TPM0J
/dJzdFD+pRifw7wLIisD1iGZYgrHMreRNZ+tulie1Rm9vtEhRPtIP738ySTsG1SDduGhz/5qTAaS
x+OZLj30ShE9y868heHBKj5jHWoKjoveLzV7bxiNfrhadDSn5q3vyV02ZLe2zeD0mHmN9N6isdv7
nDx3pxZ93i2qF2qgoEK6Ous3/scKrOo+IYzQzVMXCeuD0Nt5WfJrth5ZV64KqnEwbWg/IA8E3SiP
ud1T4axdmxGOSjNaYDjho/GVXbmeMNmE5CEKxmi9L6jLTPTkM0R0Jjw9r2ateEhtLFdx1H1Z9bj5
nxPQP4cILAeCf30C+k/xoZX/a/3Osvw9/ycnIX7/7ychiFIsFTTP1vDR052GzvC7mGDh4tccziC0
T2L20P8oJngm/CGMopoJVwD40t/OQuZvGD81MO30Etj02fw1mIDl8U3+ABPASaqBEuDbu56Gpc5a
qt3+KCakttVmo5lBKQfTczabiicizkFjUfKFdbSBC63aovl0FOymXBk0QksQxizJcOYFtT29u3oa
zIIUIZVCCzAPY1uG8YEo7j2q7NsMUI/Wj7UEK+tY06ZmcvRhgSajzQuHNRo+g32GNQwUTr+pgcOS
keSlR9pVAgINQuU9txNmGNMTZ/pwAIfUFgVR1myvK42snOsNoGI9PPP9xD1Tk6EOfIx/wJ26KqjH
1DynsriLQy3jQT+dCq2Qe9tzTx5nzTUEKjfIQgkwU+M/n7A+rGSEQT+vyIKVXluQK2+/6qK8na3i
U9Z9uzcswKixSash5pq9wYe11wyi5/CgGPXh3VOLdST6jAXEqM7DVJsrmiH55MKY9g+v+6rgWaOy
TLxeo+FiD7IJWhZz8JqbnepqfzPI7oV4HvrBRAe0MJsLYUl9nXZFvGvp8wpUPJI0rMBx2lWmNjZ9
bpdJI4E61Hq0jW1SApgi4WCZNID3OgF1KZvVUuOyNoS6T7L5VeZsZMO+31m+daqkPCVETMEkO3jD
Oh6Q9C13M2SSFlyqhzGHxXvd2Xjd9YagVd0I3sbivjVdYy1HeRsuVU3EHl4IiC9t9fwo7Ki8N50w
OcdSb3eVXmOawMO7TqV68LJZrmHzXAqn7baOZF2MQ5HxDbPxThtNWIUD+SdsRyztBy+YwZ9Rp2wh
07S/at8P9wXUQvqULbFVeKQ3Mmd7bmb1Wy5gdRZKnVpWViuRRK9DXtQ7mkPpHk46ljV8YRaEkMXh
6IhL1OJb02DXcgjIVp5wOUGkBb0AbJLXmc4qH1bFD8gyI2c+sYliMpmp7dxldXn0tB5aoWZVKx2P
4koz7KsqxgspCACVVrGjkFReQi05wBqGU6Vx7bcx1DW2kbuyn17d2jlF44gX126DzDKg6dd84Gae
kmVM5bwu7Kxaj3K+d+1EJatezltLx7ms2U6Dr9nZYY1IV7ElAh0C01ZD3KdGlTp1qji5SJAkiMmB
8gUSwZeh/BQU9dGyPBd6L3LBPLIfcoxuX0/GpXDVK2nDT82sX8opo+zG1n/EVvM6TR0MyPre6t1T
zDsXVxdszakZuZlFv3MtDl3pnLPWKfJL0Q/3Wi/eaz8/FR3mFUaEccOLFJ90v2ns8M2I8gtiZB4k
OoehogduVsVfDIfsP6IAvSoLGjvB4GPu8rQMOsC0TVnibyLM6iRHdPaT6ZPwrvxtbLjPdiLPM+1A
gFnNwO6QOMxqOJCwp/Z7nn6ovP1QkoLDCIsCEw1nIhNuprl8wkPzZU4+98XcoqngLkEyfPNK8djA
2IWdlp/IqoiNpaf3puLkq42AazG7rWRMjskYhLYy6umHXkeBT1R4bzu6jqbE7r032Ii5dn9uG9MG
eDn8zFv7fqqLnYEgBcmAGcDf1Jog+8GBpqvzG2U3n6NgLOLhfz/0yTlNMFJ4MAscSoLDfNjYbnK0
RX8z+fKauPKYteOJRdpDQ8Uxz1boTzlEPTaQKROnC8hSd/OdUvXB7SoC+rnxHPUTXua4vm8dPL6j
3wZJPD2kQ/rMvYyCO073dmRcSts8oN0yObpFf9cj+CSJA1M+FelR1AOwGL05Tb12tFRtbueqvlhG
dJon/wpUoWP4rRyMnfYXE+hRg1awKkYjPIb05eXdwHgR/mqdbtPDCliFHFoNTmVrYysA6VenrGdQ
dRcLegFOj3msIU2muksJbYl9Xn4w7aoLWLtXu5QjO9Yp+UMKi2e+YOaFFvGZJUyIiZ866zFVdx0a
1E5zwnBVqqTYKPanBGvVAsePCSBFmPgrWC5mZ9/0kKpYTxk3tjndutMsgnGIXkZmksBxwgeWyS/t
YiinZHnYhLFdBKglOPlM537Q/fxcmc+22z61WfemRPzqOnq+wQyrGytDz46AGtutVbEznkKX4vbW
PSUqs7f5QqOgXHof1628zWYSZj3gtzuLQwXZr+yBCFZ909Rxu8YHNr04WR3tynrozhGfczDC6zgb
Kg3XOWEoNhZBxYr90FU9VSy2We6mgXKvvG6vkTlFT8Dlr7GC10AlH+Gs4gTKY/50SLSnwouDKqnv
Wit8xw2N5zD9jDxWzDMB+bavzKcKO/Ynj5It4eRaTjQQONqtE1ErHXp4DGMKSVhW5siiGC/Tc9bl
D1mWv4lpCS1k7slo7T1hfi9QCVKaNjFEZTmJa0ae/zmr/ouz6n+fdkp+xu+f7//kiPqHtJP7G5eS
ZfqOSckVAyLlRL8fUXU2b2xmIU6QRf0vyCtnqTQC4rSgUnVd9/S/A68MjqgOGzzsHha/zdTcv7Su
+8cjKl4Xm7MYWaTlBO39ye+Cgj+WbZRBk0vcEgNHyqKKw6p1nWBc7WN8MrTf9GPA6RSnrN857XbS
S2efjrpzcNhDXquW4EnWxxbORW8KhKELah86e00NJ5D6fkoQ0tryEJXgJ6CVimw/pVI+6aVFWr3P
n2LbU/s6Tl9d7JBBqDe3YRFe51kPBs+wzA3W/I629DKybutvIbPi42EeJCbBUtu0HEyD1Mvci0X8
NMZGsUUpR2jT3+qoyEPrUS2SaegV7nGOfMzS0Hw2DegBzADoqzCzoTK6i+rqFFp0mRYl1sdLuos5
E78o3Pw6wcFdnKPnuCD6XppFya1Qe8uVE4n4y1vkXkXuYk+GhxYR252g7ououTaY2tbTt1hsfwvH
jh82X2PnqL256Mqa1IjbWxhC7W/ZOV8UaIk7UKxsq5wfEQeGDZQiaM+ec8U7WO1DoiNp4KZe+9Is
ojbMm3YnClNSRtf3Dwi1lPLwMm4D6gV5uxnIfqiBi1KOeJq+pmURv0IM4LgKzRJV3anH8sjMn+/b
b9V9/lbg256GCiYUHiY81p1gamr/oi2yPd8LBR+ziI6aFRp32SLwN4mKL+636g8cvrt4ixXAXEwB
Zl7X++rbKYA5U/uyC3kNRTTzYNOFvXEWY0GSjN0xdGz36C+2g8QT2X0SYzyxdAZ07dubMLuq/mkv
hoWORebZpcHiqH/7GWZZcRBdTA4cS/NdbagfMhzDFWCQpSTEQG4aLQ3fDLyQbfTtloDyE25b7BDo
1oudgqHAOdBU1KR07+n4LbrFeoH9iPYWILnlJmzaCdfVYtNQi2EDb0y/ib5dHFBrcXRYi7nDyAkD
r7rF8tFCXjjniw1EWH15Ny7WELOYMlDui2GEltmJxhtRLTaCxVKCHIu7pF+MJkw1fGyL+QQxqt7b
4dznu44a1J0g9cSqeSqcc5FXY1AuNhYaBYCyWYu5BdGenLQFKmaHSQz3i2N2LugNLDHGtzumpvID
okGSAe4EOlPdF4uVJu8MQCH+jMFGWyijsN4w7PS9V+46apWoKaJLYS37KPoBwLu6EX3SndimSH5t
8fNonqxp/C1Z0/Dl9bskhltuAcy4WG5h0zGjOW4QF065ERx9nvraDzehKJjYhm8/kWss9R2LyciW
Y3Gp2sV55Lm9djYWO5L27Uyic3DYpNywL9piXEqkw5ardXvsTIuxCVsK8sL3d5LfzicffwXrtW9H
VNSE5cZfbFJRXRjr8Ns6RZtHDwINQ1WD5w4G/GKzAvxgXnt7rj/sxYTlqI737bRYs7idKaia+MPc
hoYtt1gh6tOcA7Dx8qT/AauiONjfRq/02/TViLD4GcmBkhiZ55BkRZpSNWTWZTyfla28+WjVJZO7
lUfus6nxwWQOtg1IO1pCDpNU2fMwUkARVqk8+qVf9ivmHm9FFmBcpYrUS+OzNOSo3TW/QKgkb1yH
bBIqb3T2LjDrj7xvTGBR0pbX1rajGzqtTNwfeNONYFJJejJUmBlXbC7Lk0zkcJYbAYIZvMcpc0S9
q5Uzbvt5qI+iTBNsSd1EAm12UQ8EoLKtzbb0aUpjY2fGfvKjZ7bY5oXSt/y9pyej6ob5Pp5yzqGT
cA7k0pBojaKmCZk7e4EGdrj+0UGXTl6z/JRoQievVwA/APX6JDLVAjnugblxtH+2inqZZzshKHto
oc+kTZ5/eAOI0VPJ0gfqHcVvD/iU4QZ7GMcAfqYVIo031V2/ts2qjrZ94sw0JysAxbC1nLc59VB9
a6W8cONb5fSOhyhkLe5PDstQTSR2MCvbvGlSLfYOXeShBhRO7FSU4MwkncKQkzdI6x4bDUKSW4vD
WGvyFJUdUnc6xaRVXYjKLi87Mlgjpez82Qox7yuAaOquIVb7qkOGPZLY41qzLU9RspVPNJiQ0DRv
a1pAAGlJ41T0BAxWqivChDK5OLnv8Hh1pGuiAZ7Usm3feNTd9fixAVj2xHkhk+swgkPCKIC7QbkO
ea8/dka+8NEBp7xWnlpEGfLL3drgtqRJGHmJbt0OgNQURswLVlfjY2+oVbkkRtM+cMBvTnLQzA9y
mcSe55JnZZAOrhh3uJCmbEeBifMyl+TGVviHouMYKipnlXrBTA7/KoN0nDwZpt7sIYK21UqatUvu
gC3fY9z5xYMRCueVZGnU3Cu8L+XGK2rno9Vn/hIgs+uU5YbSr7ACI4eAgEKeM1uv/jJ9s36s6FWX
x7j2vcNc0J8bRL3Z/TCkNf2M8ylfGmCM/eTN7HSg5snVrGToryEYkb4dcQymbxU/uHijZYnsD2lV
6Tg79Erf5H1oXZQRJtUacQ0LwGRFI6aTqWS8arWa4Jxtl9Jurmnu16hj3OIGTPMCgF3X5/a+d1rm
XKUjfsHJNR69OcsvETXbR+R4dz+4rYdnQStPvs6frsHuhHFD5G8RGt8Ze19zVYQeXOzymX2kwdE+
q77ViCGxZSupP97lftm9R2MDkgKm0ZPB0UOpXuxF6kc8frvyNFFfciw4vqy9FnQ6KWa5pChwCa4Z
0ecvleXi8tfHhX8fQILJAfpfr7dXcnr/+R//+x9HhuW3/b7V1vHBmxBBfbT6793130cG6zfH9jmx
w65h/4Rk/zeLvPsbK2ac8SxBNJszLxCEvyv8nMM9zfdcRg3Dx876V0YGe1md/2mr7bBTZzzhqzI6
uH/eapuFmBaqSRDrRv9aAwg5C2JPzw3nd7mZqmk+aqHUTxkZ2pl6Oee+rcjPruggG+8mYwq/Uu4J
FPgpUmI3tVecii9us514bHS4hTKWbhxMrdVYYW6mYA1zGU1rEbpM6sS/EL+rE0u8GVvTlFFbWk9B
lPFeWTx1O84tdJ/aRh35Z5l61j3MmH3lDMHUAVEH30SrGj5D9zLorQ+Jspk5jed29KOaHfs1nrEE
Bpw+JhuvS48SNRZQwomrlB+JHOKj7brsAeYx3RBg7ZuNFfGEXIeCWsqlV7wpglBO041dsds64D2N
QNZy7jnHeNoSLx8x+3bembGCjXYlo3jLEBKjYs843fcj59xn1vbhTZZ8ycl+QnCi0IJZJR4ifFTF
6L0rn1dT5dHnJUmV33PPho+A/BuUPFlXazgvcaBFuWcu1SoUoXEN+atZqICdLHofkW2d7ylHsme2
RdkPh7h7L7arS8Koep5YwR88GDrvjU3mGkhL/zXkVf6Yk4k+8QXELSbjikJ29zmaqEQKeo/nle3k
hE9TGlTXZtXG1xiH5BHYeH+wm6G9yF71T5pSGt1xTsjuo0iarUz1Q0zBBHaGugL7oiCP5wBpRPfo
JMJ4h/XPzpANoUEqvugImbeUzZjJGBG5VQpJGPCG9dlDhcTStqS3qRCyf7lWb+07qlyh+ERKdS+D
YXVnWiM7XgSdGH5VjVa/x2aJZBDOTIk9xWtnzMCQPLjg9ZfQZ4mu8ii66WYpd5lTG4cyESX9vSMe
+TqEZxmHVpCqsnuUo6vfhoT46r0jFkhi1VUVR5NKozIjhszPYcViVq3qYVx1tan9bEkm3YKE7/Ee
glp7Twj13XhtBhO/5pS7i53G+RqJ/zVrTPy2SwAfYTJ1zIYyx947AfitOR0wpt9LngYPfds7p0pP
MTbA7GwphbeAq7LLq9ut8srpjC1T0RG1oHf4mxKvRNi4jgbpBXa/8gnaUgXugrgoqYGy3YqhmCRK
7GC+zUvZ6gqkcrvF7dg/qNiZrwnMDcxtDdc7ao53TNXCIwG9qc5kL9ttbhM7XrkWH4M1AJnixawZ
IA/pLnmww+xxMj1zU4zxR6RaBPnWLpI3W5H45OyBG5WDyMM0463J046Ac5HND1XW5DNClMGoNsF0
+tnMKMMuWwatxdG2cvJovjY2MkxUqWMv0wolmox14XpwhCKw7ynVuOW00xIougLJZDMRCDGRHGqn
mh80mNUH14hvR01bpKT67GhzRN9AUSOqOd2dqXWPKtWyxe9vi01d6/68KVAKwM5bHZL4YBT6V9Yh
KMLk7GN3rbR2QulCtUfNQDOD5D21QVRU+St5B8+nyu0FyJN2S9vxdJnSxrzUcd0zRxkzph1M86fW
MtKTOw3o84Sxy59+1EfPDI54/smJpD/DGA/DoclL0tRh/AIzB2iF2aaPtjP6Cfe5SWJxEvXB9Ooh
3Ml0WiKoqvvhtTLbudiTP/ywR2lsOMdvwZ1ptxnTBITBQfYPeSYw9NaGcwaiwFKln/pmazNrYJzO
R1gG0QLjTHuF7qVXXfGoiXni8CsBcVWaDuYPr4xv7ey0A9RJEhbpXbrHKHKwj+Ruqo403tE+r4vk
Nbe1eq9j4sKmArbrgyioiz0UhMiGTgXOn16Ky6WDKs3Pce6ns63hKAvYEUloKp3CDND1POQs6Rl7
4c7Djdc54dHSHZ7UDf08DvnraeLMRXLjthub8cGeJo7q6VAyeyWjzumfTnku1TpyX8mGopQ5FUDd
tcs26dEeJjrsGenkWoCQpaEtxGWDpz4DbN6UGreLp/BKOk3hrOKKRvu1lmfZDuWSero8tdatbtnb
EEONT16VLDcz1ES+oAF0aquvKuMzMbt+2JDufsowvgW+l3kltlLPeC0puVuZWgqXpdG/7IjnhGT/
QoOgBcmGkz87dXZynjZuPS/Njgml1xySu+gScuHRM0alXJE2u9Gt+6DoKveDyxAzEaSUkdSLY+0B
o6FG6fX8AVFEPfVaRt5TuUlxtvih7LBMGWctbedn2mCaG7dMcedZjZsGvKf7dWeX0Q+QYk0A6wfI
h0V6BqBHmVGEnpB5dwusxkMBySae241h1IDku7QBqtnOh6GfqVRiAikCHPzDI97TGR9wX8M2jlth
AJohQ1502bmOHfYa6J35C+hfZ5/Y+XQ/cxJ5AdyIQmaWor9NnSYGORTD/IxLaDEE2817oGPeS0PZ
CZGZWHOPwBKGT1oA7asY0wzuazb4R6uN5d04Fh0vBcGuRbRp8ZDUeKzWqkuHc57xE2Z7lD8UiR6d
B1nOF5Exx2LD99cDDI9bVUfTaeQiBewTze6RR+x8yVJqvDc0M2VsI4VzYzeizFalpyT7zMzcYARz
fgjltD9kNfQPhU8MAcOdrz5SUKdbNKgCUKheP6olV92PXb0reqvfDaUXbn2eJAe439lPrxP5umHz
BJmFEqA4MN1G7UZPD/lmrjvfsu0CFqj5vQuQtfvFO7I9ehkYIdQhqM9ueLW8PntOu7p/bnQUYC65
niEBzdyY160bh78EfjNU1Sna1BnlwLVjlz8zqrM25Mn8rQRK5677mouqYprD3q9TYpmRZ37QqsaE
L5QkIaR+j0OdTelTmNj+l6ln/rtJoPJjrsgPy6yE8JE0nHAgKVDTKBi47uiNVtsxajX5/2G5+feZ
S5ag67+eS9ZfzXv9j1PJ8pt+n0oMKt9sfMfMF4wZnvWH4K71m86vUL3BiRFfh/13bBvETM9BivNt
HfuLTbD2b1OJ+xv/wvQYcgBgMk64xl+ZSlA+/jSVwNPkDED1nOfoOF2XP98fvTYsIDHB5I4ZmLX0
PmaUznPvdZRLD0JZv0D/5Ld9L2GD2KGSu3qSiPaE/DrOPUPEfe+ETbMpm9x9K0qBcMmbg8Br/n+p
O7PktpUrDG/FlXcomIdUcqsu50GzNVh+QdEUDYCYZ4C7yQLykLpL8MbyQZRsU6Zl39CVUvBmgW4A
jUZ3n3P+IUFfBujYnHQIku0hkI9eSnm4GBcpmibMSI5qQAPLlI+N4KbXSLDlNnZzmdT0mwTxN0iJ
8uZ2jY5X3fc0cz2sXA/bzizJ36PWr6yqdeou3cQM542sibfrRHYmXpZUx567QTSxFnIcjJhVbupK
31zHFAAHTA8lexRc62pHA46Y6/o7oE7uLbol6IoryH1hHZHb1zWakhKaAX54lwFafqsq2DeTn6K+
mkfNTIkS0viZKseDtdngRq4IrX8sIkIxxRtCvpUUIRlRuyrnst1BqhVwRGbPsinCYHoUiQiZk2ed
YuaNMq9VrEDuFjeii80yk6hpDQrbE9/hdUYBwcHv9twBxwpUA0ANxai3VusHQHeoLZ0aYeTkwwx7
tRsvFo2JiMB63kOCYOLYkkK4Ey+tEASEo1fyPAiNtTeMc10s4arm/lyP4TgAEXGtgYLW6DEJZpjS
Ym26uA2TdmUfZiV3tRGioF/p9CwyPb6BGFICRkB15GEVQOUEozG2co2F0i+w5BaosWPTB7KHlbpw
AFoI8Iuo+0LpqBqkX/R6XBEVTEXP0ZbQFqMr28bSIynlRepocBRt4QS9z4GOHishbHLhiVo668Tt
4AHq2mmAgGe/VKKJ5GSnVl0BjpHTdmLnxBNuoB43fjNJc+M0Uiv30lJ8VFrcTU8ulE0vtDanxLdD
rVbO22h95+XVR4Ol+waZEX8UwVWDrpoAQXACd2zyt6FqbKrLdLNB+8axeKJSIJmMxHUa4KEbmmO3
EJWPCosR7gZxE03iVNOBtTjaO7Q/GkANJQ67pkmphxS7MWprXUdXCrDVtUOmYFZiZ3ymOBuz7TYG
zXmlRPaHILLlnh8ZZ17LwiihrjOk7BfgB1i9FX3dpmtl1B7yqhogyYzmUJjOQivirgk6/FSPb6Ss
toYl3PNM9YqBpn+sQFyN4+I9CjSkhzPtNo5rGD8mOA/NKtaIOIMMkpvO3RF5KnS9pFnChnCp+bLY
siN1AbQ2aLr1yKVKl3KSJIvYL4SBakTSBCH+C6a3sdlV6lHRU0cbMS2HNaOPOhVQOBflU3hleKL5
KSG7kPrdCcBPXR1yrCKvpGtYwUroxUPAfK9GUKrYIQB4AkkKxMrUB4aandlSHSEWGJPYiC1p6huJ
i0+sj6Kp1Imbktf0rqVKrSFYlhimUSDxvFkqic40y6LsCgtIfFgDRxw6ceIjYK/6wTKNhPUykzUI
QKoQNiOKqUrez/zwCuhAfOlrMvUfcg7iNEcNr8Fqw+q7ggwiMMfZsBck8CkAMuBSDuDFVoJ6jBLI
KRJHHwqnPY0rOTguQqEaKTWgC1fjA5cRF6wrhNFsWTKgK1XZABHZ8DITMZRPVDhHbpBMPdF6r6lI
LDodKNh0tL5lY+trIf2FZruO4Levz/RYBB8Rt7PCUMo+9Db0XGNrZla1d96igNVn5iV3jXrR1MxD
GHdumvYrWS/7dkxiPC/cuw2pkIsE/AtBt4XYWSzqQyU0rH4WqojJ4Cp1FTVyOYbjOmQOJMeeJvgi
ugXC85E3SdTgtPZhP8jmbaAVvU1lg45uu1zNSChNmHZZO+9Mq60iSFe1AgNVt+89da4aFA4NkZql
gnhLKLKWQB7xfIUNZTjwKuGt15onmiEMiVmHMIz7fh6OKslbNmYziIWPmZAhYwKqBzGsazNIZqbW
zMpykmsOGuzygMChL5jrabXxJn5pXlibk1ZLp8p6PZYS9nJEldgBYJYXDoMSE81IiucA2uZ2Usx1
1FLwTDitcveqcNMrw4a+yVcIbXCKPg1MueId+R20HaMuEAFehJg63FXIiSkkYywRqJddexqCg452
ngCbkgmR3PSiLjcVoEjlzGBGUpEh3qjrGUrA0xjYGXpqN0mlX2zyc7UjJ0SpeiI12HHkWvYhBIzb
E8R25JE3Z4DgsCJcJDlctFCVP1SVfIcH+yX1HqznC3fmJTaOPi4ESKZ3fVroxqmOejzbUPIOBYqG
8jSszX6OIEWf4XnmSjWLlD4FakiqQFJmgSM4KBkhN9gq6nFZJcMwDIZtXt2S2RjlBoO5BM2Ea7VT
JX4vo6dCxSZdGM0NRzp3UspaUFgxfweEVie+OEjJZ8FZSrDGzgJgc3jDIHVymjSYtqQh8qVNqB5D
BcHe0dKOo7W4nuKmdOckIQR9n6GdlhS7y6kXMVgk8PDsWLQea9FtYCMJ6nnuMtcLyra+MIRr3Ykc
TdF0ZLynk0AAb+Tr/SJEcETAVTkV6nFEPk1HbirW7zUFHG+lLBNDD8Ah4K9Y4FOjiPMMHZM16DZD
m/oa6FPEEJqBnZ5wxUEHEFSTMdYB0K2HKtqHgxglPakEvY+a9Mhz3I51AvABWSgXiXKAUp47XWfW
21CEnZ2tzXHZxsGN19pY2Ng3WlV0S5QajuxUGWwAlgq5fsxry060GGl+FPx6yCa831SFcowcrQzd
RMW/m71b59A+IsWjDvVGg8SgQFpUcuemUVUFkYEM72/4loghlkEChclX8G5oMgUCMQKVeEcr1MIa
j9Bb3pTGVK7SCpMnZLQVpEdFC01N3UggYqSxeg3NRTojY+MXY4XI/cQgInxv+yXemutQS4ZOndv8
1E9RxMS5fBJWSX7J3AkFR4gt7f3GkMw5Ylf20MHWRxs4bWFNHTRlTlIDsfN+UCXRnZO2lUKpSc8G
UeDpfSC/1ciLynYQaGv9tnYMeKK2AbgrCxJzmKGUBFqDYiOaXK2gjnMDhQuSt6pm9gSptldlizAi
wniW+4F4uDmX7LAh8ANNd+vJrfEOD25yqFFQi95QCpzqjFwQ8lWxg0RuYwKD69cYas0MUetDNlfn
APTcnmS02Vls2EmvRP7l1hQ2mQlEAVo9prMfvFTOPgal5E2jqmxnrtFo5xnKClMPoRFS6ajv42rJ
Gm1YqdPX0+DY3jgTdnH1VekXxrRLCp6tPSqsgYIQYOZXZg90vsDWln1pPjLrTT4KTb3E3bV2UVFL
fdDVNeyrrMvW1Rt0IMu4XU9RbkC5onWb8qOhxOE8yXXlzkZ0/Z0EFe3m/7tm9ddl8zdnFQ8WxWL4
wAy9KFdZe7lCiaTIf/v7l7PnsRcVVwTdBfTRP/ujlxt65KRetcnqH39Z3IdetE8pir07jNSdSPPh
nh7u5aUmggW3XN7TtnZEUIG9OBHhmyCO0Cx8+DPorSONMzqlLBimHNsLfdU333v6lx9s240v/2bn
zpd4UBVd9zteHH0dNWuUwn7m0Z818OXRIeMC+pNQ7nv26PIRNBdTQvt8++iE2Fzof//o333vXRRP
kvnnnv9ZK1+eH3dQncjVMDsOcXfQoTtDQD3qKMU6Jc7P519dP8gg8Q7sB/ImusG2VFa/7QCLpYUw
8fEb2LKpXtVAAO/aOb7+zIfw3YFAB1Cy7vhTAGafjQAR11ZyScZ2BDBJvK4RsCXsK9sX82xm/hOz
IAX97iDntn1O8fmU0M2GHOS9mDK643V2ROfvcNBQ0I4k/CBAQzy+8D1zApMmXmGque2H1/hJ6Fr3
/g7qB/MIVX7Dkp8e03q+PCpHUBdlHJQ7NUQOECCv68sgQattR+l//1mwACDRYxFZP5sXtCPGB453
5H4fjtc6Lxy6NPxwXlCOSBS/5nlB4eUdOgzw76IGgS0dti/b49lw0I80TZRFUKTb039iUviJxfTz
nrvvesH9w27bW+X79tvf+8HTdvPb849bzU77hf3kzu+6vff20quHDX7379921tCHLeFXJ5+2iA+X
efzvj8/37ZV3rvX0UE9/nHirbJEtXXi5XWzxeJeni5Ade38R3C/ynZ3wQxjw5Ua+iRg+T4UvtXvp
UZbq2v666cdZ5NC2r+LAC3caVhR8356utDfM+ambvlkEwerN/SqAw14ud6+wHfmH3vppnBXdFd68
XUTFIrpfZU933Q0aCy7Rw2pz8GUWmffp3ztiRF3bxgNW8fP4++/e7MnCuV8Eq2ine2h9u3U89M77
n/7I7uMPzxpn29ytmQc3/vytolrMXMQ259CWoQF8+le1W4j9HFcd2vjvRfDpn7y15bMXKm/DlYOb
DxeAvXcnge1OuIsFDm39vCzKcNHu3Ppj66ynh7b+sm3ZgSO9v0jLVbEP8yuxQTv01hHdrrxFtnpq
6YtimMQSe2jrk9ILdj6ibZ/LHVj5wG75gVr4ga3/QEjtwNYftUne7Mt/PfYQ241De+hkVezr+1+w
QvXL6N6LFiHL+b4r/ILv9eZFauzB3Z8vor1jvnMFPLTbf8+ez++Pr/QXfE8vw/8P7RY3Xn7646kD
vkwEHebm4E7h3uK09PYMly7RcWjze/cx225XfsH8/rZc7pshu9zaoXf+EnDqwPf5Q5fjA9un09/8
Ht1nGHa+YRP55jyLK+9+FS33vWXth4NoX1TxOUP9bazxlHTf999246juF8tgtch++w8AAAD//w==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title pos="t" align="ctr" overlay="0">
      <cx:tx>
        <cx:txData>
          <cx:v>Ventas por departamento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</a:defRPr>
          </a:pPr>
          <a:r>
            <a:rPr lang="es-ES" sz="1400" b="1" i="0" u="none" strike="noStrike" baseline="0">
              <a:solidFill>
                <a:schemeClr val="bg1"/>
              </a:solidFill>
              <a:latin typeface="Calibri"/>
            </a:rPr>
            <a:t>Ventas por departamento</a:t>
          </a:r>
        </a:p>
      </cx:txPr>
    </cx:title>
    <cx:plotArea>
      <cx:plotAreaRegion>
        <cx:series layoutId="regionMap" uniqueId="{00000000-7157-495D-9CEE-339B3970C962}">
          <cx:tx>
            <cx:txData>
              <cx:f>_xlchart.v5.7</cx:f>
              <cx:v>Ventas</cx:v>
            </cx:txData>
          </cx:tx>
          <cx:dataId val="0"/>
          <cx:layoutPr>
            <cx:geography cultureLanguage="es-ES" cultureRegion="CO" attribution="Con tecnología de Bing">
              <cx:geoCache provider="{E9337A44-BEBE-4D9F-B70C-5C5E7DAFC167}">
                <cx:binary>5Hvpbt24su6rBPl95SZFcdrYvYFDSWvwHDuJk/wRHA/USFISNb7NfYD7FOfFbjlDt+2kk27sfYDb
uAaCYC2K4lCs4vd9VeufN/M/buq76+7F3NSm/8fN/OvL3Hv3j19+6W/yu+a6P2iKm8729t4f3Njm
F3t/X9zc/XLbXU+F0b+ECEe/3OTXnb+bX/7rn/A2fWeP7c21L6x5Ndx1y8VdP9S+/0Hbd5teXN82
hUmK3nfFjce/vjy51rfX9Z25fvnizvjCL68Xd/fryyePvXzxy/OXfTPwixrm5odb6IvRARVIIM7k
yxe1NfrL9wGPDhATlFHC0ae/8Ougp9cNdPxTc/k0k+vb2+6u72E1n/5/0vXJ1J+03NjB+Iet07CL
v76MbW2bjwWsvOht/Lkttg8riM8+LfmXp/v+r38++wI24dk3j0zzfMd+1vSNZZSt//v/jNfd1z36
9w0jDwhjKOKCfd5+hL+xj0AhYYiSzw9A++dD8dk+f2ZG3zfP7z2fWef3hr+Xcf4LfMW2w8Ph+U+5
DT/4tOkCfOfzH3lmHXpAHxo4C+Xnv69jf7bOn5rS983zqOsz+zxq+XsZ6NRC7Hxxe/fi8tr4a3N7
9x/0I3EQRZjLMBJfDAFx7EmcIwcogmbOyecHxFNL/bW5fd9k33vHM9t975G/lxHjwdwW5rq57m7+
g45GDzCSjEr25Rb6ThhEUlLBvtoXHPFxGPyzs/q+4Z72fmayp41/L2P9l6//+39DWLyxX7fr37+x
AEow8KIojL69qiTHgoVc/hYsH9voz03m+xZ63PeZfR43/b2sE1/Xt9f9f84yFKAcExLx57Hv4ZZi
0IS+GIZ+HfPzLfXzeXzfKF/7PTPI16//Xsa4KPrr7sEgX/fm3/eU6EBgxmTEo2d3ET2AMEeQ5J/A
A0Jgr8eO8qem8n2TPOr6zCqPWv5ehvkfAAs/hXXkIHwwzR/Buj81pe8b6FHXZwZ61PL3MtDb67p+
gHX1i/h6+E+CAnLApIgQDdkXTPecu7IDStEDL8efH3gGCv7CxL5vrG9e8Mxk37T/v224P5zdY7r0
5KG/qDKAlgCGwEw+p0nhgURCYBJ94VHsacD7nfX/8Uy+b6Hfez6Z9/+8kPDHIsNvMkxy7a/TT/rN
I53hx62fFgmy0rOuP+Kzn3dsf/ug8WDEgOI8MtrDe55cLSd3/rcL7mmfu+ve//oy4PgAcR4hLgiT
OEIM7qbp7nNTdCAJkaGMIkKoJBxghAFKl//6ElpCioFZoQiFYYgZsKveDg9N+IAhHEYSuoYRQEMu
fxPPzm29aGt+25Ivn1+YoTm3hfH9ry9pCD7vPj/3MF9KBQYQEwJPkDwKiZAAQt3N9QUodPA4/l+z
L8aJa2kSlE90ioOoig5bkZWNGsvKLEr0fKhjPrjuSjg5uX1Peq4kztF9bgU7nkjtxuMxE875TaY7
f8R6os9nW8xXDfXlbe5ldoMivVzks+ycmvVcvG70whOTkaxLinIStaoG0R0zQ21Ch3LZW0KrRrkp
Ly9JMyNVzBHaDZKgQtGglZvGNN2VM3VzV659tJOwyB21uX0fGDafOTdVe1EGa0JENd6sDvWHAmXs
MmJdfRrYIEwKpLuzkNdyk7sw2Atql125kL5WIuwwVlpPy3Vhl+64HmX0rgrppKx3eaeKSLRp0XRr
3JXrGNOqLvYVLH+LQ5RdT5HWablM9kpiFyU04+zNTIchxWBWxXE5K8ai6GQwDbsgIl824yBksgZr
mDTZxK595vCG0LF6wxff7tkS2k1nG/u+WgqypqIV/LjuiuKiHKXd+WBZcjXQMM67PM0N/1hXZbMZ
+1Zviz6XaeHtReE7duiDMroUPnS18mhujzhd6BFt2mxfYCm6NOj6UkVF6PYO5ea4bl19Ia2dE8cC
y2MrFnpdoLHchSZ0ueqKudgK7esbJofqbYcWFw8ZjnbFsIxbj7KjyYR0u0xiuBVD/WA3433MfFsk
qK24ci21KojGJc06F10OcglPM9GZt1XjujjohupGuCo6ypuendU9LpKgzJodbZ1ok5Zbu8Frryu1
kMUXaqGDuI9GMY/xXNJcq6EqA6aMKa6GWW4lma9slPU3vJHoQ15op/yQeVX3ZZ3otejUDIcLdmKN
Lt00FXuP20Xp2k5UOVbVSW3z+Xy14wjNKGiUNlbc9wtdIjXna/EKya5OZqSHPhltyd7KnLn309i6
e+q7+aqVi09FiHm6iCXfRW1F9tqP3dsRKPo5bfsuTKasD064sOWruqqWV4v1aFC1n9tOaemRAjIS
6njtApsrhFyzHX3Ylike5HRGZ65P+eLM0TjrZifroEuCcYiYQg2rLrPMZPduFryNZxwuV60Y60XV
QRbu6pySD2Jua6uaQlQ71sjmjpPQxq7oTB43MqhoPPFsNAr1pDsR1phLoxefrPlaz7BJIzrFs2OJ
dUP1amk4qZTllOxqXOjbFbfRhkx5vsMm96dN6MWtmAXeVBrxIyEjTBSfURCDm/vbSJeEqI66tVBV
LbtCJt4GC+3P9IC63B1Sw/cN7Xm8dMxs4czydyOidFOGfupSrGcIIFVOJ5cGKxoS7MsxjqZ5fj8X
fXk/BYKkQVEOb/t2NENaWAghG0sb9tq1LpKqhUiNYjuMGYSpJi9jh0DKVAKieKNoXsrTaS36JVmx
zKxiqAwubM66bMsKl20CsobmVLZNkUZyGPota4rxTV73gyrWkVwi40OyCUISzaqei/lDHhQMxRhr
kRpE+uNs7Y7DyderCocC73BeslyteAiNivJBnKDS9Ju2IeiIzAE/ryaSu0TnxYyTponcfb2G0dEc
FuUxo5xscKDZe9OB4ymGM7oqF+ruvB1Rcz7iHKsGVXqMx3XO0imXwQfeuSml05yng+tvwka2qmjx
Xlq6F0LreG7HsodX4eoIAuHpXFaz8mx6l5fEnA1VsysqcT6uBY85W47lWqxHYyXtxmDf7FzpgvO5
5CS2SzR+CHsx+D1fRST26zINynRVL+Ou0LjYkWj0dw75bagdxzwuZjnxs5IV7QiHpcWqCngf7rJK
Bx8mHx15Ijama6TbPoTkTrUchzLmhNdruix8O1X6XAfdoadGjnELsvfHlkW8gSiRO61cNYwJKpti
E62LOerdDEFqGGR/MUbr+GZxhf7YZaV8Y8zsItXOBRYQulY/K8SDYWPhBEaxyWvzemp7KxWbPAQ8
TZruNJqCTZPR8bpapxGlgL1Xn3T5yFrlNOrOl7ywr4MO0y3xJFzV5LIhJlN75wYdXZilbiC0Z1hY
teaBLVU10ybfSF6yD0MQuONhXPp48j05gdwczCpv/NuynNBh0A/ifJBrU6VlNbFXdIIr3dOsv2DN
WKRzp7sjXYVNKldS7JdOm7e6bQJVhKbGSWlooNbRhUdFyMk+sk1B46Ds7WbQgdlFq/a5moxrE4gM
7LAJPNqyhYldOEY0tl0kIC766kz29bhlNChUK3tVUY1q5ZYm5oapyUZ9XFe9ystJzUSoUM4qmsf+
uPX6PCvcIVtwstLykBBbbqN1KtMmMMdt4dpdXzrbxbKOXNKKfrrKmec2NjXnAE7aMUont5Czzjd1
m5golMdmWkywnVqDXnVmncElabVsJ720s6oEbWy8rs1Yq7oIqpSjQMAXta9NEgZro6K+jd7lcrU7
Mw39qjq59H3i56EoITrY+tzj8GFH8EjamNiW79dhkjoRayY43N/17HbODrhQWbuY7bhUrVGm1Oi+
HWhpk7oohld+XMigaENLo+aqEU2MloAfZ3VvT+d6GKYYrqrcp3D3Tpt2qBBKcReMVxhVwqs8q6lT
ppG+iquGwbmeVlKHqitbSlXH7I1rSIPiYaEGp3XFAeflzfRO2mh4gxYyn3TD0O2GMViQ8tr2gACH
HJeqKOpcmdWIzTi15RtUQHBXLqhwE1dRpR9cVxIL4THgtermZR0VYOHqCsLPuCrvKrgQ+q7hZjPk
gjUxs0iqusvNHo+tTk3VLySpsoKjpA0mJ2Lc98OxZ7V8t/KwV2Ug/Cvj3XRhg26pVMWN3g6Fi+Ae
NJ1NeoaCi0X2QqvMAbBUlDH/Woaj2GIP17x6nAh9gqFvrFsg4uRfctC/ffzXmbszl767u/Mn1+5T
gvT3todM9u+fzsa7zg/d3Qt4sH+xAbH/U377eZ8H+vNbp99zrg9847cE7DMS8zk7/gcM54eNf4X+
YKCWv2XGv6E/54MfmuvlNzX8dwr00O8rBSIHAq5xzMKQ4CiiBCjGVwrED0Dg5hKUVMoRweHvFAgf
RKCwcikZETwC4Q+IyxcKFEDyHd4CHEgKLASCf3+FA0UCKN0zDkQj+ZDtAq0XGFWInnKgskdDDQe6
SVw9mqA6HEfd13HLOxJdVE7MXNU48zcgCVOtbFRU5UaGqLq2LiorxQRgOEua+raaW3YazAUg8X4u
bkvSBWij62zaNkubRwqW1L7qIzR8cGE4kTQnfAZwZQQq4nHBeeI7Ozg1Ss822gfyWuQW7wsAIu9K
25a1GmAzTk1AolPw4frSV8WaEgkhtGCkS6tmnHcUYb2Z+qbBx7CI7sTTsD2KfGnv2zDXgGWqNUvn
wXY3uEPlZVGtxSGOOABXU3awGKAex611033rh35H+eDvB+3RaQjJpjgwtTjMDFkuaE77IZZyFlXi
RgwMbTVVOge4B6pRetNtmnD2YextCQQli/rmLZGkPRn6bnWqqoYGqMkkbrwGxhTP0QKxo0JebvFg
Q7cDIM5bxYMSXS05xH2xsnoHXDY4norKvGtXGr7PANKQpAY8rjQgiMN1DOjGtVMvUrgGsgQNBTqf
2qJPqPQhhmCVM6tcU9TnADAYwISK95cU0eljWaNpM9ZDvp0dGd7D3S/ixfPyinZjcxb12l6hcA4A
Jw05eV9Xg3kLXN9aVQqb72biLonrTJqtudjpmk1Z3PYGv5XeAoBrm4hkapUAexWv+Zwr2nWXTgRq
GPV5HtDgruzmcI5hw6tbObKTIee3HAf0VTGtfaVcLwH5Z7lf98ab6ZKble+8NEchWbLDpcs+Dr4Y
TjEvxlQ0kuxsieSybZic4nGqy3RuZnmVjd0dEPb82i9jdBr6pd0Pc+92GqIwUSOPymT0md50NWuP
JkDOp0BM9RbodnefsZVN8QJo9TDQk0mqXjcnnkGEJS0bt107TjcFXcWbfpyW7Vh3ZieBzMWTnPRl
VwRyu+RwVaiiH/QVI8F0FrKg2E7EZm+iMUL7SEfzvgFwBEgE8JnCrgxjTHnlVGk07ZTJs9LH02ob
GS+s7+6BlnXhJuTBkgyQCgU2LrJWJ1GH5zf52LSXDRBpHReMgpogeb8rQ6RjRrLgogckFalwGvnF
2lsaHPY99yhGa093OCJ5l7Y4nFJP2iJQuSx1LIrhRCPi4iUQQuHFnuc0TzEeI7gY0S7IWgdcDR44
r/KpOS9GPsTj3Pf7aiRhio1e973p4L06OCPU3A0+2IBcYE6XIX8LNFL50W24zy/QbNoLiBVEFYbE
QV8EaVNV7xpuS5AbxqvI2CMdDIctNfd5wVwZ52jZzCE1STPMdTzTfFYZmfl5qNGmLKvgrY6q+tJC
eHudB0O3rUhdp9qtH5pOz/twEiD8iPcEDacVmXUcuOUGDTkQ4N5VqqiWD1pMMTimyhvaxX5xe7KW
btNo373DgDvjSOThpp37JLD2pFnDtOLdrHBdyXcVyD12iNKBD3YDgs6xrPJ8S/IFARwzYzJ5m5iu
lumwNCIG7jUkrAN3ZiU7RG3HbiLZX5meggusWbidRGbGm5kN0/lq6va4ovl2kQCKST2viWisVn6Z
3sJ9sg1EkE6RDxMEJ2kDlKeLF+4X1eAyXUoe7PIeFBuHATNUa5t0Gb8sO7qoAJqWfm1SPdDTosxi
OGZejTp4O/q1TiDixGLq1TLxfmMbL2MzddFJQPrpgi89T1CF1mNazHqXTbhSgUGLQjVeN7W5L/PM
KFJkN3poq1g3wXvgb3eDWYPXggRLGWtygca22nago7yZ+tEcGpPBnPJ5+BiNfL10WrPt4vPxbcZL
UUD88PXWActLho4OaUWbCaAW1u5tYxbgQVHUuOtgGSEIjUu+3IvIi9O5muUJYUVfxUVExR2e8nWL
ohpRoFVebqoKy5uykh1Sq8jsRR/Shxg0AvuDKBHgWZVQVQAcrwhA0ygw2wZTXx1mneZHHaETiIFo
7uG8BPP4iktdnK3mAcV1+q4cIHArK6bgsp7b5opaYc80pfVxmeHXWgBDWWpCY5LVEDtaK151Om/O
TJcHH0LwYatsXrFRQfAa3xnWj3uWF+thO08WzqpGzcdhWOCanAnXF9PaLOe6Qsu+zuoh5nXXbsYg
q3bCAPnSuex1HK0tP81X0m5zN1dHZIILoipB5knyzKELYwN+GDJfHoOvjm+KOvMgaXUdfi36hR8t
PgBH7csh6IFDCvdxbENxrA2ebgTQtGOP1yqK655lOzfRcjMCmtmZfgIXnmXdQJBzSD5g3mgD8loY
JoxHALVxhQDOz2wWryoOYFfVvPcXrJLvm1W/csaUuzwE08Q096ZXQzSMR6Kv6Hueay5U77CbYwky
2KLWJmvgSpwZXB9Luy4QRuFuU95k/DXTACNY40DjYU10TIee66RCtWsU6hbXKfCfwCiNRf0q7Dvn
VdDqUmxDbuoSFJ5Znw0LiYwKeS82K3PrtsPavGqN1bscF9zEQTCtccVWeVGDjGTiOorGEWhj33DV
dmW4te1CzhnAopOGrd3Gw6F/NVNcHjZ8zIVaCmcXVRnZvl963G3+vwbyN48rP7/mgz5p/IC3/xjC
/57x+T3zQaHHF/DO2IGgEcUUccoEpCkAO38B7wIf8FBA+oLwEPIIn5q+5C8wPQDQC/kLSDViyGEg
6PUVvEcHYSihiQkoUcIECfZXwDsFhvAEu1MqueAEcQw8AsnoGXanY9gtMrfNpk8jf9y8tRf+mL7T
F3izbrLtnCzxuqlOgXjPx91ebN1+TdxmOG0/dBddr8b76nUbqiY+HNMpGdMleTMll8cuDhO5Rcqp
XPX7Ii4SEAQVAo103axq2VS3j7b8C6V8nIbBkM/5ziqgmu7TKrh8WOWjLMzECeN2glXU74bUJd2+
38L5h8RHeB4O8fyWbcpUJ/m+OYoufjI0ELNvhwZ+FREGaSD6kO96PHRfyEXjqG024XbdzO9LEtfv
xEnzVuBtdVTFzX4Vcc2T1Zyawx8P/Z2RBRRzwNIwQlQiyHI+HrkQ81SLoW82IG1vjKiOp5lvcT6f
1iP+ySq/GQqyK8DDOGS6CPA89mx/sx6wBaposeEC7rI8UBJAECp3thPpjxf1sF2P82n02UgPM3lk
STahIlo7GGkkF1ME99ybH78f828GwCHDkDgExxNQIPZsADGUhW+6rtpEtszbq6UfWbjxBk7PlaiC
pj0F0mzphgZr1t43wF7ZJeupdPuqr/v5raunlnHFV7v0Rw6Eu3Fn54HzOFp8NL5tpCEkjcYuG85/
PPGHLX66MRgiCIU8FxSOIsYfXODRxqDZBo4uTbkBTXxpzlkplHHHPx7j280H/yGQOGUgKMDBekh2
PhqjnknRjD2MMYzgNfSQ2v6z+vO5Cv7883yfeOpDPHm2DIiDLMQ4FFEEyuHTIQbuy3Bes2KTUX/r
sEkJSGSVzw6nbHwD+VxVLRjyCFkSmJ+c4eeZWsrgCMPp/TQyEc8dFXWM6xHByOxEXywn2bk/LM7n
7XT14z38dIC+XaEEATykIiTP3ZL2vSltKIsNUR9ApT4mCsVAJBMby3Td6tdy28Um/smg4fe2lSMK
oSAMOcPPHNRInvVG1uUm2tZ7e0p3fpdt1sPylO2CPd7/eLTwIan9fIkSfgFAIiJBDqLPIk8AOS1D
OCk2U8y20WFwZk+7fRTP6s6nIASkY7rGc5opEncqT+ufLJY8vP7b4SG7z6Dsk4IrPz1DPKt4FhZh
scn37LCFxc5H2Z7tReJ34y5IqxN+QS9AahpsPKo1DkRc3pV3wS05F6fslO/lXicyQUd8T3+yM5/2
+QdTe36dTpCUAM0BdmbWaZ6nGs53v/N4K+oYMsfAKRqrgMYgp5pLXgL4/dnefM+/JMRpHIUsepAE
n+2NsXNJsqnYQJJ1RzYyCTbiMIynnUir0+Bd8K448meZA6lXRefZWbQJj4I9SqZj+9qed4fRblHD
T3z+26jC4Rc9ELZoKKBm+rm5Bmcdl+WQb3xvTX4CKcHuosS8nI9+fCy/HQfuQAxgC3MILSF65gM2
qLM8ZCAuFha4fLLU4QCCHBzTOf3xQN+GYghEIKGC9IpDDBX+T/d46sO2mUDL3xQ6umHNIOIRfCUe
1pX/xJzf3Lug6gpBMA8jqEYn9OEyexSQqRSBEW4JUt0GW9mwNJSHpqhiYn52w38SaZ+c3Ieh5ENJ
FBB80BIfnO7RUDlu+sz3Q5ACj71YTv1Z8NFf0qPurDqUqTirzk3anq1v5lmZD+ij+MlC8TfG4wjq
Zwh7+NUEhx8YPVupA2wahFMdpH7j9t0+O8zjPJEAn8KNOwVlOb79sQ2fj8dCCJQoBIYOyAZCyTPc
i1mxrsuDn5iig4xQvNIg+fEIz20HI0BdEqEIapFAuafPPDEf8tAM+VJsltjG4rze2d2PB/hmCRG8
FNAIBtSOIziMTy2mIbPY8gXSbXquucrpKlXkIXX/41EgifD8vLOHKicwAI1AVAMzPYMevBqLvpZF
lWSZrk+JNjzMz1hv/CKKpIV6k0ZBdRZv4t5FMBNa6bVPZhpAOjTw5fS6XnW1JnXTIbSpKFohH6Dz
fowh76WX2PGJ3YMwRs4AnOA9NTUkQ/XY448ktzxP0aLRecmIs0nOdSOSReRuA78tXL0qIzpqFbVA
YlRtI6tBBA5FroqcDJDSW0b6mnU5HkA+EXinm3Wqj9o1kD6RfqBzykDvaAB+DH0GqlmB1iMO5QFh
YvJSr0lYo3Z+W7YkY3FTETlfEqahdkHlOB98XJKcQPqy9jmPadNAThQKU8ZXII/iMFnLtjyvKzbM
WxDj5dk6FNNrUS0wUQc1843K5wimOI9dfd0OGtSiXtTdFFfZQ4p50PSkzZDvQYpvIh6PkMcfEzZA
Ic8WNjNvIGNRZ2fDAGq8AusZl9RkxC7xwbhADhS58ZZoRyCZiyZ+ytwwmnScorJU3BTs1ejKNYrX
ckXNhuYY8rb5OtpTA5NyMdTMhVdZSyCdUeSaeJVZ1Baq6CCHuCnmroGU88oYj7GnBXgOL0DSHsup
OrbrSs+FE5OJ88WvLaj2hECRQxQGtYqa1rjDBcrdakitau1VMyBHYuaYwQrEdvehJUtThDu8cARV
O6jm9yHNexfztQTyCDIoyMxQQ2E9lPSU6xSD4h0scVV2gQY/DrLzavWZT3PeZUWxr/kodbntJtde
l+HSNMrgxhcpD+TSxktInFR4XeYT2VvRJ1MrPchBYix1MpTU8rSPShkkshvn93m1mkCVM6q7pJQE
Lm9RgmimyWDnNAf1alYhCqI6cWbyS1wWZslU2DTdG+3GwqkwGsh6PC4RVIBMQ+aKHWdzJqBcZJxr
KDyDE6jatnIbim24XRozCSgdBNap6sgMDjIBRrfgTSu54tg8pE8gXxaKhl5zi7hLLCQaSeypBTTN
eWB3EynwJfj0SncdIyVOS3j6GqSqEqrDOBc3QyG5Vbrn4z2cLRBxV5NFWK1WLoVqKj+Nqg971CsJ
ojjfexOJeqMJCWhSzrWE4g84TkuycBBMk2FC7XtJ7QzHWzoZNHEuevGmDSm4V+tpo+PWVcjswtYV
kIcY4LfBCi2ZFUkejvLI1dmi1chGNMSLcd16QkbjzkoKM1UISnrmrQ7mLt/PGkiSMoBNb3qoONEp
auvgEhFPQWnICxQkIRRPQZHgWma1kpBQInHL2nqMvSzreluQsnJxZpcqVKDs4iItS4HeV6ENQ9iX
mb8Jp2J872jpdKKDCKVB0FRj3GhSb01QD6eCLyD19v+XvTNpkhvXsvQvYhsxcNr0gqQP4TGPUsQG
pikIzgQIgCR+fR2X3quUlFVPlss262XKUkE5HcO993znBF791Rk1sMUYGfNsGXUPqRkciIsBSB9U
K0xxD4o35nIOJiBJCU/Cb3S1agEONic3DYCpsGRBBh2wCtS6PmJOfZ5FE1FF8kJJmtZFs9XNe4uC
J9zRli+ixHrTolQ0c1tJHOn1LrLRRssRvBUBVSjmKd/0CDEqC62aStH3J+iI6yMEzwBzSLf0patN
QHduDKJvgFF4dgFOUOpjCtmUAdyca1M6XDjDrjO0W8t4qGeeC91TDHSUJzd0rjH1zIZscPmKeazM
W6YGmUuzTnNOwmSISttprPRApELvq1ErkJcj4IIDZiUVLU2jRVTMgZNDrqVA0cHl1NiLRApxmKup
JaWhdbcVTGb1m/Z11u4yDpDkpkra/rHDjmpzuajtLCdogB2NUwaHKTAbXaRuIjiV/Aw5pgGH8amy
lkcQ8XjHLu0mRwqAkKyoLyaZfltoCNgmbWZty6ZRcVOkm7bgUpnS1d7Vsf+QzVNGimDLlCygqE3g
RydKCtunHZ6cdp3OA+LEcr04Ubc7tZJJ3tgqJWDnevAgpU3ZJPKtzaClov3lH6vBUozpF1u/qyaQ
8Q47XaS5NaRqL/jg0qpsUo2jffE26IqtSmeWby6cv03gbXyuAj8GebSt7K6TTTDli+DYkQRCeJw3
qGu+2rSv4wJVrNOF5EuUlrGsUprTNcXROtS2wrXHh8hjMwNOzukWBjIf527iBeaOaizmPhtf46Qx
LJeMrC7fRNXUeQBYFhJ7R5NLHCgOC2PqDcefpy1RZ4lSZ+61smwdd02fbrgIosbYchIqbot51PXH
0bQ4eMRSjV+F9dWAa62fyEmuceoLIJlhciRwwjQFykF+D5jQPvnMARbzKP2/NtlgL7PUtFCHGqyo
HBOrgOIm6Jdbl069LCagAV/91PrpsKAtUUUjtsyVpNZC5mtv6yfoWarJA80YL1NoT23Olop/6kFH
ftuSTKx4tLQJyplqZXnmNAqIRK4b5u3nP15sNH7OwN7F+QTNEgQN2QAnM7NsOL3iacPS6mcCSGjE
1j2ug8d3XLDYBa8mIV5AkCYt28tsGt7ABluV07qnU4EV13w0XOPkDWOFmoOvunlz64jzRymPygqf
ZPrm4mnCy1hC44+m4+NaKKc830GJD99jR2cI/wvXtJgx/oJGE3rzqoEu2TII5p5B1aL2paO+Xos+
ZR6QdUP0I6jfmeyAZLpHAZg33AnOV1/EHudcgu78E6/FeXMkc82xGbp6+9qEIHbzOQinuMqztBum
G127NYUAV4/z3qJD/6TXnviCYUtdWN3YqMDBGn3oWl7bojNGXivTb2ANdeYftqQagMovJP46GHlW
xBeqAYgbPRSmicQDMDCB9S2W5OmsS5dhxdJ6X5M2Mns+1wM9eqFd5XNZY8p3pTJp36Apzep+sGHy
7tELyt3M4p4CezC9PczOgVUfxcLmg8dZwXbjwvhVphTqQarDqC8mGQESCdFQPmcmhUjDgir62FqD
RigcZyn3o45FlNu425acVT7dcj4n613neDqAJOPqSwVJ1JRTsE5dGa2Mviu5VViLesyGHWgH6PNh
07grS6ImO/N9mLwtHWRbqVhmLjs8+BKL3dUliRvwzM5PGdsvVWuyXdSx5h34vI730g5iN9Zm2vYd
RzEUOoEiZiNb/wJIyJK7emuCFtLqtmj1DpI82J4xv2SQTlEYhSebjVkPRBBA4L5mU9Q+eGbcUnoU
/8shoLG3RzWuc/yqgDbGNxKy/XLthjCdblhfifbeGRub4ywNXQ5tvDioe0oAcK0xjN3NaYDBsRn1
sB2UTpkpmxY7sGg6FaJeWJoV4F3dJvV9GmjUjls3hCEGzWTL8qYXwIsoq+QXDPHSb+sKdrqs1lGS
Q6D6lr+YZBBT0cNK8srxz60uBgK04Jqp2ZMTBrc1YMktq7qgaOlMsQKsEWq9qgXk3KjocWlfeYwU
UJh3Te+yXeLqgMdlQ6KWaJysIs12bVxvnx1dM7bzxvo3oyv+wjBInQ6QfhuXk7pVwTX40Sg9ZmYR
UGG9jQigJ5gZsrVMUkPRXteBrQ/cVVV9NU0bWS6CGcdImy+Vbx5xwwYYW3S+qw508n1165xjyxHA
LM5sVPpJv9M2iv0+WuE9OSUyhbLcVoMaTsAs9XBIJlHhCOIi63C2iuzJpNbXH4dq2D4GDC3lQSxD
4k/rEIRfsq2pVd434bIcY+EAE80dqJ0ZPCIMLYfGV2F9oTC0l3vbezLuZrNu5B7zDpfc0KFV2c7R
AGdJaDQP8iR1VVdC4iT8oenDaczdLHqgwlnP52+0aof1oDWqndMgqOhODfGwJgwDruhb3q49Pagm
otGjihIQ0lEHETcgk+VlNgdRu0Anblvg1KgT49c6xHdT+oXFcS5QkprrObQ4iBWzLCz1Arq0TNYg
bA+ZWgzdMR5mwB/jQcX7jg68utPdJle0UoBNd10DDDTPbLe2u3AZhCobTwPwlXZkAF9IvGFHsXns
ChITPePNrq1A9zcNAmjJtrmdwauq3lhoWZbTdpjmB+DZfriKUlOnp1D7nhRxD3amjNmQPA74kweX
ATNe7cxG8Eah/hL1ibenyLG2ux8btnxQlc2CAw6JbMlNBhI23+bekGsbjuChVbJ6XIQRMLBXumy8
OraOjstu6K2q8ooLQh5AuQ1v/UhrcqCpyN5J7afuxD3apps5xHdXJvh+w1MCmjneL1pX5NYluvUX
rtcjiu0Q6niCezZat74MJomXZYCCg4ofbDqWCyo1wFek6t4J6N/xpCYhOaavfpmWy9EHdVCamsP0
IkOH27faVm1uYqZNlzMgOgpngoTrhyypjG7HribV5dxID8i/xvSt4LY+A+MCk01UPqEgvQMt11tx
YrRL+cvIQ9yY3STcZy5i1CY1S19EALtPWYOueg7nKHGPQTMOfUG3Jfg2CTTSe58pQPoAXdCKD5s/
dSnI5QOrrAft4yZV8EZW30zIF13yoO/Y134enXjRAME/AjGSdel9PV1ntQddFo0txrmtXtDAcEwV
vqabWZuLPhzqdzp7FYBvn6LxIx1DUDpRWiXD5djr4DVAiZVdrGocpjzyU+/QotQ2vhzsWmGLE9s+
88GAp2sXuug7nlL53EVdNZ5Im3TtxdCbJoAVwaUf1ODVBzcJ4/boXJXITRQqUaYpiMvcRQEF6Bfy
dcljB0wePqpJVcfzkdXfGhfj6qUwMJCi1w7NxQai7qrrcZ6AL+8iqJq4dPDZ5tYlqP1H8gygSUoY
3ur2sQ0rlACyjWZzzckaD4/rbIb6DraegZ4a78185QL0KBpos8qqqyng4+coZAmGLGZy8a4f0EmU
VT/5MTc08cN+pLG879FGmHxIxo3tee2bqMA0tG8KF+kg2Cm1pAqTIHDf+TwqTq/bQW7ksq7Qw35B
2dZmx03Be1FoNzlztZFouLOdTF0xVW2MBs/Hlre53fTwZdZVfBfHtBeHxqypQk1CyTvGMZvKcSMa
feBpI+WZ3sHp4m0W4UTB7WtwErABWL5hEeRexVZ5jVggNwFPFSo4AuD2Mu/AQWGksS2uKdNEwN4Q
oyG9gztN+yuAk6GOchf0sTxTKNPTJlnQHMFNoefasFWjfNsiuPCSyogl34KpWvKObrEBlTmACUmn
CntwpeLsKGiqBeYaaJZvs0ldm+sA5QaIeMteYAj0r3FH6cfFdaq6SJOGcIyLtrMjo2qC5dhUsqqL
ybS+u9vWgWMHsNmWLvJ8xCxCxj7nbVNlAG7ZBqIriOG66DDGCC8qNFcsX41Kv4wZw/6FIaK6prU9
A+xiINvOKmqa4+ba6E7oIHkD8Cke4kYIccll0K6lwFT9AKfGAnXCtth5gN/TFAj7NA8wp+DCyDi4
2NPcGglMUMk2j9zgT7LKpqCU8YAvCL0HuugJ75rnfTdjyrdar59q1wKG4TAwgHuP5/mtAhn3+J0L
E33r8Q8nazoXNJuBaKXN4j5NfFo/sxbcXikxugS+1dfzBVEd7wpPsIl2RIzqeUqC8JUJfHe7v7Ne
9eYAI//gulLdzXBqTKrROU03cseSQaXw5Slck/Ompse/mK11wFA31yZsP2YbC1esb6CNpZ7lPOeh
FMndxJph/YFqaZUkTTnKYPs6dDE8mMNSxdctLF+0SCKPSR/8IvHND/7Kxb0M9j+oq7mH1F5ksdZ3
S+Rwua8qhCjl1+C9rgBO5qlkVbD7O13VpBhtXwgdptHuB0ZFJOYG6JL+QqjQXmXL6Qc3hR+Ok2Ue
eFL/b7hUGtcJ3BZDJtFe/ERKIdFCQpmXyxvpGZHFdz6Ke5DBBWx//HEUcfJmHfiPcm04vtw0XtR7
UgU49BrYLkzZU4FZBDUGBJ3j85dMKz3teivr95iNG4bXZOmfzZStr0qG/W2mYDfZB0tkblc6OHm+
n+Zvg2bBq7OLassWUDacLlUc3Y+wmT9HkxnQT5I+sbmmFoC2yQKL4yFeojDn3SK3y1hs40eDQWxY
1qQLT3UrFKj1TqAdp0KkX9TCHYasNVxfsVLALLJ6yk4dm+EkUigL4D4a/MZ3uLBRfXhms48Y4GGg
m8Ik9BbPHFaaQA9kRX2i06zgrW1J0VV6/DJvcCIXKMYITooVDhqYdzABy5M4hhmsSTc3wRfmhs/d
MmYX8Fu7pohTHNcFyNBO7ODqGu63Ouzh8zQjameNBrwuHdjzuUC5Y2WxEJyrp2x0/SNNMNawTYwL
X4UyeWoqvjxZS/st11UT7SyKTVKunqF5ZAYGScyXO/dVyhSiv0oWVINj9UnWFCNCVH3NI+kF3XVM
8VOsq2qvGCi8vHYBW/JqzATLOxEvHxKUdAKdb9Pc9mmavcII3L9PYpmPlAbM7jBwhoGWwnFWnFvO
HZX7Ko5tXLBsWm5HNGpPXrruFuM3cWWibYhyJTs47ThGSfsEt+TJV2vyNQrrLtmBUmHjJW8mHDJ+
bPyTTk14WQ0puQ6WcDJg9zr/NZApNhEmt/PHCp6p19EuKWZmQbN9ytoVYD/VydkzxqPmCl1+B74G
g+cqj1i3QLTO/PyJQOqMDi5h63uGaQZ+WmPX59W1DKgEUl0suOsw+8yNw6QU6KKe4AYAYVH6aR7f
eFB3viCLYC7H8AKmRa6W5JFZ9La41SZ73QfSwx4JP1OXhy6JOxTXKdeYRY3qoltnGM1Avvdf01Al
L7CSZNCH3dY/1eE8PFODMUdJ+NrPZbKtyYbiq6HwEIu5l/CNmRAqSVuLG7PpOcr5VMPoBJ9f9pZJ
mK0xNBIYczCYXB9YIqfPFeqn6Yw2nqcXQTN880yvz8mW6Y/wVQ7YmVx+w/gSR5yA7jaW8Jbrqyb0
w5cegt6QR2MvYIIbCLtoiGvULlND/dzI2YJPH2nyAIcs2uPaCzNi8QFqKqsw7cg+SgI35jpe4H8b
0oVNu0mRCMVvjRqhsBPnX7eKGl8kU9Z/9ZiCYK8uiadFOzUVbvNUDkDMtWTYSqKFU5rHK8W/z43X
SRfB4EEx3Q9K33o4vjwl9bhXogawEbR4ObuGZwMqnBZ3eRA3FHsupg7uC4KqqDWEYPfDoHmfoEN/
9uGkeI5NJD6vVpsBDjraWahdCTyCANTC240N0Sun56IM15mNwRkQWLEXAIUzXfMF9pqXcYUvrEjR
tamzdAbPt7LnPcs4Rnxg863wu4WOTV+udqlDoMN2wGcWddSXHV6iAWKPqIEC9hnKctbDx1iu8TZv
WC+TrGHxD4U9GoDnc5FytCPXOP1j+ge24Oxw+oUFOZN9MEBhAg4DDUnp7yIoRK+I9KrbTUm6W9tD
00QXXt1yQLAzf45Jc6AbghWWejfytKyyrAiieWfJJeZ0N4QOpeI3DNNApJKWUWX3kbtwGHnqs58i
vfZB+weh+3fRNokIkL0UqCAMXQC9f5PZgzbWHXB9Um6Br/ZMKXnZprX5h9JwApqUJMA6QTyhqyVn
gOcnMb/B2Qitv+12VAXTdZMQ8VD13Xj4z9Lw3z5LDPAQEBACQTmEPPabwp11y+zMNsIDiyFLbgms
tyqFPPHPn0JTZF6mBJ8KSVW/fhZIDg4N49DvVgFhCyUQcImCGsQl/eGr+dtSwsdBIEyEHioCoHaO
yfr5pZklyypBdb8b3JjkhKqh8LxfCqxk/odH/U9vLsNKYIRgppSB4f3lUa7rMAcL8OYkjdRzAB30
poPL5R8/hYX4hmAeBN0PTus3TkWlxpHMmm7nRyU+AiZJbngSBPv//P38zjkkGJvGeGkYykcU87Xz
a/15rc0IRiGwGe8iOO+fwkW7a8yokosUbcYubaPlH2I+3593ZvlAKYacRb/TCAbTO1TbzW5iGqOj
rUEDAyDuDwfL//ipzknEBB8NMUK/fUMWqj8IIN7sBhMCKaPBdOSIYzlyzOqOE3jYP6zy8zn1M36D
hUcIPhSwbiwMHv+2+LbJd7BrsbTsz7fbyvlNeHZTxGgfMXoJbmGPr/7wEX9f73hkdl4XIQyiMUe2
zm9fXE07aaHuluNYi+MY9FA5zByVLByGP3y6vz8K6xDcbYhiBaGZ8W97OJj9FserjcqAZkPB1QT4
o8LEc3Xdn76437cW4okzJP7QGHZZ5Pz8/ihcYfFm8HHLQEiMZKVO41Irglb5Py/7/+k5HPQ9liM2
QEJ/O/y6jY1VJmpeIkaCweiJ4nJcE/qHg/zvy4IhTYxngMCAK4Fe/fU7mrYZdAQ4oxLyE3vA5Z6g
hA9ov4cTrH2z3QDNjNk1/MPS+PuHY/Acg1xCqAr8Ad9prZ/3dJcSsWyYVA7xOO0xqSMXKprk/p++
QiB0oMkTwDogSc/ZTj+fHAgSiacEHp9SptqdohpmGBwf//S8+A60nY9ABo8yx5H761OitZW0yxpe
OlwymOqEruhgGP3DXfj7eYGngD5E2CjcHnBmUPbrU2DGjZw1Eytj7VfIZoLs4QyAu4dVUdmHtbr7
x+8ObmsO3waPE5r8DvxGi4oWzL9ZSTpi9zrI3EMyruu3//yUvy8/mE/ONGAWRec667xOfloHHikG
aDfwFAwQ6G2NVJSDjdT8JIYkuPMtdEiZwg/2h9X399PiTK7iqEiAUOOA/+1dZtZnleskw1lIfJ5V
mNELDlfr4Kbtx6P+FYd29+OE/ZHo9XM+wM9xAf/3+t8x+7+nCvzyf/2/nkRwrpz/g40JyQq/xyj/
lUZw/rt/pRGgYkGdHUJYRxGL7IB/G5qQ3Q9yDcFrqNOAf2Vn+8C/DE3wM529TxkUZwwVCOwX/21o
YnBBIb0AXifcp8DXscb+Hcrwy9eHGLp//ffP/gIsSyzJXy/SJAbCSnGoRDAYRL+dmCtfCKtNBwsi
s/fQz+ApHtW6d/EZaGm714TDkb8sAEwQldQuhH7wiFhSjeq/MigZiOYQI8KoTDSBvxmjVX7Qou0g
yAK6g4mdvyDvZ/myzNuKUYRdMT5Np26M0EB0/KJC4gbZpzFBP4IJyl61Y39dURs8QExYdwR279s6
XdQjqQjA+DqBuxyxW7Qtcfv3e9Gl0pXBInKifLJnIEFymC9RgkLUx0E9FJCnbZFmsrpGopA4g2aI
Ckoyl6Pkcve90BDQXA0XZlJXR+2pOcDPaK6HOjN7J7P4Vrv61Ht3EWn5inCBa5yJFyRA+EE8wANu
0I0H3WefymPiegAhE3iyOVi/rEv8oHA0M/h+84oqKFLGodm0L0J2n+IaNCDclF3RgHvJbdd7UKAL
krRcj6NDvLI2vJ0S9xlqOhD4SJ2zUTBEzaAzwvx9Ix3Te9+zCxuClZsoAsDU8MHpWUPYGw+gFYHX
pYh1SfuuqMbokuoKIWYSRnoMvVJ/wWy07zAz67S5bMl2LQOP4KjqszDtJ0xm3vv5DekO+8k/mJ7n
c7hcpbHaRfqQ4v7EFHE/mOARMVLNlJ4GNWGQRq5BgO6WBThr6MtQukskDe2U+7LUSDYjwQ6K4x1g
qb23D5UgxTY1RxLBVMLXU9sHLh9aGM4GeRg7tEZ1+w2X7HEObDnz8NpU7rHZ+H5C0Y7pV3MdK2hK
ei0qYEEaatyuwdivBAWRQOqCXTRI+wHfQ4BouLZO9/Ck8zw0/eW2LffKLDfRur4szn/ptxZaZU/A
Wa6eo4ud8c4j/k25SyJpnLf9OpVgZeoCZ+ketMI5lS8evo7BObVqEPIxGLaxzheaVXdcW1gIMIL5
EArsFb8qe9cnU5hbjdQ7UTfXI5n7D+cQGYAP6srUa49ppF6/1W7orgigthaj3EXvXbT5Jz8MWL9o
Fa4ow2sF8tdCNtOYAm61Znf9ql/4Mk8XcFkvV5A41g+TwW9Cga2bYHa0yWh88ALDQ+APYYbMpr4+
Kutvh1lGj306bviNJgPY14FE6sbU83QNGnfajauRt3qp2UM8zjMr00iJq1SqtXQsie97GyJ3A9dr
eteeY58SEKQvmBSm+bJQdo1IobnAPENdQSmJ32abDXIfQa+5YFul9wurngc2ykPfhsudXXqKz9Wa
b/jKYJhUWh/rrPm2pc2pbbMTAJA97SMkW2UQPRnCB+j3zCo4h+W+29CmncOs1DnWCiIS8jvI97Sr
zkNc2Q3nEKzJ0/Fuw8wYPwMMHLgIuw5P4xTGvJgdFrgm0A1ztXHoOZDUzmlb5+At5X3wKRG9exag
Eh/094QuKmp/DBGh9mR+xHh9j/Sazuleqa/0UK5jh0HUNqwsK1RzDgbDaJim18339LCJbKxIZHTN
RgoAIe6TLbntMS+j0AdTe/Cg805phLHaLkFC3csMc/yVEaP7uFUmHDGCIdO+ArgGk7vBdLuZIS9O
7VCT3EE3euRqTT5zSHifgjrKvm3IOwTauEGiD2ZxS9QMlb1DS/EI8HFIc1Vvuly0WK9GyFgIXFQi
24MzArAQR8OXYRT60SNcqdpVfgJKLMW7i3rmCx66LCnCTIoMKZravUTQzF6yIRG3vQjLrO3MEbZy
e6q1fddh5sBUtyt9H5PE322okzFHF2DNYGsRSKABryKK7EzttaANvogqzS4wxhP7wXF3AJOgDyoe
+mNlJv2EeML+ZuirZC9sNn2GURs8KSJY3KOXs3nj8Ri/mRrT74S3I0BkO5zFyiC+2UBeFE2DHJpd
RyZ/3ePiOWXJUkNp7Nh6uUwZFjScp0m6KZuPQ7ZdUyuqK8Bo3WPfwqSubLNcoQ5G8GRlm/4Rh0t3
ANaFqMTIyPEe53d2qramlTtBXHSLeCr3FfpIcmpZpDnSKnX6gXWaIQuViquWSijpbTxLnF1quaMC
aXu5m8LgQxN12wPEjfjYdDgvZomYZVAFrL3qIoDsBvieddoQbLl4U+VqQve0KiMxeXRw1EAu8ReN
bebdmf+5Q16k2SHKDTR00o+XyJJZkDKRNI+UGW1B96jw0WmGIMloqN5SFdgimiGPgSBEDqDqwhnY
StO/JMgyQV1phXhK6QRqC7FZwaNKxxEZgllc0qm2H7thzMAl42i43GSXvGrqKSsbnfVFh2X4gjn6
UuV9DBnap8Hl2IwPQGeTq2Y25hDhvgUUu5wWltRHt5rolKU1tka2LipAlAUn0PwjCCxxWIW3VbXi
/GwhdT2nVk/foA37+MD4hACeyCMvEal9Cj0m1qPOovXrBNoWFLaIEYKWUZtPyAUrifThRTAwc+Er
PkOB+a6RQtZH2qMN9CUEeegLqH+Gp4Cg+kH+5KouKtF01+E0hV8FQ27rgGywoUxqym6B7CX7YCP1
aURayk1qW1FKmZhjRUGv13OldT5SvyU73UcWvEMDAFlk6XiFyM74zkYyeITNFqpxtwJTRnBn+6Wq
su65txxc11ki/BJPgOqNnPSbHbL6glbKlMbUei9apy8Nsm0uQyrHA+b16321AS7nQyofwxEJpCgo
6Avf1vVz77cJklSCRvVM/7Jb6LvNxwE3w37F8n/uRcxWpIRKAcTJDhhNmU4+rmx8ZTPwNjSJu3ma
RCGQAZgvnQPBp5q1Ahwjkw0RimNNkUmDhAewrPN8hGllunSJuPI1vaQDeIEpk9NVvQTLY5iqeT6E
Bi95khJUWh2pB4QtIQKo0vQunuMR9taBPqSzS24doKgeMOBqPgAGkj8svf+/wflXCttfTQpBpf+/
NzgH+8kBN0X/+1dOA8F0FAEL+Hv/TmvI/g9+qwu8drC6QwlEE/pXc4P09yiLwgQDfEzLoLr9d3OD
NHGKzgUzGorfGYNpGn7gv9Ia8LtJEI0Gh2CEdgS349l1/A+6m+T8lF+7G4LMB8xbcfVjjoZYiV8b
cocgwHTuOpSWflAPvQILVsIXAFdVWVVTXOe0AaSF6KrxrfNzjdhONqV5bUV7xccsa7ANP4DAFchG
7DbzBerYet9Ih5KWOn0PTqEG9BNn+wzeqx3kxPlSQ8C5B7EBd0nHEejUNW56aBoZfxb4zR+YveoF
E0O4CjrZXlvo4Y9wZgX7rJ+GvVIAlzobmEsUj+xG1X12XK1ReySh0hypcdV+xaz9rYnsy4YTUztW
eJo+xfpsIJnOsZYeCZK6HpFBOtz4UENigs6GX7u07WO4725I5NJTozagozGNys2yGGc8HL8S8BM4
YFeVBmxZsMDwY4DCw1MAi9HrhLvzGqGoyUekViokRVBsQWozcH5uvBeA/S5WOGN6lJnBAEfiqBAH
16VTkxvMH/dIFEWprnYMqP/9ZIIdBpylmcZHJztInsvsIYnDjb09Qz2ZRpDODiQ2aHClD7CUtutu
47Q3+aw3AvdHcwaKkNj2LnnUfqhqrU9I9q2LJABRkZAnMKpgxMc2Pth2iIqa6/kWMy23qwSMLU6A
F3YQfhEqw5GDTIGoiHfqkbO0gtnLkRyji9ZV5pqwtYEvD1lYCA1CvExHUJSKuWSjR92hQqTX8mW9
73rwQ+jG5gOivj3OrBqMREzwjpGq3u0p88hK6rx7HSVzgLA84toAm5bC1tUNRopIPkV8zw3lgUJk
TRjsFWeISILse5ykmwoVo/dwrOuPG6qEPNsw3kYjTJAz19B9v/TdvV4BHuKKGC+B2KC31sje6WRC
9gLe8wPsIPCWa3SaFFTSDje7BdrY6KdGdQcVvmJo2x0rNuDkrzh8uYElO49Fee1WfjkxcQ5fGtZj
W70OWXOz0nj8GAMK+7rAP7WzUs5HGSAsWfBOH0IWqT3gWqDJgK3q9AzXB3dKk52SsPkEfEXU8hQ0
O7oNG3K8sLOMQV4TcX2M+FKbHiAnI0oMUM1RWhW+1Gs0P9sxRBhYimVuk82VOiTXGzdijwFmewIy
vewgmQJVrjMsHtbCdyLp53XMdhs1KJNYv8/IeJyQ8XwhYA+kvh3z1f8Xe2eWHDmSXdGtaAMoAxzz
pwIxc4jgnOQPLJkkMTjmyQHsRgvQKrQxHTC7urKyq0tW0p+kn7S2LjJjSIe7v/fuPdd+ChO/eq+k
9kWGZXeojPmJOnBHVNkGw/KlM9rqyp7wqvXt5JxyhJHvDJ+rVYJF6DKtXe+2znGnA5uvGtSd4bjP
HfinKzUaEjud6dww/7feEebbmxxxza5OmuoDjUy/7+vCuuiLSZzi1n4v2yQ+NClayyTudxQd6G4r
w9/bCYJHGFZAC/O1HKQ4RCo3npGNZ1dT54K5ipSAv2e5m9rq8seacvfgdF5xpkeBiK1WxoD6XNRP
iZ2qA3YSZ5MydzpKMft3mGjqU14P+FkcyoW9qNLp1EWmv20kRLmpifPbVrjtusb2eT34c31R9mG9
tzovlsGEnP6xph26nUYr3RW1mPcZ9+fHoXZX3egHYihg4bvjQptKr/WmUxRHsXiYzKgt1qZTjBt4
zd1Gly0jbwBs/SIVTnZVYWmYoFR68OYk3+VNpqFzGi/tQnjn0pLxXmV+dBOnwoAXVfhtYDC3C0Kk
qBTIOpiDNq2/VUVq3ao2tmiH4GxYF6VjPvVzbEOeZMOuzMtoKleTU1yBsX7Vm2o6xV7aX0hfb76M
cRayntvwm1JjeSUtq97mmBqefNuPt6Gb9fmqyTKlVjKkxggL0KKroh5x3ZRAZo7umKW0mYzUWAEc
1aTcj13eXnSDHb3FhSXhj3uyOIR6mVwNpl2tYXIOR8W1ek3LIT24EJ5PcjScw2wUzj725m4rK8Fx
YsyU4kVbaY9Y9y3eMhIhhKi+XEdNHblgm9MyAI5VIPG0MUUFRUu5BmdfHpO8Ly7qKXEfEDxhT2Iv
i72HKuHoWZVNJ3cM3Nx1PWAaxTZmX86TtI81GDR3Jf2sPal5aC8TR8ue69AGyGC6/VF6NIV0LfJR
i2sG9Y/XHP1ZZlf9WIr72ujHjXI6jb7U5Fv7LnFueyP1n/uooi8GFgPvpP0JYXfduIPUDpkd7wOQ
ds+o3QvJuQ7jNnTfKk+0wK3huusG7Ue7m7VvlQv1fc4XAHy1sOBtNKprTcKHx0kNK7xcqPH+wo9v
+665spIOqHwBGcwOeA6BzaPbLXEiQ6DPlS73/ncsfQyh3k5NsW8+sfV0PKenDJ9FzcZoIgdfCPco
iW2EPgv33mXbo1iJiousGaNrDkV1Qj0PKr9dVu/0HaCfhcAhY59iMUHR26CB6sDtI86fbszRT25Q
AGlX3DBqDqSF0W/xDh+V5ooDsP54zwSPioESYeMsfP/ScMqPMF6Y/wv9f/oMAjCWTAAUGslNNy1B
AVHJCVmCK81X7gD2vJkHcRBtSGmWGNToeP3vQksiYMRUYN35CSIgoM7NRu9kdHJwo5wKynxaj6O/
G0tI40HWsDgDTJlGuyKat3md2OWTFSRLkhEcrh1bp17yEsIlOmHpRq2TJU5Bxq55ETZELLSubIKQ
zspjD3f12m8qi/dAKIMdOtnO7QCheymV7MLUjrhh0EjbO/YAhD/paQcuqQ+qbwBGG8PkP2mZ7x24
t4g3q5D21/ozOcLykA+7yQyHD7nZxkcxwF/XmU62dZb4iUFV9kW7RFLILIMxMpqmeedYbXeNOM56
lCiXT/1nzIXmcGbIhuwLf0nBkHkk5k27ZGOQIVJuzS6rD5Jw3GRRMKH2NRpb20cTD61Irfkcc42w
Gawy3Xfx0nyGcgBifwgNgjrKyTcfXb3fdjldviLPD3aUh18znEk7P+uSgyKfgFaqyjcVzPp5lQqb
zWbJBkET1lzGEXUng03sG3L6jBGJ4mkfVWSLCFyk29o36lNUkTxSpiK79pc0EgwUKKKRyH/jkJ7X
mJHkoeGGd3KWJBOuz9Mde9WlR9stxI8NFl9Lb4ol+cSAz7jt/CUOxRFK31tLRkq9pKWUJUpAtMdk
qCRSx9qnZe0lhh4iVtzR8Zs10Q0unRg/uffp71Wr1tfH22jJaAlVmLypJbcl6dvorC1ZLnNdp+S6
OHPSZ/cpR0LylFrDcJyVoT+0lhEmaJvTJzENT8pyhnJbYerxgnbG9IDTPYpf8t6YX53WnG9G4hnu
uTJ/S3XHfbTJUQhkDYOQB0qbtnpE/6ufHP1ZyVBVgRb1XLJEnN46tke8QGT7QeymvGOEYw/SNo7A
ak+pa5ZndB0PdlkOS5CAOPkj//Q2R3qCKnCqN5prdkEtevN5yKRiOZvaNswFDEg/Y5RaWJVRsrxJ
YmkSzzjP49xc+X1KLWDaU5Atezyt6DFQiTECnqnm/cyhemXokX9SgxdvcsSWt3CbJ07yRr+2uxBp
b0q+xa4pZRYMuSECCursIovCEMxWLHfIDrOzalvauwQV32pGyaIVhVbdS0gHdLpybU/3BEI6Er2v
Y1wX1wQVpJvEBDtZK2DNHvr426Z0pzeEr+G56AyAv+ClL/oZ1Z8F3HE91NxyEtG5OxtGyK0TZ/a9
GNL8aE7CvO07M9oNfQ86H1qn4HsxODjR+0hiMKRnTKsJa8kVZug4CqJMNJvE4tDZzKBI0GJmPgRd
JiPc+ML4bNphdgejNYLgEZo8O6W3GGiaOTy0euPediaFzArpd7VLVOmB9mH4sZ1wqd7LwkpeYfuH
TwUiu4eiN5xvLjEFdyX9x41NH+oLvmn/qVMcph561W8FGozzctWlq+tU8itVVX+2+9HZZHHU39q5
Iiw3Wnx/Q1XtB8UVHbCO+YCQ038PueBubEZn67YN58cwnYHDDK3cx3Hmv/H0WRdlMWNc6fGzhKnG
0hmF/n3W/pd6Gv93EPLLrPSf9zX+lUSv36VM/9YQWX7xt6ktbQkgk+Jz+iq8HxobMOQFDQ8LVY5l
cfDSvfjb1NaDQrkgKD3BL2MRXQgzf2ts2L8wQiBlGi0PGjN+xv4rfY2fZ7afkq4fJGQ/yQzS/6mE
7A9f7wdx1yJ7+EHW8D8Wd30n5/04laZthCzJQaaKHI9B9yJ5+OEVO5t9nIAfyDLDPKdXeTnYj4lF
CRlA+82+pOC9p42bV+bjVMn6gHHdv0PP0b4nfU22hq4NbLhYTJmBaLg7nsxCQDKZtWZE9V02wtnM
0N1fXC9hVNp6ozzYUD7sdSzH6EwlU1RBFoboGGMcVhoN86y8NMKhjNdln6YtdI7EOGgeeuWgZbJH
HI1mAx5QNEnZh7p23vi9VT2N4cTc1K8hozfe5CrGS2FhbeNMQ59Z+HkECqvpGhK4Uq9/MB0NGbsu
p46j3klHsNDmVL9wrxzhPiT1QhRiM+3XiWxpk3phFlmXjpzCdpO6upMeq8YWxbEB+ZvvmC6qvcU8
wlwpx56mVdoBbN4WqFPFyklMjXGnw7QCq9FU0HSYSqQpfFnEaKzw1UCpKEfDfiktMTO7EXDxwh47
ievE9RWt8OQu1zzg6xhejYt+yny5c7wB1M3k9ckJeHVDlFBnKrEhGEo6K5MR4hennpjQt6lfEphU
ZP4ZErDtIhOospt0HKFk1LUpzqYHJ2aLzT5+juawigJ0LSQjWEafHLSlQwmoJEK3b/rZi0Hj7UQ/
q5nX7XJBo3yI2npfJmXnBSTh5IypK3GV51km8cpPxrD1sbtFm7YWDoTWcO7EygeBLQN4FyOGuSFi
6Yy1pK6aSJ9KDhVDC1D6mBmnQ42jDKyHV4/NDl6a/qElXVhs8DTOT045D/Mmmcz60hy5XK51CBSU
nzlN9ADDIEeUo7Too239qsEwQqcElboffqGN7Xyz4bqQ9obzgNmk52t72IvNQ2g7+FmoUUysCAWC
C+JMiummN8O+3dSNSAq8pW6G+7KexIVBNUZTXzO6dBdCKSBUFhuntSZoxpIghvpM7TxgOltkcU53
iOoS3jecEAnHpkepCrvGbahN617fEpsUaesEpcCEuzqs640qfBVubO4ITCP63A4MOXC2+lzsmMca
ZvuYMElVBCM4pQgSrh8MnnSNP9scBFxgSjMYZJUoXCWRDuEWJlC2Klm4Bx0R58gniTBDT5GTPnnF
kM1blhXaektvJXjNREjjWEUF5+tgVb6PqS0Bw6fbnRYMfah5W720MTHN3aw/65Zf6qs07ebyhE+f
QYQxzdT7umLUjffCLF8mVvW5ohnSbz3Cb/giGlQ6lKP5yH1zMUlDr9InRFVp061b/Ter9Nx39FaK
ueSy3vrRfJU6YCgC89MvXTXAXdZt5ejXDpeecE3XcLS2363TrV2Z5UYbYX/pfsWEGJ45CO5wEkwi
v7uoTVcyBuMxaL+iPZ4gabfjosJngARbg13g7burGo8xzbXZLWDNWU3E10l9F4PHz8SlpCGFJRXe
1NMQwohfpcT1mWt96nAu1UgWvujRPDV7Plm5bJtmFtBu0ccD8VneC54QBmVRypjoRsZ+Nl4JmXbO
uo6ZgO1nOwqf+mixYK8ctxfwL0oDI1cfjR4TbwlzY6V8I8k23gQ5NmiVHfq7CPbJ19l3nRcfSUAE
IGCgM5fZIVZUx55jHdQxb+Z2aiOM28qP3W8Oqphow2LGJwQKowCVUvX3buaMN/Fshw26F0N/0wpb
naNasLcOcLReq1xZj5ZTuzg+Jllh5klS3VzV7OCnrkmrVz/S+5qplTfeM43WT8hg5BdR81lDd2I4
qbeze5cz2+Nb66f5son78hW7/XSPKYSGk2iJ38IcpvTX0igaCykH3wvu7YEHbYw8Ju7VSAsBI2P8
1Y5L6y0tqxpsl4xohwukVkfoyOG3IU+pFhyswdBkbN15rtosWTp9vXedaYgvAjIwOnyG2IjJndDp
iWCMZYtEw+ISzYQjEWlKJ3Uga6qG9zSwG1lTy1vsbcsmUyuX6Ay0pvVS4qvErK0GVdpvvT8MYCUI
4OIvLPNKvyiF+bEoxO9ox2hMPLIMlxeIAU4I+ny7Vs8HoO0WJ0GQY1u5ZazaEcHAya2vyTwR7Uam
bXLK0RhHAX3l/Cny2/zBsdSw+IlzMNmhVr034Zx/TDACJHsYcYPLcFM84Los94ZfzNjD7QRTiUyT
nJiG0V6cuCSEXMf46xXiB/OASrQ/iy7qgdY7ScG43OqLd7GQo4LPO+FfujH/b5c5+pYQYnFS/Mll
ucv+49+4MH/7XeLS33/x18uyhSQRbSPAQ/wmwlkkhr8GLtm/oCnHivL9zvuJV/2V2W4Qd49iFTIW
48AlkOnvl2VDJ7+b0eFyl17cOH8pbsleroq/u0o6y1zN0Q3Itzbhtj9dXhnuq7YQPhMHU4O/VNpZ
cZOPnKI7N5+7aGObktAuqsl8CSDBtRosNSL2bkZnuxFv6QB8KZdfrFwzKNDrjJ8GERBXG1CJabJs
+8Mh9EeHoTTLkt1LzV66YjIwlEd4e/zInFsH1bnxOzhEZ93WDn1ebIMqDkgQnTRyxcJqtyQeiWBG
2yM4ZNkLfYvXxXVY1Oa6J5gHFbEi6E2vrI9Wx623Qv2oM1jLShqvzYhBsXVmfVuluMF9e1CPMSF4
Nxxk/qEUXb7L/AyQFHWL5gZOSHMrAGzB8J9PUcFqymR4NVYqr9f9oCLxHb7+l56o/zs1qEW9+M8f
q7v+2x8N1pdf+u2RYrXibOHhcdDlLtLg3x6pZdAOsle3AVczR/97/clzw5jbWsbnYjGp6BgE/lZ/
er8IZL6LOJ1B/fKUun+l/mQi/w8PFbOAhR3sUtNiQ6R0/rE+Q2vWtq4z+Otc4QMtajIW5QI9yxM1
BTPJpBwVVYljeKgDvUEQgq1yItwoaqEuqFMxm/6hdZg722byGE4uM6X8w6h7K4CYmAJOnby9HpJm
w9D1o5tjwOC5E66HwjE3qe9LboyNdwgVJBTCA7O7AhTO2gJyEXC+jeio6OzaDFPpcl526gu4qGLb
jvPTMBeYvOM3kzpw4liDYnMm4Dkoqqwjh8ykOUOyLMF/G6HKx1qin52YSW3tkEyuEiwe/dM1E/qN
2934g1Xve6t7pNFJeaVsf4+JOALFMGj9iu3tpQWTaflfpszYEYB9ybwh3njpu66AaHCo7lRWBm5a
b+MlX7G8mfUAQ/RR6+kHxfGrBblr3ThZi6zaBy2W5cfEvg5Hmqg6u5HrBLU/exetC5Mr5D6UNwmk
l+a6dFCSFRVyACOmN+lVHfEnvrwlLnVDn5vyquMjlMkhVojzsripN2SPXZladWHWVHAg5eJ9DZxw
Lxc/PqP1eFujQ4y6Vh2s2L3PctvcDHkPSZbIrhXG2WjjtDMdOGtHcCR9rIYLhDvdqIHFQSf1qSnU
KaSTHEQj91Bhl1cWSmMiWpOgH10gJfzRxyR2tv2KFtyT5Ukam0+hJE1Uq+3d3DnykDtddN2lvbYm
VM7ch4OPRdrti6CZLHLQZNwHeRutRX/qy0vKpBU1RcfqaD8q8Up03EtJYFc2NMQToTf4GIouDWQM
nyANuc+I3LCpoj46p7yb0YIs47xVpCKwGcRa22ejk2s0LcyjFP/EXIurdytOoA5ELZO2eI/fF0qf
tMgI8j5kadS8N35QK1sY60Pcr+PSnNauym7jun5w5ZWZ7qO52RdpgVmbhJtEIz/0jOItAOhoXyhU
D6HgealkSs7aQm6wo2AytnipYWJ5PoIBda1EeKt3Wn8kqIwR9DgdSdZ0AMDe2lWxgSC2sSv9C9Vv
svVR2QY02XNMht2tIdxDY6tjq8RTtkTLtUnqUiQlL4YWvk7oUKjuJVOezEMnIbap9lwwWLFLdxuB
TFqltk432YzOdjpWgd5OD7YRHnxzOqAC4C6uQyiwKVj89JuVmN9g62YbtHsDUe4sMXSqimeu31WE
uNlk+O5mSB30TSctgFCsBYthFxchsQpzbCF90UewB7OCn+9a895jwr3Oo4QuAjaDdVonj26axTdz
rE4mYF3mPWoINGQGK0VnZDXbGyU72IfqaPoR1UuVBQn6hhnowKZSfJ9liZHehTdxOUR9eOisotjx
7QVLn2WuWe39uTSygzaBmaKgJ4pVHufR29QGAV6FgoxMmwpQIWI7Os0IAvtzkuj+1iDLb2Wn0a5r
nNfI9m6ESPbZXG+b2T21Al29C9YCXAtRqpAzEugGDXOMjURrs5kcc1rxCggOIF5Q2Ir00DbDtW1H
l6AJr2URPTZc0feMTY5tiAKm7NqbeEjjwIl1mkVZ2aw63cpX5ZBdOkn2VSWhvnHFDEgV4zac70VP
yZIaimt4aRvhNudGmWyZ/nwUSis2MWM7DL3oN00DqenUXYjeOyKCmEl2JDrLASy57Ewps6rybcjo
6TPF89dTPn1lN0clY2pNgG3xrFtkpi0B9rqfbVOCYJ02ea4rbdh6dletRr9+YVyFKn0QLJIUH4VC
47jNop6MZ9d5TWt8+dVYGithgZYcjfheMFqi6IQj0KcHU8h6L0d516n2OMzqus+6L2ifL+iJuTjm
hsesRZkC4CFgWnyThtVFUQ+nxI3LPY2+B9gWIdFXM9wcN+7BhmTHrHUvxoyVF5vJC1gzucEFse1s
+9FqrG/wHe+HlHOGsvBO18pHZFU1G3e1MUr4VWmYHuSs30B4YMOUL4PREwHZyXTlaPAxx9462k6J
zrnr6lWpDXvkUvHGSsobIDOoAPydSg3S5fUdvYjdGMk9IYhMEQygtmN7z4qhcQbN2SRO27bLgPzL
C7oBh8rSn+yxeXWTzgiIfXjUSrizFWjfwMizV6G3+0wbrsljcdf0x5CLDfbai6nDi9wClSW3aCZC
1PDZvtaSIxBICIuIrIp9Fxp06Sz7aytx3CSj9YB84dlnQ/FL/sm97NUyx72T6R+6ziTeQgRbDzlg
SDMzAtTCW3oiR63RQZgrrC8N4zshkzU73qoHhxq47C2DfAmVtbZK0nsxT4NJm7rAMqaHZDK0rZ7j
3KHhmXJgyWhTc1pMzggaFLTdis3ChX+EBA1AbQLOcOvLhvAxY4TqgPIqyL3OOFR8iFkXx0ymHDVj
bcnrQghEI6Dqip3ItTM0xaRkSemAkOaS/6sL1zIL78GBsLl27/qIjS+bSIjuc3lnGWV4mHqCLQtr
Kg8xfpa9IJZm5xVIf9tK1bvS4BPx5vrHaojSC5SwpN846RdlomfSBNGfKFB2yPJR8pdsrfAOsDW7
qiexzQdE2yY3bl3qm9Znrpu7zWoqyC2b7A5TiepoLGuI6ZIqvdX7jjDvqmXq6tpfwxw1Bw7+GwX8
cSNplK61TOPoqNM3z0GQJcKe/koPdK4tpVwPfuxcNXaa7GId8msN+urC1Wz/nKq52I/VbLKcZh/5
Fon0phf7K2cihT53yuQWuksMD2UbbdvyJonFNQBJMDim/zoQ7BJm3ZWuYx5AKZA14DyGRG2trJYU
Y+IaXox21WKb2RoTeQaGV12BSUjhFWNFI2IJ/Ax7oZxFvGMUPK6Zba6RGg4HAtpf00bjuUa8bl62
bBliGG6orhYOSXpRGVxXzKILiBgC58tpUQqevCJqd456sWHXkHeP7Tnb5G76nunpV5QI58JHpOlO
zsVy5DYAuJB5FIGvhhdV5CB5wUbOdDGgCSfFapbRETFYT7e92WpJ8haRienXa+VwG3Jl8SY0oJ6V
058MP98VaXgWThqBXCJ5NG68dTOrTZnLdpcDhuDuZlyHkiuIn06Qn0tnF7bptlXMRc1a2+he+Bqm
IwnWnnPiCOS2A21OpHa0sQb9HKPr2+iOalbYJG5DgVC8rZ69SKEBbW6I2D1oWCN2zEOJopqvQrMy
twCi1irtn82qvjVL6yYO5V0Vw453K+MUN723DuM+P3gOf+jedOrzfNtN6SVT5EfA30x6IdlL86rN
nYvWmG+a1vqCtrFYqby9tNoWggiTbZcRJwa2CkVMc7KbcYuk81yrMNvm7XBGLynWqaqvYo7NjVeG
5zqJHvqaVYbskLNgqIFHQY15juhUXZp6eFnp5qGewosm4SIt3RjgQCt39EzRGRXVy+BMmxFt44aw
3mTFrf3U5fUd1v73cJ6f8cqajGQUhBtHGwPo9AnkcjInR9M+kB9/csIZoyOPWTU5q6iLH6Wv9lEz
yfXoY9FzJuoT79oY2t1SNSAi6B8B0XACxjJBV0Cdk9DfWkfGMF4LgQQsxJVRJOWTRaNujYCNi7IZ
2mQPiGaNMIjapuD6G4o1ROirxu0ZuVfuuZTth9VRUtAmaIeG2orcLJSI2hbNydNcs/w8eDOHrKz3
UQ9tv1m6kYOv6MU3a1/1XNrHra71l1aDejLPa2fNi7l7Bm9t4FePY+VjlwOovXV9+dVxYKNr5bVy
wvM40cG2My4pL8y9r8KILGmtiVYydho2zfIJ086tLE4O82qGRzdty+2JSwBXxbE4K2dcm9kdbvkt
D9RHAy3G6q48QfBdAtLAjm6M9EkOT6QML760+BJr1gWN8We3oAaLWa9+dTv580lzQgYG3UMMinqN
r69bF3ZeEEWRvrYyfDAN/Ya0R8S0/XaUDZkMMDyrecAIwWcydHY3SqNo58bmN8/DfQrVi1tW8s7Z
gEau8I+y5B8rkgDJocfGdFLqM0jZEy7Vkv4N3xKtFXkBBKdbAcUC5+8rGVSmjRNQZERnhC2yWnvL
4bljQGLvp7FpL6bU3aLJfXPqIwnR5CEK88ILGcBlPWF3FditVS3UY+Zl/VUtrB00tSTwU/M67Shf
DWHutSrttmVKMVwruMe1Scnax7vGUZcmCzXwnGHa931i7jBbDAFRxWCIHHGNpDu+iaP50utqjE10
dzYgF1jDdrYXc3XTueWl6yZHmOBXg3CnNXt4afnnrIEkt2SUhK2lb8dwaJ97Llm0ikZOOqJDtx4c
xtvJyEnauDZdRDGTfa8BEplUCT4Kgjcqrbr4GJ3MeLdLpVCil03f4VR0+8/RmUUlNIl4Q3bngprV
mFL25o2rYJMi2383Bh8s64LkIjQ8vKtA7S6iSrIYDPsKM8Eh7c4BkhievwK/GLjpI1HgJ/yY1Edh
wuxmpFdQ5hF+XHENKig9zzaXVuYGwRC9LXuBmVDOADXcDbPFGLPPA76tg545EGs9Yxc2zB2iPOfI
SYls0Y6lMR2c+tlR8SXUMaDSsBOHptqWjhaA1NgSgYKAL5/PWm6cqVnkWrkacFxXE6vWQvGYWvmD
a9Fn+P/WdJN86340mtBhXvwaf9ZDQ/LzH/8+fG3+8Nd+7aLhlbegMNgG4z5P/10XzfnF8HUL5Rca
fMPhf/zYRfskvaDVMCxwcT80ph3sLvw4aBbHMWmx6cZf6aL9Q2OaGtbw6OFZLiEciEN+30Mr5yix
xAKdQtEXXsZdVh0ag+CCgcSA3Q/fzR/Y/P8h8JPmn08XD+2aZdq83E9NcFRneZ3EiA6o7kmt70Ad
CkSaF2ZD+oqH/TZQTIt2YZmoC8sdDXpglOlwsB1iA7CN5BP7DDsqOsTl8gO52XrrjUY8JWE3bf78
zf7s2eEb0X/EZP0ELPoNk5UkTL2bwqGK/O9hskwYXETJ4hIAF/P7b1+3ksrNXC3bdGaTbtLQrbiU
54c//yisop9mDyw9HbEQAxKmGT/nkQ1lWYHk4EWi6EsbPWeF2Dp+dIG98c9f54++MpIFAUMYpgFQ
YnkfP8hlJhKU8B3Dx9KjZL5jhOheVRMk0v/Gq8CRMnTuSsx1fvrKpF5z6apjGkhIbMhRwa3pwgP4
8xf5h6diEUgZ9Hd4LCG1eMt//+GjGHWhZDz2XMrnJlm1ZnNBA+4x1qf/Ig32D1+HCbHwDf6FeM3f
v06olbErSMrZjHhZTYWwNHki1fr7bg3p5I/5GsZiMPv99Im/+oeX+alRHrpR2gK6yTYM8KsvhjO0
x6nqXzo3ogFmOO/M3u/yiYtmVtDYrQfYAH/+fQJy+vktuKZgAOby5AsGxT8noZqhTC3isS2sTijo
OVcXiY9TE6SHgZtoIcxnKHM72goRQTCMlsZ62xKkU+76JpmHi0SrIUuHSfSESBZvR5brGK6MQaDx
1c3JCcYMyElQGSb+edXX+GWw5Czk9SyKaIyLVjGNnipdrcCdj+nGkGSa8J3P4owqo3ToW46eiyyi
aLAWxOrOjcGhHmQbwWQvG+PZV6Ver22avdzUuG/Xx7inEgoMgqSYEtd1/0pjpC0xlYwOgfBsSjEA
cegrAdccFyT+5I5Av7XuOSSbrT2kPtERK49WUQ/htUEFVVmjGdG/hRi5shUZPlsBOHU/EOgpoRdb
0CFiDD/Lh6I9vrHQCuSEOYFw2MI29h4Qo8aER7bRcA8/ZROGlavWbDDxseeA0tZ0vYbLWR+BcPij
0Z6RKSAVm1KSVFaMJ5uYXLDUPmu6GF4Z2xrcncvZvzZhDZRsf36rB41RQk/18q78yOLJo22OQUNn
g3QR6Lp1nl3VQD2/1l1LhWxOoffc1VlL6aslBuyRCb8G7kPXwjwcKu2NwB0upWAiMBuFYa1Oejw3
5dXwOfybPgeB1TITbD/Hg0Q5LQ67z7Gh+zlCzD/HiaMao3dTJnoEaXAZP+bDbN/nn5PJmYyifDNX
doRPpGcm6g5mcet6EbZhb0j6bzJuXXtnZAJxNBGRV2bTL2b1H5IbbHIGqcxiOBirBGM8goaZMKc1
hk1AwLEQKEdmKs5yjQoa9UCNnvPwPdCBCVkbrTKtb+8/Ux2wbjKGReyi7nPhM+z9s4CHRG/Kyy6t
SFKYrWUA5Ckl5PWU1c0bSffMd1LyGGiVVB1/k82CvWoaXRT7hBmtGcQmjY4A2fzQ7kH9UpKrKJ82
KsMFtdLLhvnyjJWRjLZFgsPi0MODstC+B0YrhuccqgQ1b61nJ36YfcHwMn0ftw7PaoWDpViB31GP
fF3ZnQnbJwkmiwUWOEyWcmZwkauvh6mLP4q50V7CKYZsYOCyfEm8ghpo8MwG9TiYPOplyeI71hHD
w6MZdty76fZDfGh708uDybTjcZ1ZDRsDV4NsNxidSa7gnLYfBP+5/kqXAmBXWRpsCbASvswt4g5A
0khlgjEKeTVTSvSMXRiXL6GPP2hlgfUNgXo0VL7oHmED99gm5bjEVWH6/+LY+fiEnUF7DEVqNgc0
WkghJxKcq21ta+ZONADo161yqTrHCmD3iusBAj64Eh1I7O/Cvk+Rn/Mp+Ms+xX+aiw4wWxSBpNe1
zDc+hYLNp2iwpjqe13FiFrBgURWGi76w8TKkhrIqsWOIobJuiZ9BjGgtukTxKVFE1yPOyadwUQe7
cOOQREDq0Kj8s8dIH4UAQsqlpkH7GH7KIAtTHxjvMx6i2V/J5GR/iiZ7QFCEKTSmfoEZF1llY1jx
nbNoLZl/6JSmYe/sS1JnPopFlfl5RPyl2fz/frULahOd0/efj+WvMbm9/8vb+7/cfS2Q7L+9N78v
Lv72F/xaXIhfAHstjngSRVHwL9bzX0f0eN9NbkjowFE2c734rbjwf+G+sbD1PNPjt8F7/X1E7/zi
AaC1uVoBYTQ/EXV/wfoOj/LnY9/zkJlTqLhIaYBW/nSRKvRhoCBABwivBSZm6OOjqPq6Rsdn0ycO
/SZv9pgYL2k99odJ5OaX2GTHHB2j2tPDUdCduvKlbrIcKlA1XxoYDK+Fk2Cmrwrx5KYxI7V+Tv1L
e1TTyoPND18RZ1DV6s1XfCFxgmOiTWFXoqiJX2VZ6PcYyWjKh3qR27A+NCNjxpr3z4Sr0C4wq5hk
IJjn1kCcTKX2VPTcEUgW6lds73JYdXHdw5WosDE7kaYHJu02/G2JVWkQ66P8sATw3DdpSdBmL6PE
X7Fp/id7Z7IcObIl2S9CCmAAzIBluwM+0N05B6cNhAwGMc8zvr4O+KbM7H6vJLfVtc2UCAZJOOya
XtWjww3xwejOziO9uMHSSxMn2/Fbm/451PayoC8stDEFjk2b5iyoIEUK2fYv0dw5d2nDGqbsRHXl
DGUGSN5or6JIp9lzMJrnRe9iNHcMi48Zrz90xYAosIpG7ZFvCwM3btC7eAyq13Ka5Y6OPsxroO2t
bSOtwBd5jyg2ouQ1YwZkqmGmnlKFKAQM+rWRHOx1b1Am1vTKr0y3XeXPGB1+7m6amcbGDjj6jrpA
Oh/Yefl2Q1vKxC8VwZRiCb9lxQQ/fV31VCb0LbjTMEyiJqBVo0k/VZs4FHTRYgXsWYDgwnOXqPCR
+rMfSY1Rj2qtHQvUHUjzS4vKoxZ5Y4zLFZcE8Fr6n4vMSLwI4i7NZPlxRVlcRu/Ujqax59zCDJDx
uABYpe9q3qlK2nADmmyfmvngEyKbrjW9Z2MmlL80Fe1nEHu6QS+3CfuNjU6qbxcTetq0wEi8XCt2
E0ClMwcn1TxLvaWYxDdYpYf1HdUYr0OSnKVZiY0Dneg2wmSzmekjcCbjFFFI4sVl3GwcWgnocLqy
8vDLSJNTVpbuQ6409vzhu1DquTNpXJupwXoymQmf8ScLrFWz+0DeONliOxQbCiYj2tGa94R9BQF0
ZyVsPQ94MXauRoVJvBoR4IvfJSFJSRw/xdpn9RItZuhNgcju4oX91yh18SJjgFR4s1jWAinVqmvW
2fuWfdIYF/yDe6K5LFRBKFzNkoWruWAObswQTbGZp4fEKa+tRj7Gs7yq8nbnio92XawaEUCdQP3M
iuagSW1Do8etE8Y/0giEOk9NVqzsvnPvWBdhGNfDnG3zjG9pSXcyLA5yHtRVI9VyIf2ls+TC5ab5
fHB2gbvaGyg4eOiqqLuUQ3TuteLiNhYaWXE/wKpbisgD/oJ1N6heWkPmW1dU5zbhQ91XE9OTET5B
JXroYAjsdE37yOrywNa7uw2jAqy/ld9G+NrM5VeeiAtCrbm3ZQ3jsq5bnqN1BtJMQrj+GKC12zOr
iA11v/y7RmMsfwCNti2KLI3lBbuy61GUguIJ4ad7kqHqXo1A9UfhjlQMMmDO9mZJQKZvhFGzcVhY
CJ90fg27bHH6J9NY5B2BXG03VFqKCm4J2NqDYIQC5D1StaCNvsmI7WGqrx90HFGvQ64sg+RDG/xQ
S1yeCmBYLE+N4qz3TfRMUEW9DKE9HW3dKr3Orfozu8GU7q6i/tFSLZf2ydOgMfrPNm+tTQEN7Arc
GdIzeRfybLb+HFdOjp5gRz/TyTV/aXXVvtG91vph67ZHLUnxTDRcJZ7HStTQA+1Jn7ZzIEokfWcK
X/NeiS+Muxb3Ou4hF9W5j2aWlF4Vq7LbT7RR4GuItRwbg7TftfLLyir3kDq1fc4KLQSrVZnytY6K
1jfClnAEwjnP/SACuZeso96XwGqocy6dwh8jaX4lllW4G02QkO+KNHnlLkbeglDxjUZt3QsmRvPV
Mcv8tCADfEXwJzQCF9JY+49d+UYFjjFSZTJY576RfJKabnjPkM1xXqxfftQXcIkZEcQKpCUFO5qe
V34BtonaUru3orVwNOcjl/YZ0Lk4q3+6SrNONccprbtsxAUebz5kUJnIbcQw7N5WxMuRLDK1RUG4
dPew6Hr85WUItklE97RfA7Kt3FLaGPo5T7xJdBo5l9ii4lDPk4UoUv8rb9eUQWhOGqFcEPYQmfmM
cO10D/D/uGlYqoN2lyXJjH4eOOzfUeMN8UK1FZ1KlJz5TSizO/ABwYXMbpLCICEoUpJgvaHLO9y7
dl1fDDKdr3pnkPXRO+eHi5ttr0VRegqCjvCA23W0AnfmLimd1MuZEG5oBAJK1Wf3HWiRtV1D+2WC
HFgvyGF2S9glZAqNwoM0WvVpVUPwnOPsp/Epr2cmhYAu2yobwAJQvBRTZ5AbP6Vspw0/bfIhUlFl
6veV/fG/U+ufhXAbrfY/jazb9+zzvf39mPq3P/GPGdX6DYoPMHscpGsccfWK/mNGtaEwCaybOstm
AW4J/euf8Fn1nWBETlwFckbVf86oEGsB1jK2OojpOE2l+VcEcCbeP82ojg49ymJ2thmUBTMG//93
Yl8MmUXgq9a9LGU7GEUltG5BD7AT1vkjQiSpM3v4uZDKW7frjY+c4XgCetCdUnl008swODhI0bSh
iSNHGO4cK6fzJ58crxjjY5fTWkYjOlt2rXF8ibEDG9x01IbcJWjHqJYSU9gMA7ucsS+43NHqvF2o
PaVLlliR7AwWQYyqWkQlNd1a2Pxg83A+fGVpzGbNXJp9O9bhNi51dCIt8EKlnpoJgCGb1QdYIFQu
W+HyasiRSuLWuW5GovRL9ZKuzg/0hQknWvEypcPiNab7yufmHBXBySj7N5UZl6hzT7Oijsau6G6c
AOr33YGMz31N88IG4uiWQmMsFXyuCdLkZ6IYb8Tad3pQPhVl6xcaPMPR6KYtxaAPRLUoEeoT6n0m
dKUpcbD6kSkh1XZEw/GtyHlGfUFwX/IdznM2kAvNJRaBQNQmTngs5R6k6Xf4nQb+c8W/D1bdQpv0
bqJLza4aTHjprdOCpayIZFHac7aG4jMowt04ygOvgQyGRecpPVrr55incr09uCMA0DoZfyWdkx3d
LMxv8avEHtRrRiwM84z/IQxFo2y2xG+PhW2PXpWAip2DBs8YRn6CZHN0G2bZk6Hg0sT1jr7wd4OS
HU8mYIrrkeZH1DyfNnkHQtVwPZELIDk6vqioucsj2z44qrgCLhf51L5+Gr1reCpfI0FjcG5054YM
GA5IK9UPaipvUIXIMbnqmGYTLtc6N3epNF9UCAfYhv8w4azdxPrQHRT+y70tnOzTmIvGM4rgsaWj
b98240WN5lWiVOGrMr1uiuKUQjQAuaF3+3ElI8rROuC0OAxD5tMI3OxaK2y2xFiNH0ijL1WJAAbQ
zPEoLAR5uJIWFdWme+jq+ntfRItPuBDGbbqoV1W1FEwGg3YXkGzaEiFsSdsBh+2HiTllhOIIJaE8
20OQHYG6FRBS0hfJ3vdQVLnBeRLqPD0O2AhngLWTF/BWlJO+10ZuUUsUD/j+YPm0pVyeqtb040k/
wVd7G5mtuig8Q12hYxwmmzfFzY0eLNN1lBRvbWm9R5l8SxXb7rJeSi8pWowbKLdZZwKvSJ8bjTvN
6luYmvCNEOWZ62uxmZR2VSzQS/OS6FjIY5J3LvaP7m60hLuJI6ABQ+RB9YW7UqZYeeiM8KJAwN3V
9jo+Qs8Ka47cYMa0Jz/tWv0qu8RPLZ4sMVkUCOeEOwvzkGrr1agCW8buzOLRDr5q0X5EWnKdOizJ
aFF+5Tfcnep1LkRpRJxs87ewH3+yh1x72koYHnHU3kfGa+BcRPHa89lzfiT4EDw66re0Qx5L0IZb
TMG+ZtJEF0f3JHtJgQye6VI8hvvlltGZgsnCn3AMh054YjemLw9ITTkJPi3ZzlTfcSX4MWj4BoMR
S0n7kRXqYHQfmigvogXXbP0025ai1gwIhDP0s7cEhF5i0+Sz1RU6Rv4IfFdOmFDiwN2ougd3ERNh
BadjG/bdGANwk7m+5b1Gky54Gi46J73kegmC5yrvR75fW3vDvFbzSQhfcqYIvTfe45oW+OE6MJLb
MYdcB+QF5Rm8ENrZq65oJ3EacR3MnYEBqzrTgItu+mEm1tGuu2wPl+KqjUd+Is6pW+gcirBpWHmA
mTY5UFlY7gFNfUUZoRnZle2+BUDdmOAkphEDvwvGeEn3Sgv3SaDLK2Bah7yfiQLWF4CANKTxBiU7
w22tLbYx5iZmd6cFX2zCCpU7Mwu4zwz9Jp8Fb6IkP7QZRabRYvGQ6VVxK0Bd1ibSdLoU7HeQBcBs
aJ5rigTCZ5kdjMIkCiQZZ0XKdDRp2R15187Ts+Sui+1muwQsIkqr/DSDAKtO8YCNnCOixjcoPWAo
u1nXadnVKKDSV3rJ1GEpi3ZpMF/ry/w5Dc2XrNZhOl+ecCvf0qP900zCxMtoOdyotQCuXMoPM4Zb
VpfmntWKftCi+hYFc99HTHSAiK/5KWXYiOicI9t8sjjKiLrWz0VIYMhpag/3N94JTfGLRswdZe5b
4chPKb6bp/55FtWuSPTKg4WieGvheAqnkBcQqvKZ3PvFDCjNmtia7q1WG3nOQLXHoGk2Q9CcZh2D
jQyHZU9sOfKI/QN7q2jMhEdMEiDNdmVdv9QuZ7aUertL4/4NpF12pOktw9losZhpzmIyDy4IqI2e
GxyI6S1lDCD4VPC4qPieSmfeHO3Iyk1kz6UTfbquZm9UE7zAQSp3XTFmvtW3H2SkNr3QHrDWnCpi
nfqqi3MnwxPW3zV5v9MXG8d7/2JiMhqssbvK1vcgV9enSA5oaAlNviCMCGRCO9qOwyQ33Zxdl229
+LVDxCBQI/kzrXpmky6wdcERhNCWPJjwpLdWGwZ7gLqZZ1W8rYZGUX6mxy9lbl/r8XymepkQZvbZ
YW8EELn0iOkd1vqiH3ZTxL10EdPaNMWlT7EQSpElaBsrDrT1mqx9sg4GmXhNWyYCSxZyOzrgE9ll
gTxEWTqILD0Y3FOvYCnA0CNjvEu6cT6CC7jNbQz0Y421h0DOvq8Tnq7KZkOj6xwhTVVRh9uIY7c2
UZhmEZxn0+zYWTRvIbeYnSzKFxuO2KZlztt2Og5u3kARBp5sJdjHy1uIKRE3TrhTYBx9MncHKM++
E1IBCFHGz9t4ryXicWzjq5Qodi5Nztze/Ik/Df/E1B4WR41+oCNqCZcwOtH3YcNKElwXh8xGqJp4
hkk6uJ3VPX2D4hio5bkgcHe7dMMtZjBk/GT6Vc0sOYOakAvEyydeGe+jxMSlEraES58fRtd8JFVf
7NKQ6UKnjXI/wfKd5/g2cdVPrenLx7wTizfwUfOxgtNI3jJamfANfTrgoGxWwz6bDN2TAAr8ZbRb
6NOQGrGkExnkgevGvPqQk3Wgw4d3PrsTBmCMbnLBSLqW/vm6XtwvxfIDvPWtS6poHmfPjsJTHqax
j7D4ySDRH1Q3Ppgos4i3ZrMHc3prNtPtGpQgho14hnmYHxE0RxTTheZUFqYZwvcOQFO/IyN+IMfJ
rjWLRl8TMQOJywWR+Mmd29o8u0H3XCSxX1fuNbj1x2QhXrk0MLjU41jMqECM8HbbH/XG5kHl0eRK
LFEWOnGfJzkNsvhSoW7alBrb5Q01YqDwXbVzVXvnhMQWrboUl8q2NYxf+QvAfChjMeeyLLaGJHCS
9fx0JgyaXhvPb2tk/9w0WLb00EChiedbsxrPBE2inak5zlXQi+iQGlAITNIjoJmCHu94hJTc1C+4
wNlVxrGzIdNyXdTpwWzYvEqL8zVAawycsEM87PZy5rjT2tdY1ed5rQtQ0TPPAHtkusv3aBanfA6+
Oj37UUacTA2z5AAfeshtDN6D/SuED01AybhUnCJbOHeMF1V06q22vOF3DIxgcgNfzfEKPcdaD4Ic
bgbZnsBmx7gsX+AdMSFrnZ9kKyKkxIW/frCxonwSZd1nqnu3rWhcQQjuBszR19AMvZcp4ychcnYA
fF7R2/idkcD26zLzoUY8WMiNgWbtqbRV+77UDn1E05CiCWFOlvtGS8CvaYSl6sI4jBEZEtUrgjIM
JU11a0TxTa9TspinxZvrYH/L1oxHHMJAMFqiLElI2zBwKPTsQZrUSaLRI0H/yObiHvzSrjCisxr4
VOY9mDYxeawj8Ci7V7WTvWXkCgqjecD+faFr57FKGZbxuG97G48tZFp65kO4dRPyC+3T/GExfVWt
Y/pQV+Fl0POKJedkm/OCApV8TVlo4O0238uETuHBDC+WHd/PBGs3dQ83oawyHcuootF4jJTvyonH
u+TSZUzdjcjwSIIUThgq4t43GuenYVEyUBhu4PVNz8OuYOgOE8h7S89YvCiefU1jx5BM8fK8zBqg
zLC85cC7b/rhb56vv7TV+/8hcYtI4cAI+k8yyeU9/HzPfhXvv1dK/vnn/iGWmL+xBiAsjr/JsNFN
/qWVWL/BorZI96GWmOgerPr+lWI3LXpz+P9Kmgb7vn9qJc5vbPmocGP5ZuEBUhTv/YV9HgHdPxqJ
cCPapk5Y26A80iDP/keppM77oakLLUXrhibIBzKwr9TAHKTN7wY22sU6OnTEYI3/YYZPbbETLM20
Zu0TTk75RMaTD2VR3YXBXRcsRwhAW8O9nhNW6LSA9PUhHiYfVOHudz/o/6fz8P+yH0lIkuSYsbkA
X3b/bHO0ws7OTWE4WICI/R3CMBr1jTIm7a0gPjXtHKfRM+6wkaLOrHYisY8ZA38pvZFvpYl2RXQA
EKCnRVK+qGbgJqQSK2j2g7TTbi/KNUYTmdb4mFIQVFJSWuVkCWf2rHA6R4eIhNYNuBxDOd+37JxW
4JzSDMaDadgPLc0Kl5HBftiYVB4Mm34ogTOzkTFaH06M9jXPw3y3DlhrktG40bOuQYtPVX5sYxfD
RBQRmjKdED9VEEr7sbJj0rg1eb7lOFtJ/SsmZBpvSEHZ10wGRHKzml+1N4PDYyNWdtEPfoAkHSA0
ceUcFOBDP0QaR56WTTniCZ+nx6GF68gZVCa37aQZxr7IsnJHVsnCUUJrJO5kbVnLArukBqxrGLmA
4xSx0O3HLlnocpq0x45rkvDYzSETuKAY4Tg3zVNXzE1wFRkxvMZKSKJZUzjfzVVZU749Rh2N0TEQ
102zgNIilqd1kR/mQjCqS6BLXGCanr3KbHMxXOgl/9DyCitLHxTdnShH93Hh676BHLGe8ionq0ZI
jnbGpKjtGu/XUN7G+ly/FkHvQNFEb/6ZUivRUtgBC/XAiBIQHA66WG0mO3Ti0xRV47Llg5epvZMb
Cfwvi63gnjqqIDoI0qw4L4pOhLvhG8UwfmMZSACDaHC7yLU99c1viLS+YwD45jqghZLI+qY9FItW
wdruWe5siZ/h7zEAyHILIhUc+oTFMvMkI2OsX9zVNsW8goNKU6ubCrqq9ml9e6ysb79VPAys3YH/
NtRgDKPzWn27syDPL+/y27L17d5qo9HSiVd8u7pat/iqv71e1bfva+kIkW6BjrvX/JvAqS8D1+J5
tYs1384xWRRk3LJvRxkbzvYWFWAte2qc/tx9u8/kakRzvz1pyepOW21qJsEb1yMQ7/6Yvn1sJTcU
lJlvf5vrVHjdMATpFmGV1QOXm0NxsL6dce63S678dsypb/ccwyVOOlNSM0peZ3XYCX7nr8G3764f
AoW+trrxGpSYvx1z/95huRo1f++wXF+MAEa+y9KwOP/Z+xp3aZ6G1pL6IX5EsWXLyoPCXDMd1Xxj
3bsAhvz//E5b3bT/6Suur+rfqdaCJqZFWHPqo48C2oWgW38G8X/34vyzNr5+Xy7uc3JmjlDuaiL5
/VcxDZOPfGykvnhrIKWzIKXrio+A8kh2kzYqtt/f1V+aF/6nu4A42XUWDaxB/r0N6P807/3PP0wK
//pTfx8VpPubBTeF5Ql9i/xmfj8riN9MHEEKWccQPNKrG/fvs4L6zcDXI4gQwPUQEHP+tVeRv+ms
WTD+CIaLv7xX+ab4/OEJZYZZBw/FX8gGieHkj8/OIIhEzCNb3KGAeeUJ5ZTGKewS66MfbEd9mcDR
e5rELCseSa9q5XlhlqGvTfKGZ7Ofy1ebA1TfsjLU35iM5JdW6uGhLRH4xUiwn9qB1hOgrwj0V0Re
pSRbFXLjScbO/EppGUdAb+wH6eBAWrhOANBTnedoFYH4KY3Dp3Cpo6cxaWndyYoZxr7q5jf4wdO1
WkqYam03tyT2MwtazxQ+18oFAR+5+T29ryZaal7iyGm6m9Htw7PuBjOcEJi5G3Rw57AgVt5j9sMx
OHT9Z22GxnWWxd2Fg0fimjDbMzsg66u0IU3uyzwjkmtq3S5z6vqRbZq9twgF70PDPgTce7OtbXRQ
GEzq3Yte2bxhXR2lzOzOWofHJdPjizLnn4xB43hMyN3fVt00wed3Yqa1PkGFmZXdkOqq0Dv1QHzy
AD2GxLlOHJDFPggNfhv0GZ9N2LcgggprX8jGMjfKydPjnI4CsbYfLSYlylRvqtGePlSdzQownjvc
RvB/r0enH/AK6PVwof+o2c6TO3+VjuqeRdFOBa1zbHTAqtjWF2MPnWrjQJmSqFPrc6mqmnQWTuV4
m3QVvAeKLvp9H2viepjYNRGdGsU7R2P/6M413L6ppX4Ce22RKFYvTDp5jOmkp2wNWnyiE/+GaCnb
sbuIMhqO4ZR2V4sZRzdzKaxLTetA4TfsHSg5AmLIFt+6MZx2PhX5ZD5QTJby5nar/B636xRt3AKD
KsRLWY0YMLj++o6Bu5wuEIl33pixIcPyaECF5Amf2o1uZDUY+OhEzREr7GWuP2xY5g9znXYn4IXv
2koQ0avmModtBvpx/uRmkO0K0wpw8bReHwahFzqJpw+WvR1a0e8AHZo7vRZsIowYb9tkW09RXz3Y
cTSeG7CDfhfE3U84moiAM85pd3LtX/Fso18GZAR3Th2Zt4HonL1Ou8dVLCgGweNikg7Jhn1jO3jJ
8dz4BI5hJnQI2llGd/GGunP7iH+o8pYkWi5h6KQK0/jUM+a5yz420F/DrJCE8nPaP8qePQIKet3d
z01bnEPTGPegI2Om5yq2+PWM8x02/3SLy49GEkwqxoclanol27pvNw0Wtx1stppb+zAdpmKWFyBw
7b2z6OGRNF6wd6Y+2VG/hokeUlvnx0TatYB1xGJ5PZStZzmmCnU2nLG2gcn3WXPh+bUA5u1CfZJ3
q0/wNk4ntcfBwCwnuo3W96fRdmnrMnoMPO48nqbADtBjQyHJgUI9J6sa+4Wx5jglBaAehZg9WrVQ
cNfjGsroYtXLoyumAefabF0FZC99DfDMj8GCj7RpXL1+Ds0IjayzdJpJJ4ElL5z9dV71SuQScFnC
fhAtBcibdhHOLiFAC0+2QDAwRXdm2l54LJQ4ZwrVs6Fx9JV8pvzMzAFtXg1NQ0XD2PBLMhTsAJFd
hZYGoUOGOrTZ2cw2sZh05BHs94eqMMKDPdTy3eSPEl8Hngp4xqrUs2uXM80ta6bwf3UB7G9g+f8U
Ivz7qc1Y9e/P+kMP9OT3osC//tA/VAELcrMhbdwJYOT+CLeTuCu4f1JIsTp3v+OFfz/qzd++z3FW
0SyZGRFsxIS/k7iM32ybA2RN4ylFGsH4axYK8efoFz1Z5NcoBNHXnBmd3X886mkhzOJMMztvjpeF
stcmW2/yyZsRyq+mEw/UDPLpicTrGFuvXWbLa0qsmlujoOiPt0WHK21lUaQaRQVWOn7U9hLuG7ys
cG0iHLbIHkyfICfOZlt8Oa3Q9sscgZ1oivypStinSq3GT1UXVXpHH6KLQZDrm9/nengdkJx5Kpe+
+Oic0d4VPQErncp5xNRqIS4Dmyri2AurGhuZjGG2BPZH1cjFS2io+dHadJMGcz14+J5wemAn4TKW
4CvoXKgcBgtZ4GO82TZ5lJuvKnFSP5oFjGGrtPstJXjutsMSC+XGWVlDkfnY1RPb7DLkLrJkuPlx
baF6zpQY8MkXr3odW36e48IjuxylvkybdkenhsEKsrBunEwBC1jBuA0nm8eGxngnckeIUOka8RuN
GmVu/LvJZEFiFVXv0VhaXJWhcOhYEWUP4Kt7SLvlOjann4Ci7yNcDA8ZjOnjYJvRr5oJ8mBwpOkL
yzdzQibAqoBLLNXwgUpL2zrEXS52W8kb3Ocf7Wwu15qk8jZuc31v1io767zRXvQ4UvvZHjTKuqZZ
e7ai3EB2QWHG5YztsMndaTOTeKw3PUAViJrRCJlXLb3xrJO68bMpl3e9NuoXIp/qGKalVW+b0WFg
qPiPYUREL0D2x5ijTF83i4ZfOb7m0s27HWNu92DXZnsjrJamgMp0wD0l/TGbVHnQSkhkHWiEQ56Y
mFiAEN44dRmB1aoN52WQrTyAXX3JY+Qusx5zeMWTdTNX2XtsrNbEZG5viKrjo3OAY7Pn52vATwBp
QiyIY7YnUoPnkfh+0xwdcFcbI4MeZ5lhaW8Dq6ouAE+yna7wBFJt1ibbvrawTGaueTONBhQKAnF3
w+yI667U2h01sc15alV8JBY5Xs0l3+dUu5WXoinB1+aqtnFlc47TUts5M3kfDOynmLrCMw1xh0y0
OC6oKkxqfPJNy/iqsRW6Cu3W8F1B0xWlnF9ls2wTbRoOBHdKTgnk/5E+0UtMYYRnNtH1mDTNWS7U
IuaAXHZ2vBaJrX2J+mQnRzsyXnBZ0egA3hLXJ9vNKNjh8OY8IfmepHCwOFR0HyflAyUa70PdXbVR
em1CLthVRnRRUJew8gN1CnDNOu2TVpeSvizLhzzE5nqubusejwED5HIyTXkA5Dvtpynd2dLgC/AQ
sRZ/jfSO5i87hXM8wNAm8QDWbl5FSLHsp1CXOLoDWm4gA8GY03cAnWEf5zbe+i7C7SMS6XVyfk01
mmyix6YDJTPSfLZ+Bq40bbqyEj77lYrum4Qkf9cKk3Zmp+cWocGJoVBiL7X2phzKEystzAF6z0rT
WmbMIdTMidC6aDz9rOyq0ssX82VC/zoN0K23WStQSdIXZyguEusGMPmfXcku3oGr5IAIybP+lElp
+crO9jEvU+482a5zSigc7ZHthLl33NwlApT8dFlcFtadLIa9yjpQZc1AdVRsnQI+wi8OxgXcuAP7
Tjhi25kuEPgF9YVCb8bLglrvsrOPfe5eSVBzKHzTs8nfSF8pwM6yvhlH55iH2tEBen3RGyQPGuNZ
RyxNvRV6fbTN6jRaM4ChKLkpholOkKC+C/WautoFjw7WDt7ZJRV+KX0WuP7tiJddcJ9UduprWQVa
L3HFIYVG7dlFpm85F9DEAjYh9vSi2fOb7lQ3i41bXisXsZ3YxxOO0D+cgQj7iif34KFTrRhxPwgL
titwnpqtIAvIzRpYwkAEdIrcQ1Q7v2yj/jUtQCPBJfO96uVzBNaKpaJJ9rGNm8MS64yUw6ulUfYU
NantpfXo+NoYX0d4TE9DE8/XnFRHI+1BL3Z6sDcmat0zM+MDIUZYj3LwykpCJhtYqZl5e71MMeFE
AvrwcrLHRsKSjqeQ/pTmMRz7N2IHVPHkuPbKyP2cxPJgT+mTURBooFpHD7MTy7eR1SJzLS+S0qsD
XDxaGZ94si9TS4+LvZBVWcT8yADu823ctuyruAdSqxo9kbA9a3NLmCPlDpiJC7OGvpEJd2stWH71
CrKJdLj98qm4qToWhRCLhk07pn6j6c6mc/UPPZxOVYN5odB59wve+GWw7PPmLtPDnTSwLVrzoRHc
1rEZ5jWRWmVfVpFiV9tct3iD8ze81vpgeMwrz3i/DjLNP+yQ281Y24JwTP2emNnqcm63ml7nHog7
ZvZ+xIoMlSR8NdWlBieih/aZ/fSJO/6AVXm+jRW6ZxhT57fQHVQO6Wke2OdzdaFvAUDBtpDGr9LW
dvggWQy7N5oVcNNR8Z279GxfE6v2MtRvJIkw4fFPJ0+V/XRoeo1DMqHlT8+OY5pqMEhE5BGFjfc9
B5sbcUaGLQsRBnD9pgrF/TgN9VGBTkeCCAfPjunfqpaJeimNPqGhSXhe2ZBveBtPpDve6oXl89K5
7yab7atpGfBAjQl/ofWk7F3X4ZVLp+EjzyqAIg17V3DnOxj43bbUswmsdfTBjQVDi5t2W+XgmmRC
MV55dWb7INMXPpfpT2EtvCUb4stR3jV8xPLY1+LC8ThcXsKFF2qlhXe8N581mzGl1EWINQ40FdkN
92RyMO/GYmy9YNZbPzCtR4qWWIUO/F11hCVK70vuH31m4Co16j1r2XZfWdLZRNKNTiaYeG+2tfYY
RNqytzLtLmpdscdFs1cOqRzadstLaxXojMQkPXdRkrhKyntj4c6XVRbWSBX+mDM0chf+JriwdtmQ
P+ebK4+VjpGJIL/FbpouSYo8wZ1HFCWyeN2E4XDbkE4ANA7xcErzLyijX1E33K0z4tYajWvA8fV2
ICIGdjxL/DDG0pVr/cUsiHbo48K80dcZjcVVRz05lWJSt59rot9e7Sobth69GHm+5FeDY8TYdWAa
Y/YTeGCH6DMYlton6cQ/zqaAXKckdSjsyfQnY+k17rOm8oplCv0GneMwJ1Z4jLPmIQW06EeFmR5o
UQxOAZj0XV2lcov9KtjJCOGE27qxwwZ3T5dlxj2V8K9KCuek6Wntq7jiGh1Lueti0FU1AILNOLYk
bbsY382UvBY2ZyONzJRy69hbh2a0ufqDgVsi4EZWBVg/6KoQjrNu7zIFCm+MdFwBOm6d2GreQwwR
zzVxbdZ8nJnBQqlTG3KcFyzconnkXBmTMyAtvkAPwDEwo59ZH2PQIkEV0V8JW7FQ+rwR2Xg2qHjY
FrAx9m4wviUhnQaNVeQeiuOI8wLnCp6y+VAKUEu2o/W+luvuoayNMx4MxflviovBubkZqyw7mIUx
Uj1eHyU7/21fjjx3BRTNvPxIwcc+9KKyPVPjACtHjiR8rmRSpB+RqdrxjcPZ7AP2Q0qp/diXBd7e
ZeA9SILh1uKR32DB5dcy4CJTQZXsFyVOKG8vuI45Vekj9ENH3qcyv1T0zF1n7TCe2Vmx4SAC+Au0
NhLkgtAykqY7xbVgl1bVbP/+i73zyG4kybbtVGq9vsdyZS4arwOHBkGCWnR8kUHStdY+qzeGP7G/
DZEiMjIrcuVv/le9EhmJIAk6zO7dZ58cpVnRB9XGZ6fnTfi6PCOdx9WcxMGRTWuy1FnA8CFAYkj+
GrgMNTEhpEAkS2VUxqVoiVZEmjud2kZ7qmklAKMWxqFzqsmz0SZuSqN6jXTOMexh8tu0KY/4Tl7z
sLqCDshXJV8CIStVbFytLm/nobwBf+cwZKupDufeJx4VMc6zO/f2WnUaWVCuqZ7mzNmmlL9FWVyo
FzZxM5oP2WQ1AR/T6B4MrN/OfNtzWt8bGSxy29OlF8TOTUOCzg04w4xj3j2ZMeLdwJ5MPiAEh+Vw
8pd1QJSpqo33VBuIXnEP/Ai0ESuMbQGcW3be3VV90mzjUKFFnSg1zv5ErLU4i/fZoDwNZml5renL
z6ckk6dMAHSex0tF0WED2753n+25/Mwt9mo6K9B4kQRIDQdtdD7KVsBZ4+7FFzyna38sQto6VB4y
hRa/Ja5Bhs7K5m2sTP2xLSc+NrixqmPcrJxcAKG70ItmqW4US5ZWpuoD7gw8Yn0IaTjlw2uLMYA3
h/v/0Cv+v4HGYJUgfrpeoXPmtZaxle/HLr/8qV9nLuILoWWTfnBH+361Yn0hgSiYb+u6hrhJStF/
mbcI0A1HBc3AqAQ6yn/6bd5ifuE8bhkMaVzbdYTzzwrFz1u373d/jBhIv+iUYbGnsVXzRzlRyRLH
JhLLrC87zSXwrGKU1n52lGOXogylMvCddj0+XV0rlKpkwo8mkvLU9B/jGkgq0fy3GoHGUlQcM0SU
Oei9rU0kZxWu29+rQbUtrbxcMY5OvWTkTBIJYMY292kfEA+NFqxiZwCQdQOYDhgnsuQ0tEqiiDky
aG5Bz7KQvNEgySM1m2CQJI1USC5Jl4SSDqrkSGYpl/SSITkmHaCJeC11M5JxYutvE/9mE2FqBAws
ppco8qCiBHjUIDEpN8V2DTiF44UKAiP+dEmwcOaiYXYweIKDW2E7MlY2AJYrSSz4MWVhA2dlY9iS
VoDX0gG3KklwlaBcqOCOtmhvMxAvaoteRpAvaAc+oGHA5qk5WEBhwGMXFpAYR+EbksL3gQETUUiO
bILWXSWSLQsR6dKYhGChxaAZR9wuM4mg+RJGy6HSfBPIW4dTQ+ZxavmRKKXjcRUhMGDPSBZS5J6N
etM03FxEcjMDvSkd3LOk4HQtYBIPF6eX1gaN3VIBmKsZIekAdLMk6XSD6cVEbxJanPlrjbZ42Sv2
ZyQJPLf00TgC5Vl2ueFN9t41c8W3UfrV3WUkGT5FRjdHIrOpGD7dQkO6CvBnYbVnLCUZQGDAtDCg
oQfHok4mKq40HVudZAcrSRGO+XwMJVfY6frHIEnDAeQwkuwhT2+aI9J7veENqWbqgaZDje8QwCJ8
AEcHoFdIxmyonm3IRjQyG0WijpYc/Uxh7JkSgyzgIS24SEcCksRyXoeQVZIjGKH5EqNk/kWiQqKV
ioQsZywae9ZRIR/kEJiQmE1lcjiuE2p7NbW94Dj04s4wh4lEODk4gytCdXa9uY3UplqGSvHEmk7Z
GxIBtSUMyjQPjsleFzWhq4HrWCrBUbXCidrN2Hm1wbzpJF46J9a4SPjHFxbsqR/iHu2hUUfFvXOg
U3Nn3oBU3zFAvSSSuQIyfhSzQdKlru8GCbjOeRUB+gO9MumF8nD6bSmB2EyisQ2MrKpwUeklNusg
SVwIuF0aW8lF2NV8wrF6CiRuq0vwlrv0innb1qzdjtTa/J5KQJeHwwF9wpJ7woZ/82mC5E2MUnKW
+WrqMjJGEvc1x3lYsm2GNUiNbVlq5RsPSgLYKk6bOHEWhu00C8utOKT6fMaPcMUyG4GuBNRYl9Dx
IPHjubPVFWwMW4wGODmBUp6hlWk6u9AkvtzIoMsskWbixHdGnG4dCTsXLKI8e5xfJzjorLeoFpdo
NE1hH2XqUpXVtad5noeTAkddayHwN2S1mcoku4StoYjfkbkyyJcktiGZ7M4n25W7IQ3RANvpCJVu
gXBnhkWc1B+Je+t3+hyjwUZr5vJbXIGAh2SRWFQnK3T5q1BS4oyYX0rJjStnhJwMmC/EsQ2JAhhU
gOnFpCGSt3upwnxMUTknxKApVPjIINE87MXb2XeIABbHNHH3gkh/MTUPvB7B8fmh0fWV1qdiMzbs
Z3DoUXGFS+vGHFSPheh1EsR71tFeDjFsZUwczIHMRjGlF/qUqGjYc9J3qsNBPkXqoA9bJXpsRwZI
AQ+ezYg5nmgDpoSs8Q/IGNyLzg229aQTmuDQHtsh7eQzePycn9q+FpjUzfxaTMm9atTuqgspTGag
rZ0Q08CT1gPtMpqmv6QMBFZiGDPqrZ4y4sSNZnZLub3OJjjrnvPrirDTvV31n8QUhoVv5iTG+zu+
6W+M0Lx5NN7cDLQ+ULU3y0xfQ4sBehXigOeclPlfK5IZFOesWCQjBFNukhGz9Pje9nzyOQrd5Z9R
MiC2BTayiFENgL0hrHI4ZmdkGmMydpLlrBb5hRxubJKqNC8q09wQtiQ0yOtAKu+TMZ0uowoHfIJi
czWpOeC1bysLd3DpcOfzbRVo6O4NdSJ4b+aPlaHewyRflLTUrhkxKStDLRFrsIpclrBjUNM2cm+d
gP+gFWtmBV1xNeo1z3AXmwbq04M+UEbLWEfx/IhZGClvJkp6eYzDdzb164mbNLQX6dChXKVm4/G4
cFunW009w93Cab2B9YCv9jutCXFvf6rlvmU0GvFATLTLITt2HROcaG9OLHW7l9FeTQV5K8cLM3xG
EWG1pT/zjjQL83kgm0AGwlmGsfMxKw31sGXMdUR8xtPdgLg+4+at1DcADCMfFDvKd/v5JJJTJmge
f8s4CRSReZxtcZ9a9t41S1zR7KUWrtnfuGOjrc2KaUL2DF31OOP7pyZtjc3rMeT3ZmFnNlxph9Wc
G2bRDJd57Ox0bXzKbc7uTsqDrRT1IR3YiIMZ3AxsLoEECwxvZh4t/Yrlgu9w7y8JlCwjncaxrFa2
mu/vdNGEnjrd9Cx0OqGVC3YKDEHKC/rET0MXHC01fgqJ5RcB1jyRX/clv3pl3DwBerJHUq8z0pn8
4uKCaZdlCreW9EtluhYmpXjRJdDuc5fal7RyXhgmktrW756QTBN9Dz/aqji1dXqy3HIza/O0aidZ
fG9pJ5pJ2Jz3vr7t1PoF/eVzpqovcaS/xZV1kYiZFsWsqJZ2btwaDUL4KMe6PyUW7iw+BEVcZwij
OPMlRrWl6oHWD0V/QjT2IEo8CkEoiyA/29QLmBrO/rs6ntA+YGEjnwXo2tS3/BA8wz/WwSnl954Y
RORhuCLCWCwnfbzvetlCnIJp4qhaUsDId3Q/l5c43tfYLJZI5PYh5zOLsa1NiTJg4AlElI53v15J
rcXoKCf6+PKSR4aJxL+6Sob4qhT2nl9uPrb7TVzFy6bR1xMbNAG3WjOZnq13nstbNx83c6SEi0m/
oq15zbZuAei0AVJT2d50JjBsHC+mEaFGdmXmiBhMKFEXCZ0xGSj52mlf2KwTw3xH3nZJzHZvGfGm
S+eNIxjP1N2tIRKqVymt73m/2doFBYl7bgu9p/fDbTyb+z51rtoGacoYxqe8aG2iZin18yKgNVVr
WMqHDgHh4D3VXR/DXgtKMRroiTjM5soxGIx4qRsRIvjaeQ9ChvK96R+wn9vLfoiZe8/ZUSeXt+pm
813xzReECP6inxPlZKaF7QH70yNEFe1qMIzkG/X3jyC8/w3XxG97dknL//vl/F9quH7/g79eFvUv
oPe2YVMeqdqm/r3jwPzye4GzvEj+clt0qMkCHFf5Z/nnpRjht9ui+EJRrq1C+gPsCwM/+D+B9gkV
s33//rrIit+ATeUCymXGsawfrotdTBVWaGa45fqm5JFfazwgKNHZx/7Mf48xuhtEU82N5WdjyrN8
NLEIcCJbqFWX3UV9WfBpk2bFipZhrlztwGDK61Q67dapbosnpdatizDOItR8an+bgClQqhXl2qkh
Sk/TcGVqntGFwVe3LZLNzDb8xezt4EInGeaTgc7ZW4UqIXLufbTesQrGjNBlqTxAj/POGLP4a9Q7
QbYIuSg8CBHnX61pYOeOAic+TIUSHBwKkFZVSHPNYsp04xgJfTpGkaWeuvDRr+AkeR5U6RMltWhG
Q61ldTihIk3dCK9mQGiNiSGnSjpua137GGnWKL3c1Fj25KbhzyvMKsoKjRl77toe7ix7uLYzPDhC
nYN5gdS+vkBTNl1VVoX+1ndvfcuPVupQJxehoOkPcygnZ7YgoGGFkvZEcxXrxOnJWIo0mK/UJFPA
g0KXxltnbr/mdRGRIq6DbF7YzTDf0haCzdyyw8uoLaZbpC791uTjaEl0L3oepgydK57nayPv1bXl
J3cTYfDbOC0NbSHIDHJBMlGvZayEwkWoiXY9WViXjHik6WIqTYdksxOuYpNq4AXlJuoVGFl/a/Oy
a1VVdS6zyWA8ByPnN5bZ/K9TSoaeDZ5R7Vs0WfeDPufeCBxwRZMqF33GgluXVnlKa8Jp2s1lslWV
iSJZTTu6VsMpvxpN6Ispsni81YZpHYgFWLeZNaQ3KR9/qDhGk+E11rEVWdT7KbfoFg7QSy9c1e0a
L2JP/9HTdbZx2wSNdARqctmqiv3aqUxlvZI47AmPP7LLSuphxrMphg3utM3P/hhNH5MrQuLmIh3d
/lGVjhnIuuDoSu8MBk0uYJaW2+9Fyr/OgjY7dbgQe/rgrskIfw5GGh2CQuPSXjfORwCwcQgpX9vM
euDcJ0qXUTCDDMcXaHGGLA82pVTlEJoNdvbZn2NSQHTsmzS7rnzNWGWCHxQExJOL5I32mFV2dvGI
s5cHQUNvLiep65nQozacRpD4mLWhLPOz2Qetxod5tv1QyUZCOTWYeMRnH1B1dgPxkniCQhHfGEZZ
XPD+wSKU5TltXGe3ENyJu6sUxXlRzu4h2IlyX5+NRKHdW08RYnvIOKksCnDpPQO+EmWGN8BXUpwF
R5Tzlqs28HX+tVKARJ9ROi00BL14q6QtyQmFeaGeFUq5tClVPAjRInTFFINozul1Ivid4fLhXFll
lXiqPZComIr+KYmtZo0HMG/WeNFJril8fi5I9lCa3nHDy6K5vaKtwd4VSTHe6eXMqcbcoH3dNLaL
IYXkDWypOaAbUaw23EX2KAgwGNMeYSnqCj98pQbocmh168BMH+al8yvKF3SLpgot3Mdmn97y6DIO
3BqoqnYbn5xzo16xRInX9lBZqz7AeU0nrrLL+Nxftu00PydzzDkfxTlzeJVzwkRWYdm1TnBkuV57
sah5A8CZ5E6ibXlA2HfhjNsg5pZOo2bICLooEBpo2CAQmrqvczuxQ4zps659Htb0b8ELqvGBUToJ
HjUdPCPUIRHn9KCm2r7jTeiHYlqr1Lwfc9ui2AUlqGoZV5RqK0uTbaFaNrY30UuAxJZlJ7tMNsQm
EBQJaGI0dDJ7ZUHZVjgFDHlShLEJI0OvpMUmdmIIAqfLjqBCzQHdKSxUb8X0QdGjeMngot12ST29
J0o+8LYbSOI7AC56aaNAGOFJF7VZcajUg1y8kqWgIp5cFVEW41wdHxKV42KLA2BuKNCxHXAQPOlR
vEqN6OBMbnw9zqbWrn0K6DS61IzmqZoGHhmGP3UIQICtEEXui06v/PWcZ+R+eBQVu6ZKFdyGmc7f
lJKfpzESzavT0FBRUtiydtp5F6nmusHQQA46yw/IVx0mkVF/qtyaHQ6usQvVVnIKIcKXNgvCteIb
rwO1q09Dhu+WYFK1qJnrg6EiQWwCtVzHvHOYpjrsK8FE2o1j4zYEsrowdbk74s0u1mSh+fG3Chf3
ps/dN5MgzwYFXHKvwVuTRrLalQoeugkqmlm9lgSURfodo0gW8WwuGTlhg/FdKrR9jDYTG5iqLjzM
uuk9uHVzF4FspJ5O/p/PFqSQT1Vc9NXCiEYNE8JAM1ZLXVUEHNOMtxRtB6eCMcG4InqtWvTZgcgv
1CZW9nbhD5eicPSt0FJBID3rcAS5mV/cmmoHXhdCwV+0TsJGMEkkqlsh+kdOmWor8CpbRcI8Km9h
lEXJEpM0feDRFD3pnWsvzue2/5xq/xo55ZD370+13mvzmr/+Vf+rzp/7PWDiaK6rqkLTkbgaGimS
X8VdxhfVJmjKWRfbv3Z2ev1yrrW+EBDl8ApWajgkUNzfqVPzi85eBrsmf8ogL/LPqFMCXj+cawFb
ZZRGBeTTuH2dtfffRaAipEJNOQvAhVb7Wg1KdnLNuj6Rlxd4bpqmIJSoBNYz42oTUWHE3tnhNq8H
RfWpBLzVmXeCOi31UbFPkdKqhxnnzxp5l3NUOGQwKRpmBoFaF2nbDHiRdXXZXthpyG+9Fji4Bl0L
Vc0YjS+zVouRSW2r0wQ398ZtimGaDUDU3wcNISrEMU2EPaQ1c6phmAuRrWz9zaT2yo3CcYHg94z3
aNnCfFwmdQ+SyPbbJeVO6Uvs4dPgGilG0jCEVk1moc1s3U1zW6RrJxyLTh7NuwcTyz4YqE2oPNR5
DbuYL+1RjSmts8ZyVSoUiy7zuB/hJFWBVhXI9InPwWKTTbSfVsZ4CiPrPuUvhC4TJHOdW8qAMSTE
UOCJCczL0Spt1fe93qwbYyj73cS7J+TzXuni5za30SioJeFVQmmafNAx32AQoAGUUuJz0pt8/moa
af9ipCHC9FSk7o58Yl7s4yZp7uagaSByfOBTbZ5JyUQxJWBJoINHijbt6FNNLOsNGxrJjU4lJHGj
m639xJUkv7Wy0rwbatcG56zrjscZIYIt9ThtdF8okeGzOdLLx7RqHsfZDfY5djaEjkYJ726e2XdL
YvApMdot+gttG58peedMzDNYm1/gehKyOH66pxDe3uBwrI/JmbcfK3KqUC7Wu1K5zjNlbgx4sfRc
xBLWt4EwNYnvJ99IfqN31saZ7zcl6l9K6D9L+X5Y3HdWvajIV8pwAHe6YENEtnpE20R2IFCIEfhM
D1azjBZgBe89VcYN2H7I5IEObmHMPlJ/IaMJ9jwge6xlYGGe/epi5DRsoY8g0BCwCDk0MuQQBeW8
EqjoGt/fqrm212QYIjJKQC4ZkDADGFwhQxM5n+T+wpVRCgcMCh3DQMCil1GLOhxP/chCUAYxinMm
o0mLeG3IoIZKZHXXyvBGGxfWMZaBjoQFD28gQh7aYGCMETrRD8PJtLfxnAeJJ8ZcDoeGa+ecF4kR
QqGGJkRSOVF+4chgSXnOmMjzwiI8J09QuQ7ruQHxrGUwJTxnVPrImI6JDK70MsKCTxnIYpLBFldG
XIzAzuB7dfhe4XYbS0ZhIqNFpSDjMV2ZORtXRmZcGZ6JzzkaR0ZqQhmuGSrD9GAYmq+NjN64vcHP
mXei2+kPuoznaOekjiNDO4OM7yTmLDzFprwtEvQAk/Fh8O57HG4YeZL/GWUQSJGRoEA1tj0ZoSmz
WTvK2FDKDe6NipX0VKvKvqntklmozBkR6SlZDnDrGL0CkNoiDidzSXVHHccqaYnxrgUXetNjryTL
N86ZplHGmwoZdAqBqw+RDD/VpKCacx6qPmejItCdI1cdpmJRT/Nv56j5ITDNHsXgIB5EZpYXs6Yq
p9BRqkOPI+eu1O3uoxa9jUxOgJWEcb8Lbdu5YNdbH8sgHXjemfYOG8jA1lnLtbWTGzVtXgoos8oG
nXdYYCF35ZRNlrkKl7Heg7aUZtoQA878u6AzihujcgI2MG7nmYgWXzUgeY921mxFUgzUV9zH0YfT
jv5lO9TjQ9CjMNtyH4D6LwvOaa6QTsEiSp2Lysaaq9XV1g8z6wJXm4LKqdIQ7nd2Pl1WY4MrLhOq
RuA8LHF6653RITUEb0q7Cv91WAzhXrPa/A3zHPcdXWdSyBuabQR1pVZLw6IlKOAWwUvQzs3HqLUu
OlSns4965oZE88bY5kk33JWxY95QGOjzt6ICjXBC3rjAcOxAeqctAg9h7dxsoFSrgxpb4WcG8l/h
i7FDBD4h5HIMRL5oObWyNpxzh+axed0aygOb9bDSc2UDxgZnFVHD+NF26XjNHGDEExdaN8yNfSoQ
DIXPwTRoP2hA1KJtVicND/MJBMyaHdNho+B07S6fzP5F49POS7ltnzKtzbZUmhZrZ47mg9kTsWsk
J1Dfh4lzQuN9GqLK2Q9hvcGyd2kHn0FpP80aX9mkNclhqHqemNRyBN6gBm++Syo/mMpnUqzVinKk
YdUzGHnhGMtOX02C3uupivrPCfGvQkmGyQHsZ8fDh9c0lSUE6b+8H2PIv/zZX+eeclRJrZStm4b1
x/4BR/tiEVkyOQayWnQ5n/02+hRfZE5JOkxgYQyB5+S30SfnSpeToTwkqrpJVOAfjT7lePWPk0/D
gpMBkLFkKMk6nyC/OyEGvVYKjaEfThFnNSabOBa7uboytXjfmPeWFm/0iWvjEEn3/JKORU8RzarT
DlQW4PDIWecRTQD9pdVFBB3Ix67HRFGb4y5zaO5OvsXf/61HgCD2D39jACKLJDOJLtXlkWLKr+i7
vzELbZq6sollC33s9FTm2vRMzrEaPZWs8INukWymMSmVx9IwMK+bNid8QtVu+G4N2TBD7I5UgxO/
5OkhH1TIu4IGi4hVWg09U5yZC2QBbGp40NGwy1PLFBD7ZowR0LYAkofCyBG5u3gbcysreKQUTXhJ
YBZAMYdm4bOAXZu/tay0m1f23LPOE7ZgN1wlHRiiivMj0Lt2r0HNjct8wvzhzTUM4ZKgEDhRa6Z6
jz9idl/5tKIJcqzYzYhsBDNIwxmTQe3oArYu4tmDuchKCVAZFIyGyMXITyB/20yzgatwmGsXrVeV
zcz1rJ6QM3ntwBMDQLEHEkgB9tANlDqB0mxLxUT0YjFwEUu3d0Dj2xIruOeY5YyGX2h9vCFroUqt
I0Pu2G58ZTmOuDRazjM2c8xueE4J2D0ykv0qajhBrykb8Un1azl4ka5XYqWqfi/A1jWOmXZkhRxh
gjladpYxfPpUINwpWE4U2NoqAGwPs/TJOAvWTIqavzplpr1jWvcRyNf5UBFjmihZT9iDchquIWxG
NlwVeKrvookUlfURKhMqR9OwGV73XRFPVzOwjMxn1wXpjSINntwuKY5dpOY+H1wJMJNt1WKpJvn4
0qQdo+HQGoXYU8VQ38R5DY1O+a51G2SpJcezVfdA+a/DvYNLvLJhsCAeKsXVOoS3Ogdn2vmCK96E
yEajOTBvYVX0mEAOXWAeKDLduCHzkhvecaG25dIy8pPhPWcyVNdom6Aazb9T44ydJTI5+7NI0WP1
SRJuYBPCy56zzWFuoZYV3a+efSwBBVXcVoJCq8qe5oJxJgQ7i88Fn+qxv55aSFKuTimJmS7RRmPp
qlO5MgrgTy4bQbHXEjtNdmmbW0/+kLjHTO2dx0raJUVT1PqqL2L/ogEg8hdl59v4VKbZvib2GEHk
CkVXwBHMEedRP5Q+VFpZBVtSAcZaqSLKgRRW98xNeosZil6Xg+ZB9rrXld6Ch0zw3xdpVqGNbUGx
kXYOFnIk10puSaIhnjabpLc9Fwr6PkTGypSSl2WhEgC7gIlgI55HW0UfG2cVBlzhMkuzY1DpkQcB
vr9GaY4unvlsw0Wzc/bE7BpY7XYykKwQfPeswQ0epsBi0ZnNhFmssR5O2txyBmAQVe0pdD0OaPVM
gF8u8V6ppC35t6ZO2aBrVHkR7IyMCw4/hgqJ1DWkoEPLL1dxG9gxg33bRyrrm6nXdKMMIVWVUXmR
UCYkDXxxs4euQpRLGDjuMzaKoHAxG8VwaRiK9tbFUf6CgFt8hbJg/vfdh9jp28brX3mXnYoob5v/
/i/mC3/+OKBrk1GecGm8dH5YhDUFzfIjHPtK31SLfHl88Pd0Qi+sRXwTH97/5sWYjvzps+f7F5NP
+u+e5AEwSUIsgNbzV+caLe1wM3woN/0+I022Zly2+/nr/fhRxweHq8oFpDAFfKguv/bvXo4QLeSn
SIxlA5q0BpIzdmPBE3/AyPTx85f6i88oV7WlSEvHK+aynvzDS1V0pWcDAqJl5D/2jbbD1mnbtyJY
ROkVfDd40fLnLyjXp3/6XjpsXeF6NdsSzg8amsguXRXldLoqVpi5v87FgjDpqXyf7uttUSweWcST
JNOaRXSlbD+Db/vwf/upfP6C/rBAlceI717+B9eOUUZ6k7U0GUeXb8XGXgGcL+/zzUH5uxf6Ubdj
//BCP75BTV+0vaxMnq5Vb9iMC/t4YXjx4vNvvp/y+/WzL+iH9yZ22aI2fc5F2pNxai7hYW+i62Jc
1lfBpoeJ4XAAeLN0tuL556/8lz/I7w5kPxxvhJ7lii8PZH2zGi6ze0hZZCaX/TF7/PkL/bnz8oej
n/wWfPf7wOlkxmTGt5IgLNwh+oTXZC82QXBob6Lbn7+Y/Pn/6dv53Vf1w/vD9Mta6+VXld7xIeFf
FHcAecHfPL3+7lv3w3sj0MLQzrhhr5RbPsrW5s66ZRu31P7uufV3X8wP7w1Nt/PIDXid6AHIrFrR
poHXzSS9tZoPTrU0n1gzE4GCbWbJ6ayaw/mb+Y/m9P+/K6AMQ2YAfjKgvyvSKPtDOuGXP/LrxQsj
hEwnWN8AEcYiv8/maZVWue8wtwcdUfE/fnfxMqBNGMFrQpPSBzns/8UIoVP8hr5M3snO/8w/8kSa
xo8ffg6gia3xVQqNIBgYyx9/+2TDmFvppLTSIRrXNTHno+FOVDey/GYoHBTtLmR9dMX1ITSXlEFw
udDVNggoIavdQ9+M/VqJXWMXyhQi1dQhuR+jn0gFk13sZYqxLRwDrKvPykvG6ulVXaUquLhWevqE
Q49TLKagonvQC3jMfRE57l6H1rqyZIKzC7tpN1S68jUQdv82ylioD78pGPZDAnBKjoXffa3rpLsK
JizOzT2mq7u+SoY7J/LvKvKskxqh6qFrBueQbyXXFgebOzcp9HvadS4VWweZU/PgSkl16K40eB/r
cHgIGrt6ETKfHMlwb1V15kkfKPExiQNDFyirXCaE2XS7l0rT1enedgzzhsYeVpeEkoMCvhENIyiJ
O+b25MVBbt2wpq6XU6ptW1wEVMKXlYkzB70Ul50ssvtdlAEdNDJ2yC7Bj3pvaBy8FZ1Zm/qqEXmS
rGNXIa+l19hsXDoxbrtSte5G3dQPKfw2wihdjHeUV3Un0d45TTse9SmrVmYVBk8wLwEnwQKH1tIa
nN49jCNGjoUSR/1lQEzwlit0fqdWeAQ38aAMt1EwKjdQt3sEiJf9HFekERtOl/rWMqNY94zI5ovL
qnikoyztxxNiRdKyVk0GNKs6rDegJigNn902DW/bLtdXox/6rPgx2Y3UVw0cDnTwWief7Adi6TdA
EEAkrDjfKB/UHxgos6DJnfC2qG3iWK0xIiSy8k1nBiyJwqwmuh/V6w7B59Iv0njXhWX9YpcIvInz
D1/9HNHIIgzc9B51R/o1G0Gmjcani0SPO+U2tE3rpM9c23RTtpzS49bvCkWfSbU0AY4ejP/uirl+
u1WjCpuAVcaXduxHeyO3m1UojCNTa3OJ72zkp6yRTsCeP702rMXeQz9OjwXuyl3ciEFbdC7f3pDB
KLT0RDQ5wQm8bCcn3yArDSkdqVF8Yu422h0Vu+qOX1l3Wbt6x62/0j6rkfgLgcNyejfzlr9QKeXv
lKdwr0rYvk+i/LSGSbU2bleXHyn73HuyvtQeRviyjyOwpSXweMV1RR7AH4cK6qSDIibNqFPHG2bv
UTewkhlc1nBhkIx3VoBb1dfS4qaUpSkqc8Ur14AZ9YKE+yzjjbRe95OhHc3ITC7ahCaJNRFl4pwV
MoujZk7ue6v1CYFRRVHbRVD35YEwQDahyqJ2cWcbrXIVahX3aUuxtLeQffOd7UTiOomm/pYujpJc
iezw8cnxXXckRRhd+KT2vCwvKM0pzDy9GuJUuWg6JvjSJx+TAlWqWwujJgir0HbGoLl3DFeUceeg
TydfTFPevC4HBxWrxR6qXqnlYK2A0inhQ3GAdbtqh5hCtFi91xXVf8xx0+yH+VSJLqyX1oQmE3VX
9MCogr6rDFFFHKXhysX5clBL39ghg72e1WEZJbFLAQYvQcXES+WPXNjcIZq9uQoejWAsaLec8USb
6lOoKpca5AlPunplBFvsXFu9z05p6R8nphtD0m+aAngLrIGWo22v0GijzvLynWhYJkxiw1p1mIyW
AXotKHEMp5l4savpErktvKnub+YwUA60QoRkidtSvUtU3LJxCnejOmnIBMEol2iCk8+uuua2SyqN
cq8t8EK7VdLqbkriU0+PF6PvTcwuj/lO/NS0vrMOVVLsrWY91G5Ia0/MesonNNOsq3h6Gebqgy/a
xo6jvPOx2m+0oPsqohYxhiHwJ6hiNWJIyZ3q1tWcYRnaGEj6WGOup3VkMoZq5ieVq8CEYUrxEgRh
RbR0q1T2pYAtb5uqWs9jNTDMMremkpee8EfolFYbeM47aCVGG4JOBBH5qHJ4092gRwmU2lsbKYtZ
1ISJ+M6UOjwEisOUh5u/zJWRSQLrDb/hEdcUhbHweUzsYlMcCecvi35odoUZ8KYR5FZC663y87Ub
8uNwx55YdVa4Kz/I4J/SG7MElWdmsavc8dXVB2k0OI1huiZWsA4xyLUGIua+MiibY6895BjVc53h
e6UE2jPiYdtTSVagzH/h5ohIxaq9NiE8GPLxOorO37NXsA9haZtIfJPympqBGKUOgXIc+o29juOQ
bpM8np+docXWTmv3c2xFmPl5mt654/RQsLmFAqWCFNDPd97Pe1li3k3waJd9GywrVfPpKiWXO0do
GNS2n/Z5kYuLOZkpAZQpf4PhjvrtXP2f8+a/PnJS+9Pu/b//C804dPJPLWSXr3X0f/6n+D4Q+9uf
+vXQaX3hqGGpnBK/je059f0KhLhfVBYBDvSzRgD+XET8CxCifyEVy/+hMtO2Je/MWfCXQ6eKptRg
FsO0H/nVtyXBP9CTc+b94zWMg6bJ7w8dc5ZuEY3946Hz/7J3XlmuZMt5nsodgKAFbx65XVokvKsX
LFShgIRHwiTMjDgOTkxfoJtisynqLr3rYFWdgsvcJnb4+KOwq1/2dOItGVIU1w5IoTTaNUmP/Isi
3v2vXqTPgP/rfYD7Jf+lSL/J4t8spCK9DndP8s3o8jAHkuKMgliVHP8qvkKcgpRM5eDtW+rfC/3r
9kA31X25ntPzrFXfAL1SuGXjy27bJIUVJko3kXRdwd7Gv/vukImX0gI029B66nbYgEkO5PGpVzjC
93VWpYRFP6/vBg2tqjtqdkibomz9la3xAW8K9BNfU8MeFy9kAeu0VM9njXUNCNLyK12Uy6S0qTUd
QSg9bFzWgxOdENAZb1tKccu1dAx0IlWEbxpqPTQQ86X+G9c5TSzXzye4MtsWXPG+zl60TKpl55Le
ErX7vZN0fGHkVMmTAL2Ghd7X51oOTufmDaZmikQE72S+PwRr+HHBx616bAU5wFMvhUpcJ+56PVBQ
1Hqm9WRLtsJvmtXPyIxSjezBauH6+koLDcDFm+mVwkWB/mmY+3FX2OEers43ZkdsJLoVLsUpcFyl
vdnBeQdAorZW1VoOite+cacZ0utGsKB2vTTPIHWcUxrcvME406fr80qItlG6H3Xhna836pW1NgQk
d6jgOM/nlCTX8iPQGxmdPwxNtW7j/fl43rv67bKre7WMVEt1Yiuo78zn662mFqwyK8/fjZ/j5nkG
02NO0Qg8dn4Bpr12K6vypboZNrdSX3J/4hP1L3SJWBPwOF8v1AHOcYM/1qVTXTd2letOz3GWlKnY
LYPd8aICqbuuVbLl49V494vHfROWvtk/cDU83gUPbEswJoAzp7LqTm/6H5rq1Lt0RYNmHjjWMqDd
n00aZqIVr3ZzEO1UhhZ/8ao0qUjh+JiUplR/U7XbytfUvlSbtcdw09pQv1W/S9vR803GfSBLKG2X
TvsbdU+v+9s/FFr0Db20WuuvGy5PMurrO+AwOBU5HZ4bdGIhytTadgsHiuTA8qWu4DUvNrqF5pYl
P3ANcglPeakapq31vErhDSUORL5b19G2dW3iht9nt58WUN8F2nWV9pNGuj4PL6/Ddm3u21L6w2jL
tFYGfpvyv9LtktkWcH+Z2j3W9V4KDtNdXzc70Br2B3r0qiZJCE/9LM/pFdjYrh8n6nJrrS9KFchH
v9ACiEY7u3tlfC6fjzNC3PTQ3RfOm6BWOVcqqlZ8lZqqsN4WHv52na4pjbrt3vvu63ms/t6KlSul
1jVaOGFEplgCjRexJg18ImWP80IdFFZqqvNiQMvwFGF8y5o/p1bljSqQHdZtirUoN7jOifrZOyED
oF/yXa07vxQaX41r9dk/N0g8i2kuTXbu/JGBMpIWHmdVve8eF7Or7NA5t4XzFa1/S5ISlSdP8NV2
t7S7+VgBUPM7fINK8ns7v9gpMtv+3U/1/+XpX+TpHwVANeTff59j+S+Xn3Rz3vzbv+4X6xPB9H9Q
SvSPfzkuL//2r9f/8Y/u5ZRvlr/Hn83iHy9567Yg2H5b7Df/uUHIf9zpTyFMXL0CnmeDfMwGsg5w
iv8thHmrUUEgIer/HbXiTxlcqvxP0ieRVBWgK/iyRAf+lMElSpeamO7AVgCHA5pE4/+l2EiE+X+S
jdy8WavVURLIdSsWW39zu14fpzPFmsXUjdGKVaaG/X7XQ4VVg6P+J4KYXNR/crO/+V3T+Qsw7FRu
Rg+b+GnKuqQAn1FPgjpDB7SRnmILfl5+q353iDGrT7qgfybdXxAteHwX7d7Q0NG0FL2PTJlnBET5
i6bLtqBTk+lKRMG43Zq1pQ08n800kBo8p7mJPgbHQL77NEX9DcyaocrE21jUZnOJaMOlc0tGNw9A
5/g9V1fDjX8o8lVEtlVBV5VHJreru71N7dGjb5ijZsN7+XixWLSLTu3BXDQIFLqEWx4sKnP2QOq2
mQ9gmNqpFbXteme24TxZkVpjt3ZjimZRNLQM0huTqhjHmRpRza5bZvBQUU1Nn+aqhmv1PZTgV64c
MkcvV8ve8qVejHKlk9kslJuvBiP/qJe7PzTu/zae0oJE/69Eghvyr755ktufVA+xb5mlg2D40PQf
1F+0v1SZfqouDjhZo6PqA+ahvL3y+l+Z+s5Vl0FPl3gZ9EufIK6qBhpWnVTnO1NXFfS7GxY0xgTn
AoQr1eKsfksq928q1+BaqkVdPfnjzZo+mPPTgWKp7lwiYtH1Qy+oQWKFU7tzqW3qv5z+/4PeCIT9
3xXUz+FoVkmOLqH1Fpt/UxxvFyRl6XRP3cXgmxsc44tpDdKg7OGyAzcsd8QlbW2wDcrh2z3dvFf7
AcJjTrn/nRRBs63q8wGzLKYLJKBjaa6r7H6N0GtQ3Oh8eDia/RKffTMsuXpYD8Ge9qrhy9bDc9BS
qJuqDYQi/z2Iol3ikrsEt6CqS+YZ76hYDbI7r5X11xdIivHLlvXaL6iiLfLXLX5YUEw98KOAgPcu
ARVvzbA1rRPb9cHsnt2Cd7ydNUN5lqmyPiXP+NRPlxW38d+4IPVrvPGPy7Iu2pJZR2t/HWHB/1yC
arhLqKeNL8GZw1Sapgd9HxNBL0yPXQohHFDUhsQBrzqiQqwUl0weNBwRd34qjjQZTUfHs8rjXb82
BcKhumq1vPzg6qvrgnYVj/EzzkiMpZRxha52CQ5XdVvehvyRtKbv+DIEKywA7SBeJzQWVfuAdMSQ
NqkVh++Kqb/N05TMt/xHM3Wd6r15jO7e0fFjQDQHjSZ+JMCM+7cuGBo3e+4C1bftnrlQecVopo1p
6+cxvi6AmDkk7eZLZYsDFRNqP5z3juy0LHTJFTprv2yrumKOhqoad+k0HIWP8a37SFru4ZGhrO/e
kOWGa2XKDTvBUJhd6xvMEnt0dP/j+DSigz0agB3YBZbYJ5Rn594tyJITz7PkMgRldVjW2+4pSZfH
7nZ2XlZQUPvPgFQDVWEtAIjsk9NYXuATLS8AsOCCFYb0SF7tdwCCYkIm4fTgz8fNcbWO2aF30a17
8O+9XXTwa9FzeObicEJuT3L4OOuT1uceTZP1L9338HxW4Plxo8Hri9D/eXZb7qJn8GSq6YzNKY5R
wLMrIIKKnPjy+LK89vezWgw+Itgul9mcUz+qju79sq3ra3LqP+NrQuJQccHHn0EeHPxHUh9X4nN3
38U5/46z5I/zcF+8eFzZK5xk6utpDuNGpxhWvYc+G8B3w9zl7gg9Zkldl9n6udea5vHcS7u7BDCJ
RTF8OqKyVngOKrZuDJfV9pOvnIe7/s6vuXm4Xabdshbigv7NLZ73ql7Z20Nc4PLyysti8bgXVCUE
heGlKbnXwsZKBjDQeL/MEhTlH2B9NMhz3l3kAd/BvVqLWV1u0gzPQ4Ins1NScdVw0weJprw6I4Wa
DJSCMFBf3nEer/0N9CSU1OAQ1cOiPfgVU7RPk5urBYYUhilbLiLxGTVs1TRsavaQ9fWrFpX8k/f7
+7PTN/VDdpmr63V0XMqxLbAkBxUt93p5UHBlDrTwUCuy/gs2/DRkTrtzwLIhQSvRPNiEb/8dIRLd
ExnsCQuuq4lnuxO4PFc/8bldKEfqCO0Twld1TsHDO9ia//BaEJWMvME8SpxEjutQeMyJXYXncP6/
h93fg14rkG7N2bUcpWFs0PSkvghsIMFpcqtEbpNjzs6v/ScrL+v/TcKA+iYjhneEKZb1N2THMWMr
WBzm0snY5zIcUz4kWgUA4Ry2GqynhGKwd6XJ3vGlt/n65l/nqjobhZLhOt/Bxl69jZJlyHV9Bf9u
vVyhonOK+KQoQj0apgxcDNeht2cPE6uAD5/jegZ+VrUGJ/qSrpq9A6kjR9gTHWSjsl1HHDGOI3PR
wh2y3jsAF5lz1YquX1ctK1CLir+NKOuBU+nvx/vBIbx10G+YQiviU/wPCJ6p+eAIN/xTr+ZnPbmM
LHId3ranMlptNJi0rBmogTblXi1VggEcbMO/omCBdkKulWq31Av6KbBbNSfrd0W1AquKv2TBQLVR
7yCgKRpEdYaLk16IKibEkXG5K5c7O+GmWSi8lGmoGxwW3iaEA/GeknmYBy0nP692w9Hhl42SjSvb
D0PULXdPMNAgAVG/iE9BikKQFLAxBHlFNATwvrg7xFlz7bKefn1fdedLVMPxCy3iadb+t/CDKbQM
Qx1CFR16ySuhVtHyLp30hxtGpPmz+aIBHt3Glu3OciE6v7dzvu0aft757nRgcObAEnAt9sir+adQ
JAPr7b4zVkCW6augOsPh3vSFkUMsHfcNnaHeFITkRI9BzvDAXQ7f5cNClDxBDMLNeFDLASF+M1Ch
6e8vZPqJrchZA9GJIFuuJPcqKIdweHjvgBbWpsM5VMGp3e+0zXivj/qhjp78HvigpOi5rqEWlAyE
YOnS02sG5PM0uzcfMB93s6A3mdGChJQtqi193vVTN1VIQ3OzNgXTG4QxICAaKDlbVT9Vs1cT9NwD
dLfjRXQT1dA/VXWxoomR+qdye7N79eYyZKujg9KZR8/9qtnohp2bN2yjaVo2MyUvhwetw1JU8YU5
COkf3bV96hV/h2eIAhqCldnMiir31WF9SW/VLM7W5GpSVb+4c9rI7EQOhzA8iBkGDHoY6lFR3/ke
oMbokKgssDHUY4JdOorA8rBEFMzNNXgOPxlH0Xiro73e6y0Co6HmnnBmSmlZuZ1a+g/0cZoeIyIA
WlIIFN1si3C5q3t48ilfYpXXrmAaLNlWn+zNnWzto8PfVY9aHdO0c920AI/xsbmw1zFvpN7FcEcP
9FF7R5OrhwyVwyInT3S6K9d4QPhy/jKmJ6Szd2uVmu6NNbXdbqczvUGV4BipOdu9MS9VMCsaeBnR
upte0zup8bI3GIFwYM76jNXAPEGOE2MGupPTDKUK6aewVprleY3OmNlYkAHd9mO31GZyvdwRZIkB
V2A9agGwmZwZ0VFk4xwsCw7TOakp3ReQosJBM3ZTzrSoWQcf9bTFRnCgP1zn3KG+gg9h0GF5DdsN
RaEfeyFzFbkp75EU2V4jt8TgatnJEyOJcEggtDX5ZcSuv1fdhu7uMQgm3SCg7ledRoffuWlBlUfV
hTxkrX6O6of1AjB19CC0jKv2oGjGQoQq690GCNWPUcmp60RmSY4zE3waqkRYOtkGTlrVOheQZRSI
hdnSchYKuj9EFqhvpAKF5Irkct7DlHSZDoQ8MWh+c7+lG/odPm2yVeFMRp/F9c7k4epKJwlwQ+qi
nuNFNhttfbElqbT+PI4qDvokiNmGXXv9br/P5Nj34Bexw74BWfthmAV1DkSPJS8QfuNKPizdyOj2
pD3KsjTszd94O69/aL9FUiKn1+o3V4Ew0WookxP+jnWMjvld4iOqj3F2sT9NRGse9b0+xvZwiIIK
W6RgD6ZZ4JxPJmcV29jrdr2fAwzgJlsQT+p8mysEnc430vgdIK0gi4x9lUPY4p4nFlNjkwJjpodP
1enkMTxfY+Ow9UVs7Jq7LOVOQo1fHPePUQMD7Qi1wUsZ5PeXnOAVRh60Dn/awxyIiav7ZBUmM+AK
WNaPS6IFraMqTNvjCLnnxO7DDoc79o660V0Sl/OrIJ/psVjbFbVajivdiuJNIYKG6QFaZpcYyBU1
7b18Ps9TuVHBNcxhAhaQWmFEg4RgiIqriRilZYzy3FvEXa9/Qjqyh6JayJb8dLsoBgYAJRv3tybw
OMTdGJwkmGaB97Fs52oWB3vX/+3OZrY7vP5JmTBbIVI8GzEd6Pnrt2p+Cqz6708cQ0SxDbjZk6cA
TodvLYPRYahHG048zm9YE7wmuqtlFEUVtVw2ZcbReHn1T7Zl7pEwLSL+5ujt+WQWlfsUHGmaG8A6
aublYTnpfXtt8MjjoNiLODHAHLBfUzPGmcu6tJYPX4TFw997hYA2S1Er2HpbDdA1cmhw9raWCnB3
gf8UDI3XzTJqatpxqzEb9LCwddie6ACg9tkbWerx3U6N0anqTds192WmW23abv5aVNzdrsfvznrx
RnumODBY9kyxGEZcyGVhZxh0VYAJ1Ygu56mbIiz2TvSdjf34edB3N+g4Ir2GIk+rK472PH32IbXp
lzCfL0isIy4J5C9qF+oZ5X2owKJ/cA+TLUoOwjyJzd2pIiEqmAvCbYG/frsSTqmmlyNCDmraUDma
ezmE2/OsCNd9YWC8NLx/PBZHQI2LTOU0yKvTz19P1/gR7wCmKs253CukpZ0HdEA6fK1ogSpPVsLX
gbWMRQ0C7edDvXf7xmIWfi6SA/rFIE01JxezizU9xq/wYsoInIuDya1W40hOxn741XYBADfq+5tO
7HwUYTIWTi1nFtwzz0eSmHFkpm3WBD7Nx7fOUWESHgMxlb52aopgps/YZ9MwrC98GzR1rjB+6Mwy
2YfK/IwNH0N+TJ15siLjmvD8VEFi496y14sO3E+krazV6yO4hWt8iQ/oz7VkVeVBSQvS/PLRxrYB
cMx8LYJaIO/2w7aZF5TJqZ+KUPT9FKdXZNqQT7vdNq5t+ChD4HNt7jll9FN/jKuKCcvjrnt3tRqE
4tWDjfjjaZuNn0a9wYl2COyAyPUbTKulzNT3DV88IxVFyxIOsYd7mFUP5vHHcVr6O4V2wWhXO9Ub
rAYPVeMrd73srY4aYDbLmeGbg/2IQ2OWV8YUMYE7GoGovQW188V/g6NIGKmwujH/wMzwPjQW4d46
j/yIIVxYH2b1tUEov2GZbNgX68H16uwO2hD6Ofhp8Nbvb5wwU3ak528tB5e+I+rpZF1zDFcRKaDO
I/S+C4oz8YdYRvfkPOzNlvzUTbjrcZwG/f5k4nXXIDP5aBFX9N3h5mvvtmjZG5UOnOPkiDev0xl6
fZjVAm6l6l1eL2vjAqXUbYwk6Ta7w6H7co7cKjPE1HZD5I5nAe3j85SDaLT8zgsIPtRJ+5qkfatg
ev3+r4fMubuSVzeYiaLPlrvrER3VaSZRRrY11Ia0fCq2R3lUsPVunXc3v5dvkPTqW3WbFPrAG24H
H82boy/2c53DK1Pt//bxrpY0XWFsA0X1bEtSta+OE1L0tjelirMXZZjkSHngOKJOfde1U4FV4UUl
ZzXLkfxPctqOQEjpDEV07e83LsULUVT7q0YBr8+qyJDRDQuO3nQHtf5KW+5K3wpsn5N+3I2gqbdr
0R0jl8jPzyOpjh+Ll22i3N7MydbtNrfgebLvU9d5IiCKx7hGWl7/Pdk6TnSnrF/oCWIybSzmrduy
edlon6ImsUWTfOPKVZNTJe/t2gevgHJ+8taq73neBC2KPnmTS5T7B+/pr79AGQYnIURrquB5oi2t
ZZXEzFmrbmrWEMTWlLAXseI/Ek/GswkzT3zrmZd5w8Bj765YFxgR5YDwpyno388GPsxslsUNr+Y9
HJE4/uf3F92ZgreezaqDmiWBZUb/TNUcHMfH8T458c6B0gDvoE/eNyQqxieMyHQ6hCSQs+5hALx1
mVssig7w5eaAroQaEggouXd3lybUUTU7TRW/xfcOuzNFl8V3U0dzyu0TC6aOIjGLS3qGIWPnquzK
7ja+xrfxurvpNnmzQZLVXdOB5hQUPNFN2XWkuGfDs7KQuwcZJBZ9SCk7o2kfnzgmWbwZzrZM4GnR
B0E8iLfJNX4SJpjz4XCtF/RlsG/9cC93N6hZF3UP7kEFHTK3RzU7q7UehXV3jwkKr4RAy+4UbJOm
2ic17xp/aPbIyy9zD4pm/nMK7nHREZZleG+b+lve496AD5o5sz4zEYL8qAyA/+Jk0y/X6lXC9+o2
roVHlbxl1HyG68YK/QOnIHEOWaMmFt7kre1EJv3WdxYwt/EpyIKyOybc0hV6D0NaFd+XOdXCbXII
ZOEqIcuIFo++stEgTZirIcnN7tjUO4uZsxgZM254hV6Lx22cj+/4MYNrTHIsV98mrBeBkEec+gXv
yZWfLI1ozg9T0g9TdtegPr3HlRAoLta3jpudFqy5OgWHYcZqbrp/7CfV197DyBRlGWZQBCtC4wIJ
qQyKKlksqLNXtDPwcopChBcswBoxUEQt3BxcI5R7xkyfkMxFSRCIs21JdibCc+FB73h/jyGdEduh
Ew6aISBj0cGtp8VhIY+rc3Xo7rrAE7MVb1b+9Flgq7UxvQjtR2k07TjBeBiFGtGRqtB6k/5e9rJi
gdxUW3vWYap25qIHo2UP4dnz/VE48F+8Rk5HDLXQLtWtyFsJ3/Sl9VKJPEEDab/gLUYD1Gguy4XD
GeS3KKpQ5k9QaTTgSj4CK1V+j8vRfFen4WCgtVU49ya7YJJo5BdfROeGDhJ6bKlBODqzKk/LuQnD
FfdGP+YbHtw6Vz8eBJ2Ecs0RouCz5EIeSShy1DBl44c6XCTJ4qg4OcT5VOARI8IPrbsq1uGIefq9
CMk5GFktF1mUdMtD4f0sz2iAvNeaVQrQotGMFyzOxgwoBHXsKTIZhfgMQySClrK/rZAxPLWnLFyb
F8TnMdiGCH/WqOrKarBaca+N8VmkAeMS3Zrl1UTQyjJs44v+1ettTA9DYeWPRiz4CFowhKeY2JET
VcTFMostXBUrVKJXwmPEU/rb7QeKlzFQIbx4tMAmZH2EqAhvfchN6FKkYBPSnj0MFEk7eb3gMyUN
N5APJgnKfpLMWDQdaiuTsVgFNrEcF7FJ2Nh4lsSwDqSpLDepk8qywpzfmM9+TCb5jWh1by6L9QmM
K/T4+VOON6xDy0l6uRnzepnFGxZZxpyHecKYiJqCjwHZLLL45Soh3IaaUxDXlq+47ppu75/hbCGj
4tuzgld1MjnGL9G8n5/uhH9irpJdYQHQtS1O5dPSyefDkcSRVFfMAS7cVC2P4wfz9YRBXOHYwmMe
HL9RxZZsRae+sAG29cPbZ3LAHwYBbl+mFuYw0Ya37cN1+3CpfgXPV8U+gpId0YdIF8JHXFQ3XbEv
WLK4xZ7jRkgHPa8R0ntsXHQF5kFTNBK3zBpNr/hDW5jqO349usevsv/+BVstonuRHy70TVf9pn/R
nDwL9eCaiY7ta4cQ5NYebZ2wMHBoPwAI+mJPoZKHScjBb0dtQnTOMJg1UU29iszXtB1FAzmNckT8
iLDti5DvjbN8wEAacCg5pP4K97LyS90lqupqr8c7BVi9WqKLjqPlcjVYGy4hZ51jhDuCi48gs1Ea
1TSUwzM2EOMxDMPRYsFrQoccMCzbvYons2SGMJ7NJndsWNYW/8oTWplAZGyI1fZDX38SBOyYt7oX
5D0x24pHkE5rZGDFsjQJNxi8OD8jbsX5HIUwHiHVutAdHvXP8RCOO1tsVdWnB44alWB36F38jEYj
mehFr1niMuu6c3MrMXV6GCLfKvoVpFGRv6txOX4F2fLYF3prcO4AnlPzaWs1n1ZIlQpTH1xrEumx
kbqNkt/6paq6MiJjrRoXVrR6dPUNaKMIWOHOwv//OEOsGkSYzOJFOOLYjRgkO2cXWYBoWIxGcTKS
gf3xgOucJTjN8q6EiaJ7mXLMwoqoOX8Y5QIWKWeiwoBqeku2tEoBE0JRwu/lUYvFdQveNaAYfXVY
5guEHtgqORmDurVKGwSXvaybL07dU3c3OyfzCLihwYVoDUpuVI5AfzFw/jLth0nV+Hr4IJ10HrgB
xEZZnVIGhbBwlzZywuztxcvcAUN/7aK5NVNx2XxsCHDwNWhOuBQGmAxEiKLBwI/a04iWnlgI7ZvB
RBIfwUth4sCfj3olth52Y3s6bkfT3nIcIaDmurcaLQbiWxZvKI7UP8xhPBKRDj9ElOiVj2MVdn3H
1BKTMIKCsXMkkC++VjGDhO9iN0LZGI84Z3Du0EwQmSdiSLj7oPcxu3vRdBkxHI7GgJehFM4RUm9j
6IcxaAUMCXMO24cB3PXLu4blrxeH64fE7nxPoI6MirbD4dTjthjpEd7Rmvm4i3s68jFWSbpgGSJf
DxbIuwFCA9G/t0iCl8nQZoCv5zGrK2+nJ0JGMBaUngx/+NlH+YHnVqclmPoRvQZFR3i7cB90r7Sf
Jk/d33mSTrLRP7nqH/DXond3iKBN6Nzg73CciCODfI8NXrojzo7AYxlHN28h5wtqnYlUkWOfhNRj
4v+Oxn6vh5rCA5mG7NPhAIkY7rXwIZYuWdjYhqOdbKaQx2gBq57ZRYJCJLrCimvsFF7x3qqAbERj
aMJJUBnEUf/S5q4wzjGUWSeCiWIIv9g8roQiwV4MIKLRKPHF/G5P20YkNqwoDCE/FdbC3dAi1FYw
sYEPtQ3YPGTyIkzK5kMgRSOCclay/KYOQ3WxTZBEFZ3QfFXOGsoAFrzP9JlaGML1uAMS4YKeMFji
48NmhjGXDUxR8mjCMpPyeQNHmfZhgonlQm8EzmyxSNB95TFjTLjSQ2Q5i8FKiCR86/in2+8KG+So
70j1uekthyjtFYLeauCHr5gpwVoX8Agf3yIvDSBltBzYalWhPaMrcT0mFsco0PwPK2BFkxD+yEgw
JsIdR/Km0SRF7fikHKnrEF6BMfAI6m7wTMJb78bWnFwIDZbVsy0sfqRF5Iq+hywZcT1ZDJhWwlhg
8v/xN3vP+dCa5CAmKTdApfgk2bA2CCHhWwMmwW+EDYvDp4SPh7x5Mh+VUTRl+UEQI9k0/SVg0JRB
DeVlGSiow/oxBCvd2/p0Pffp2cZaVWyTT9NuGY555O/r4Ghv3sk1FicHTtRPMzqHW1vTZ0j35GDK
TI6s1ujZvg4oUi3CzY66iEpIxI/zHq3Ya+HIZca6DVH2UFplPnL2cdR+DK+3BWuJJ0U4o7C+HYdC
FPZbUtGnIN6jXUGNMv6RaJjgDLcP7j4Q7aLCUJv+PbgG+Zjux0imP/aEeTNJipEt9xZqYheE8xdF
XC2Qj5APahWK+QN5J59kCG63xBjS6+W6S+I1Vy87WT90t4qu6Qs7jxiDysQIFGEhfOOFXSuCuQyN
QPLyopiETJg3OAB/6HeSEWU5DNAucnMhpwRSomkRv1EjD8PPN/VilvZ5QbT1h6mEa/zOPMGp4DFc
7u6K2NGiTGEw8jW581pnDhXIXBLsuX4t3Ce3hVxELngYNqfr5QOhJQLrtjgL9kKZCmMCdgnSjWAn
TTHiw+zQBWpux6jY835N50k5zrqvuBBewjq0UUKRQ8cUMwSdQY40qXLwD7YWff0FZZXZ27M+QDWY
swj9IrRx0RgHFYtycEbJhwqEVORyrRDc5dnW/+jUUA+rJ8oeBUKMtGSvHQiMHdEnd+9AhoiQih6J
CAS+lVsiudH5+Z3aEaXt7X2PRib6js6INoNXuzo5j+pJbTb/0NAa1l2eirooZ6AZbRwg7PF7/ArW
00t7H76iQ0eMwmf73jl1joSyfUaJhsGUyFzbuTUsSTSGUUgjSyeEKboeGe68FvZ60wqRQ4Tg1hvD
THBtcnDh7R/Vwhb9QiDLIkKQb3nCCbAL4N5CjxeuJSIVHiyn46zlw5x09By0wUHURstEUhIH4LqD
MBmgW2IdrghvrnwIB61QiPOmj3BpyCMZrMa8YeOujeF9YuAKnxKxdwpoWCNabtScHEN68frNpNm/
ldwGgF3aDaJBdRvdFlWuBVKp6cXK80Jw9B7Ry990GLgvj7Mn8R3imWCmu4d/9VPvn2TtSZXM+a/F
/bU62BLA8FNrXSqXmq2/JSuWdjsp/cq27q4lQa/A/9t4M563c6S9pFJKeL5A2LIYHuN9fLXUhfBz
t0+3Tq6r0g8edffySrMdYJ6zOhBM6rC6rorUj/2cxjdwehcEKn7qlqBycJ1sR+lvE9jeftrGazx9
4HLGIU9slR8j2Xzrfp3fNUeKE0HVlGyjCol8X65NxKHVkfQKosDe28e7B5QeovbpzuTGpt1vvK+i
q30CBIz4bSRcvCOdYE1AjkhUv98hTxAXPr4FZPIYfilBDNx4/e9vEnn7fddxXJForeS6kvozlnB0
tOxFxM3FZ//QVJTousfkyTCSDCfCIUjwO3bGliiI5CDS4AMv4xWfY4k4jSQtoKsQchSzlw7mdt/o
FTSRYTzUpOYS5pW0C1yPZAaAUGpeeG6qOH9K4cPlxFmBKHWS2CTZK29irOcPOgcgq+4WZtghOJC8
W7QONz3UIFyPYCd0L8GLbMZ6SLpiBCK9rZBVte9uSSNcNhfZFzB9v2nnOaGqZ39X6fSavMaXoeRn
rX3xre78HemLRfJxniQeRQ8yVp6kP16Gh4QS59Vuse5LTqPEeOpesydhkF3yJliTmzdphZIiVegc
FqdFheVNSIFEX5PwOrCaZqdzDfAgKcVhHt4d5pEDI6PzLFHTCngPCN22PDv6b+zUIivRCKnQLYnv
C755GW+G80HrqzqYx9VgM9q1W3N9fJOKTIVuWOrtxxvyKts5ZnsJBeqcXHFzXcb36dubu5Y+jUpR
ywKsZz/mdzgnNL3vSGrLvnNoz91PCWa2cXRfsRXvbKtBo39nIw7dPKmNj/2MgHbDNEvmdDF0g6Zu
5bI6xQe02w3Kl6iyuZ9HVBTlkx/cYSLtywa7BO537N3aeb8YUwgUgimBbBMOTP8we042OL9I2O3m
4x0WzIuX6T99NeuKymalp6r8PvDrTUqkMwH8tQC5vLI6BA/8t0+cPqla0B6ncxxV+1LU+V2YvSaY
OGl4j1rDwySD1VCIW9cnWup87UfZpEyf8JsqbdVjQtURL68HxRIlL/aCRwhXBKyZ7GD4v8h0ylph
k8J1Ub28bSg+PbC+/km2NAAbAqjzNxZUKxYF1QfgvEqx+jdsH4G3Oq4bu62rdNrfko3H4VsBj7RJ
AKvTkg89FYKmlSypkp80uXWUd25DUgk5ri8LIFxlbffNAIBtGnsTSiitSpk5/zTflOfqG625bhRy
k3rmjgVH7tk93E8bg4I0kAXRPCxRsUp082BT2vEGl4Mk8yb13jbO4SZET9dRAwreaFJcdzlSEhM6
LIZlr9Jl1evtMkfhQBYUA0n2Xbz/LCTH/gB/IUZHjBPGQBNmd0guJG1yTAhpEt/03uT7ZeQyEzbc
KrpIrnE5zWqmSVS5QrJgiWzTnZ/Hjemx6Rf1PsjNObiPKTkrcVhprDe8j8EzLQNcH79/tgzVUcL7
nN5cUxM9gw8N5+3WYPdS2018LQ7XDfP+qXVyNLxxldLz6Z7YxUvlJXDbqcHV+U+16prty3R+1neK
WBnI7puFq3S35I7PD5a0vnm7ioFz+7lwF/JJyU27qpp/b986a4JzfVJdh5nkUzemtWk9TGcAejVp
hYZm9jRfj8XlTYGv+V/snUly5Fq2XeeitvAMuKgb6gBeVySdhZPswFgF6rq4AGajMfwh5MS0EFmn
pG+WXek38lk+i0cG6Q6/95x99tlLi8jWJ2ltYyA3O76WPpO9kl67k/tF4lhZrEt9m/RscV9mqq0j
DtCRW+RSv8TX/KpT3un8RltZn8zh4taH/CB44NnqOhIn3zGTG+GH+2W2bUiXZ5SPkyVe16zd76In
93E5o9jBYlxTbdQz5pv3hrN6W7ATfGe8xVsMIu1Wvrub6Lsp+X1zEr3IYGV+whFqLtFMeoCl23W9
HJf9oYc75k1b56zzDHxwNF5SuWqR28K1igcZTzSujXvnol71O0lx/JqFW0AF7SUN4YP5NsfRU9cB
rvYm9zV7y/JTFJM6w8bTqhjumQX+sIDJkd++slTBcE/fBncxp/KTyNiAZD2K6cs6Utb5SfmojuFp
fkDo4wmJmCpg09mmsCR/WyE9oB7kfGzJqW80b8JOmW2UkqGdyf4HIPAduYQDY63FrdTiSOtu7pVA
IexyUDgSqsXjqHIGsXHPLRavPzHIc66vy+3AT9UdxCPjlM3P7OXr4GW5qQB34zZ3tuPJ3WDswxxQ
Y/jktv3gZvbGHQcleWo5xo/O48s+iUPFfgnhuTpE2HgyDFMW8hbcDzCwK6fgP5291ldyjDrjjqFj
9Ol+6A+G7p9+nlp9s3mf0Uy5hdtDy1TQ6xVGvcyBeR6Y+IKG2RboBlf+8r15LA2WDtcEk3zD0Wn2
J3xFnzpDV42YB27pfc7vt3OYe3CtP1lbi91znmLz6ljHON3jc8Xk2n6Usx/YK9O6Nuolw75eHbVu
jZHbPfah/2lvFruptusxaqU/MMyjjSr34QN57d8DgbSboroFvPfeGPj6Zd6iE34hMa+MFdPSnhN4
XwTrVHriTty1byLxgPOsGx4cn0C+xtxG6R3v7EBXAOMTw9iwigo+jWXFw63vWGT8FBal0h2vZcQL
Z2+sD/fG+UiQCLQ4Rp4V4RDS46WABz2we85lYPvOT3PXIyCbvovzquI9NeStfm15anKPPAKGl4sQ
vzSB6Lo7Y0dLrFMMCxqj5Ep7RnFcUgAnv++Pi9ioq/peQ/Qt6EFB/h3JOFv+08sEytrxGTixGcwq
0eC72Wr0ieNMB0aH4ZoYFGTQLsdr+ZOem12Ve9U6uANs/i1WBBy+3UIGegAWPX/1zQi/vmt7HzJu
xbYQS5vSa354Xfcu/o38Lv6imaT1c9Fgct/Gum4w35ie0u6hXOUrg/nUnfajdxtLbp5zCckOYdUZ
PLl/VjnK78eXbHy21b1dbA3l0Km78LvcV9FZjMcp22jIZMTgixczAVqE36w7ura3ZXCa3yPff1l7
Iz5CzhUE4XiVgVN1fORof1hosqGfvhdMLhH7zv35+tWu0n3MWhZnHuVRuxkfiEN4Do2Vca+sGUI/
aMus2jlJlOVhrb/QuP6aej/LyCT1spcBfP1dKDhfPV4e84EJ8VJmiUfjd+V1o6Ee19Orc1e8UM+k
uN4sL//O7wWvgrVbVJfsMnzIwRt52rBr974g+36ZA/OLSIyIllflS426ijgzvPv4B2u9163jpZwh
1o11kWdnY2n3fbDvrsnO5ol+KuwjbzUJMYxkT0m3IQg5hA7FgfZCMr+LrXNLUmbzUVw6TIs4ED7U
k9UxgDCRykgpOfFbredkbx7IRMfeT6Y7xyh8PC/a0Y5uu8uc4Sw4J1ebN5Vm+yRRnBpaYOcS3iUP
0Fa22S51d2jK6AyOTyu7CB7L44tGzpCZX+BkMHsxNmBfHlVk3x4X17TLNzF6O2bl0AMRHxYb49Sd
lVU6IJgA7hXVjqROKzoFwHQ2DTTQj9El3QGSzLZivBGteCXbvdzPzwUW9UP6JfVVif8Lhxruwhcp
PCdcue/2e/Ur3fcrQZml4MkevebAlHXD1LNcPSOFckbiSaTO/M526tP0mFW+RUl8bhA7lAdqTR02
0FK1IVCAEtr0++LCR4x59CJ5MMfHKbzIIossIU/VB9JCSfpduVmaysUSiCS8iAaT5yJKO6GXUxze
2FKmdKrLw8g/PwVH625UPP7Ffiue0w2f52oFropoVqmuunHNT2XwkmkpImK9LpVV3qN+mXvb8Myf
OfXSV5ARNlaObqM7K2N5o6jUt9FtsZYsY5JFZzEQApD3D4tykG/UXYz88IDcBbGAX4+a4cRvPl7k
nvH6Krn+eUoukYZQZxCYLe9rpP5PXii2O5p2TD20I/h/UHVnxIsCYWXRAILQa1XeUS99jN7jx44X
/zN/LB6MT/5CxqPRAfIBfDCvOZd3xOutkFFRAyAB+M5teXhwAz5SWXnjtjrAUtryiK2RAB7RWxGe
fZUzcLdM/D4OiJLHZcmxYs9ve/vIeXZC+t16fXxI+N9ET8ld/hC9R8/tMcF/nW2zc98hU/S+8gjk
51vQL18gSfN14jp/p1xMbLjcwjv9zYy84nW+1/e/ZYF/a8n5/wdEIih70rjZ3/y/7zn7f/oPaPKf
/xRW97cv+/lou//x34ho+MN2BYvHNqmrpBGzNfzX4BDrD1Mjks5U/7rP/Le0OvcPgzQPh8YHwgxB
dzbKy1+Wlu0/ILxBTrTgqxiGy//795aWlwbqHxss2yLRguglVqot1eE78udfH1e6qiVG9r+rji06
p6iCFYlL7dWWbp9sTVe01cokkfsYmXOOW73QoWHnZSjZN4BOBWdPF7HfQeBiD4+9bCKvQIY9tw5o
t2kkFMRnvx5TXqQ1GDahzr7GXW1Rarlajc21GqJf0ioMTOlZoUR+mgSdsSVTIGdTYdKxAamanLkz
UvXWxD1g3FT06i+tgLG8reywUz0dSOm0LxtVOl7ciDLeu6FCq2IPIX+PQproNa9ExEoh+VQkBjjj
cFbjoSD+oEibft3W5vjmuD3Nml3FLpC0OUz2pSiHbO32Md1bmBmGsYravqMCkjiickcknHQAaNF9
tS4Q9BOk+di14BaqwryiKiiFoW373IRzYWlhGPhp4eR0y7kzcecM4aB7ZatoCkkbLXEnqlth4Okj
PDy5VjMakYDPPNnYgkTvsXO4QEWjP1p50w1kNSgK62Cl3b25k2PR5RsdR25nD9G1VyI2kyx9QEC0
ZcgEt2md7iwIJWYBtExycLwL8pE4Kyfy+GLOMluCySBJq2MtUSSp+2Arjpn7cqotxLlKvuuF5Ewe
hBLj0+gaAzlSNMHZGtPuuzErQLKTBgqi0booWU/1zO7aaDJYndLMPaWTCZdFVYnUIo5aSGxBOYBi
382N9mcSsDe3BSF62qEIBIENiTZrMcA8NQq3cTRGgdfbvZptZSxS7WCoc8JeRub22N2KIZs3dV2k
t5bYRDqKrs3GdSmovzO1SWhx1BDac59WsfRFiqSStwKTeOC6GNf6wOnWSh6CQI+DUJeHcarblyos
6ojosoWg0+tzZhK1Le3nUDUHNs5dp6rX8WQZk8cbrATgZQp14xAmo/iDEquky7RKoiHdlgHiJrDA
bg/4Lt6EJHzILfRFA4mhTcrCWP3Xafx/Ajf8OQxC4xz8T47jD3D33Z/+5z8GOf396/56Hmt/CFNn
D93UDc12rSUJ++8HMpFMAFk4kX//GWfh35KcCHXgq4gUJQvGBuD1twNZURdmrUmUk0kElA4Fl7CG
fyPKydL/dVfe0R1TLMlQhqOby8r8Px/JuXBSWyNIYjXAIulvaT/BDY1SFy+M3VMppVLZJgCo7u1q
asdNr0sr25tJiBg+pJ8xSe4zHUjcUn+CqZw32WDRt4yxq3erKbXni8xIm4FZQorbp221YbUZZapx
jnbNfHbF8Ml3zHFRJF39q9TC4SEJoec1HNUPVlzH5mZSS4aQY0dqjJkNLrbroKcvHPswKldDaXT0
eUGk6x7IWkHy0FRUb1IG2n5U4uhAFk93tNJRXM1CJshybWI8LvH4j7agiI+bIEIhCfNvyVEBeVyP
vqfQ6B+00UEWko2CMqZb+Zs5duWuSUW5GqEw3IejFVIIVhr2/zQFvGDUSMf6UK9UV2lvZjxmh7aq
4MxPk1N9KNCKRg+8YFuw9iSqW0l45LWQTnQ2ht44tW1a3txEikfAq+NaKXtSIx09JgIUyNmqBaih
e4YSIsAVhFnmRdTsnHKs15Cbir1u8K9qlxhM/M1CHK1G6z+l7LWdBcv3vssG+35M+uZuiMhI9KxU
aQ6JO+FnD9McVdUV4WcL6uI62b31ICJt8PUmJhs0a5S3sYjbvesI7V5mOW3I4LTG2pbCOM5FOb0k
fRI8u2lebMLYaddVF1h7O7Gyd9NKtHCd6zmbHGMebYxg7k6maLrjFPbD50hg+hGElv7cF231NDtN
8TgLvVxLxVLOcuyqPajc/NpZdnVtRqFuu8QsVxAb4deb86Yg0PUYR5n7bTfBaz6MLMxMab0FWzG/
uJnLTueIVki0lfOT83g8J2SneRPRm7tZVHJl5ZKxaKF216bpLYASTX8fV0b6MXZmiUivCOZiSSW/
YJ7fZWX+ZCQ6jXBryL05OvqjQYDWpgjq7rHsNeurkXb9bM4yuKWyij9HIaMnGRC9kciSMVNG2vi2
1+OBZc9Jt69DMwd7LW4pSsxAZ5NOqBHRKGaQPQo7iO57o4cdFoTLpa2ixMMKzogq5UZct2DeQ38G
yX5uUkdDEtLgW3puohUpjPfWZWwaRfIGQCXcGpPQrwQt5gdIkKTm9qK+RqLDildLc122Nq3ebLIN
p6n1sew0FMRxCO51AmS/yfgyr43s8Ri3lX0MqzBZdwbYXyHt+UMrZx68Pld2SdUPZ61Qqic7MpCm
CwKTr+GY00sRFXavU1ht0zDAs1S32XEeJQvK8PT8wjbmbTcU0DtSE+mq6CsyGsZuuo6DE60rXXPu
Bmuazr2M5t0Qa+OdG6ujX2m54g26yVrMbCZndZybs2JL7R6GFR2XriMRBJnKLlcuqM7aXCqbxAmG
VSN6/S2pnM43s6leW8Qxok00aGh6ZwsCi8uBbFHzObV1pJZYubSFekhV7Tm2kwbiPRQCn+K2uJMi
Sq5h1HOUkZZaEc9lqW9qrjNAbBtl2mS1blwsMIMASCz7Jbfir0kLiWLl538oem3+bEgnee9mo499
SsPY8eF4DOVGn4ZbqiS3ztCWSkpq6nNqDAM/RN3Ety63y12ma91Jk5N1CrSIIZhTMuyrXFntldip
b25r9zizoE+hnDtBQpZDYOt8A2FQnnRdjyM4RSO2LKt7CqqJcEzo1eipnaUq17SRHKl8DJgh20W4
rZRmgonbVZIa3pju3Llha0Wb3VfRtv3JMjVwtVkQ20z9U6gzq9GSbClMdnsWRWqxB9LkNnvnFZFZ
XlRpA2Kt5VJKjRP5CRaZc+S6NS7zOWqWsOefjpb7Wsx9is6nJ888ZBhUSGX1ZB8xLurDsmWyRWoq
KaJ930A6iabzODT981Qbw2ue2sYh50XBKZqOheoPQ/M1zIppekbXMitTy7pmrz6HYu1nIHkwYjCS
7rzIbOXNcvkcrBWhS9iScdStu7EYpK9Ao7lok2KfpjR3ch+KdVp4PZm5jJjjuH+wJicuV2USqr8k
ZxCDsrIptt3sEslWRNZQkWDmDBWinDLjblMmM1jLYJqb1dj247mZ9PmiZObymWjl8FJHefuhTqim
kaXKHUTBfmPPTbupQuFUXlokyit8tGVWOVkBg5pcxCs7MxUGTmDG7gXIL1Yj2y5h7NQ2ibWO4YlP
3qiW8Z0WcbrppdkzmZgrFgVHblCioueZeU0/kPig9wMGEuAgn1AkJVEIsur7TZ4R5Ey0WsWwHRip
vh4KjUHMaNQ6Y2Rt7D7rrAhU3yp0fi+zaM18PZoWQ/x8wH0CUdg6ZU3P8+WabmaulLTpMHT2jWWt
M2OKn7MsTbZ6anaA83gkF6xaQKMUIDgnc4rGlRqPULBKQOuRcTIsChUvVqvquYly51U3ybejjC71
10pZRomOXa6bJVPXlh0tkQU52APCp7IENMbZzhgjhpmZOMWRWa3jrApvDaTvt9mULkmxU3wCi0RU
UD0i9PVq/NR3FrvWfY1zSk4VFsxMrXZaB7G4ii3jUjhW9JGX/Y+rB+5NygwLSU0nUySqy6FKJ7RT
7XhYB13TPIUwT0+QJfdV8q1ntr3LIUU8uoQI70vOb0730Z6OWTsor1LN432eKYzlYm7B0ad1Kol3
bl2X1sd1WEeq597Ajg0yCsWoLbQXAjpl4FM+qq9NAYlHNaigSPezi6X7099mQKwBCd1deTOaIb+r
ofbcOpKtfVnp/duCgCSJWJUbQzXlZ5Xa7eMcuSbLhHnM+J68PVRhkPZIiYVmnrVeM66zAhNnJbRo
OJIwaG4Mu2ATXqrodHmlIK2GdcvjE8fmgc84Qc8RWukYyWQ99KN6U2fDZk6TEdh9mJJJmswCpYHD
sZPOV5L2+Vqk5lR5wtXrs2u0+UsLhAnfpNL0zBwSwEgbx64Vh6FnLpAQidAM1wafavb72ma6hgCP
DnlkWn5HQ38x7L77VXV9u6tbc/hF3BvzzZg5hsqfICqnM+J4XSaPWmvWX3Y6B2vC0kOUANCav0bR
ASvv7RqaeJ5rfGXqZY1lrjPqkB2xk/lmdAb4i+2vsdfMt1zhPuggqV+qILPPOQfqNjZ7Qpdbqe2V
VnE/kqTAq5eKrvIU0Qf+XE6MzLVBTCbDCAGJFLLz8A5aoH4YW015Te0ue6gN3pVYbxR1k6lh8m0X
JdFkY21dCj3PvslWte7LqkqXyjnJPhbc/MGNQrmFNNA8jlVELknU0MWnWtB9cTWOtlfZDTn4/bAQ
MrXJgV2m8Zrq9P9xxNqdmOY7UUC69wprLp4SOtRr2urGndnPITdpMlWaH4eW/hBJJyY2YZrZ+ArN
7KGdEiYMpF1mqNAWRMOgptxcOfrUvU15iA7baFIenaJmOE6kZPfQip7pgfM7zrELaj4DWsAB78na
mAVbZ2l0l0+6E24IuW4f+MGThwhYFmlfukG30Ce5gLw2tSHhrZFA+W0UyXij7shu1nJGt7Hd/A7Q
7N97xWW6pvYCA8Ic1dkhNESaHBII9eqfA8r+S9P8F0A24iSYCyTI/6yJ7r/+VdD889f8tYEGfAiA
A7QFjGtnSVv8ewNt/+EKPjNUKqQqQisiAvEvDTQpjMJBB3VVTRP4OCx6678omuofLgnItqqqOjGN
pkAn/Xf6Z774XyRNZ/n2mmYK23BJTrSWoMZ/kDSjtNSDLtQAzJphcgf9GLhwDA/Oq2PF3UJmDB+d
wGn8PmuKXTfIaYvK6TzXELLfR4slZbN6i9Os30UlZRnnH0kbkURJtGPt4FozXiReguZX57jhlghT
dhQzqz7KLgg3qmittWP1HQU1t1O33FOEya9ctwVlHTL4mLJkJZQyPnGSu4yw0+otWe66sczJwuIg
aBM8DoPT3GmKle6K3xek9vuyHGQV+opoUBj1qFrTJmg+9Z7+mjikvvq6PTuvViOqZxnEM97d37ey
m1ePYpTGoysl4XDG8pla7nExWI6XUEhwCS/3vNkp8XOg9ra1DrOlEBgNGb7ZwdA/uIUZbsbK7XBH
uPrA5ofRMvcZR+ezVRNxAjro/NSVHBwqIYlJQwEhsHKmtjlGsJ7xgtFdfKoVsgF3XkAuPVmZLx0K
MZoBsMKfNB+Y8XZKOr0njdPlno7MduYmFD9KUaqP4NjEOXAcbRPoo3oK9TR9oLiSX8qsz1jClTzV
VhFFGckdimwPWhHCQFaB63qQPHRqzHxst/TB2ecQuIKuUHFfVLV3C7RBxEFCbcG7ckkv3MTYcl5d
ObnM/EQNGCOalOfJFkc7KSf6onHaDUE2v4OWTHE0lkW9aZzMxVvRWNl34JLiA3b5XtWHhjTpQjLD
F22qN0BWGtwbsWlkn3qtMk0Ttspue8vVlCe1OBHUWx6qrFcJLlCDbDcFsbxkozW/BrabPlQ51Cq/
GRz9yaZaWIaPHT9PPRsoxk1vUAEYAz2jr1dV8aNEZnA3aXOvkHhvjvraNpq6fjKWDHqytC0cyY76
EiwJ9emSVT8sqfV0N8rOXZLs0yXTvl/S7fuuwx2YxhWZ90v6vdtHJjttJOJPSzZ+FzaXSIbxJrbw
F2c2mZPRh6qK6CmVx8J095psulUUlqMXqEN5BNAXbLT20RgvVmVdjCoGGG5jE1iUkqFyLjIcHsrZ
XOmZ/BmdDAVZIeG0na+NGHZmLbDRJvcmtM9Qhxxs6m7oBTWCP3nH0sTjkCA6T4VmMMYLNmPR30l9
PFaM7ZCewFE00husJ61lgZGkyvtx1M3vHv22MaKHke+qdrH8hCA/rh3AYHrzM1bjxRQdfM7K8Ju4
5ll2Tn1NzBFeLliA3IXs1zLNdBV2a8fsVGmW68VRxF4HBuf+zW6/VOrH0oKsOTjXarZ32mg/mX1O
mZiOh1ACPyeAHODqd4iRRg7Vmihwv7OoO+I3KejTYvUSUIwfLMoGyCwEVKeS8MxkSPZQN0NK54ad
dgsDVJMCMjZtIqk6oQGyDyjFLNveisxx7lJ3zk9xmLM3pdr5Po3z51rYzRrUKl6rvA9WQeZoXqPr
2aa07mA1Ep6c6ccqom0hqf2zHCizQ2hBqDYKM2PRMndtmJC2dcdIJQjoxNoEezXEj7VjOtnKMudd
j6aetMxSUC9Hv3YDr4twvc2mdQkpE9fjYO1mDadztTQoY+ybRcQygZLeMlllBwiO00rro9JHx+Tz
jKeiVwfssUyc3XbyuqTHc1nXTG7tNjnxgarOtNGsHQ5YO9ziqyCDfNbC1u9c0wNdU2/StGif7UT8
yuL6xaaVnah2VkneHQFpEmLUje46kblzVJSMcUzoEInuvjuufQ9wc6sovO21HXh16CBxOemzsOZz
kcavbtC9yqFYOVH9mjl4FGj9d2UONsdqU9qP0X0ponpnTwNT4pwVtaDpnTVnpriPjPjdsVCAiiDB
KTPLJ9USWFe74MOoW38p9MIQVDpy61VthlOB2aKamkc1sg/AbJSLIadDRe4nAJnRRxQjSzt0PcTK
+2jIdosYO0i8rAWLnJFGOJBT3o0q3hzTJWI+5SaylXSF8OUetfBTn6Q/uxi7mgJ2SXKsSmy5yaOj
uCvFOkcGtuPo0ALS882kKp+U8SI6dZ9UCKPOKF7GFqmn4F2BxXNiokPWlWtFWEHswQ9zPjMqqX8F
/LteAUqiOnLcQayzb6Mg6m3EeUcMaaf0+6a4AblZI7Lmp9pNac5onO3oZ4hzktuyEK8RghgC8WWK
C1ie1itkI1S6OPoJJ+4lidmtp2UGrTWckrn4JhP/aAv9VLjua2cnhwb5C97KoaTfAs5aP1nGsIeh
wtRdFAzi3SgDj7RQrIKZHMmYImLWsW5H5U1H5vWdHitMA8+ARmXT8Zp0bvWgJ87JHoqb2cvaF87w
IOCR+Vb/lSfKNjQjIuGCm2GRT1HKIdprkU46XBpV72MgN90S9h8YyZNQE4Jycu7xBOXXE20cb1wj
I1wkcEwqfbkz1IFzJTOfCxnsrbCPV1YpWQxy7H41Roa5d1wymiOKbDsjPVVryhUfBcKQ3BivW5BP
m6Dvwo2D0rDL9egjCHuU/uQ4l123dwyY67MLUFMZ9erCp/xp0N6EUZDNp+uogmBrTlEiqk09uCzn
TM7Mwavpq2oOWs8yIpy1GuZD1dxH3HZ+4CqnwGzilTD7dJ8bk4UvR01uGpH2J7WNTXBFol07ULZ+
KWo0ngapsSQt+9nY1pBRdq2rv4qATPwxcce9q84lzUJSEhICXf1OBURsrspajc09Q179u8ilTRYw
BLLvPnZJwY3Myb3QiwRngFIz7o3JUdZpMqR7GznnRjxxs6pz1FdXcl358zxXK12rnU0eNvwgel50
EHL4u3eZEUx7U5XxWcwJfVxYEWPUFd3dBPl0M4gIS6Mbm1dN5NUKkUJc6zzBbIkkeKSaDO7VuNI8
qY4suAh1StjXdmcCP6qQt56J7q1xtYB9TiWpaK9qS98aGnhKI0SNhA27SiMVTNWsnGDypHT8uX3q
QKPt1YqTY8jp1DsE3/t2Csdd0U6ETORTQmtdv6PYdZ7gZlxJZZg/4rZgjUZJ9GOXxZfIxuI29SWe
0sHdhoJRcN4QNpyHn4Duf1nasNaE82A0ZrK1lfarmyt91dvFtDHtaAdGa2uabbzVdc1YOZ1ky8eV
2pqB0TGb4vhNazIqS6H197jAMRfmZueDWGBA3qDcIQf6lYiJwhzFcD8xs9imQXdL0uA4h6SDDpV7
iTupn8wCj6vRZ8YvtD2sPpLcOsO29nFAmULKO2Aghtue0ge/HFr7VZn9lIih0tMkDl5VX0U9YRyl
cioLRzLSn7g9I4xvrnjKBnU7tey7BtnPlKT7hDkwcKeckfO02IH03j1nrkEg6iSeImRQ8nyDaB+2
dYXMgKE+cHAZRy5bfLAyNnlnX+wMUhMQkHMK+H1bQ0heiYQND4Z+/IhLSxLVe6PISfyDYDfzpK70
OHHvwFzNpNXYiEvtNF0Vq1cvw7C4AdphrwPXPWrphEHVHMeNGbq3wRlOVj5eyjxglz9lGcEItnmw
JOXk8QEh8+gE1SPv8jpQnVOadM6qmHVnHXXLh0Cdn+eiXjuCfQ1cwUaL2UENaFgiTQFSxeffp6Ti
jTNYNSOkuHDr4LlXZ5JaZ+OSxe9BxQIuJ7nRBMy5WQyHLv0Q1fp30B0bhzySoTuYOqksA7kqwZS8
zjoXexK/qrF1cJPslvQcEXWfpmg6irHOJwsoNnKmV6usAIq2x/gdPNFXcrQw9MSs0hOn1hXxGWWl
+hIx0IgEi64hg/tUJu9plJ5sbfaCSjuDSdxPRjIdm1illRjGa9Pbx44JiJV/WjAqGCME6ZOqNy+D
Up1MDVGbn8lPY5K+hOwrAtQkYZ6ZS0GK7b+GshYVcmtiINQtr+6JpEw4oBONzYisv2S2iRZXrUej
YDeqHsZ1yO+VxL1ncL5zqrFcPSXrsCh3WsAaSS+fO7t54+nezLZyAljiVY61kZms19VUNxfwfOd0
no9KlTAUI0s/tffazC5txLZVh2HXGJ4d0bTrGafPd6Gl8dnVhmLH/OuUmtgKU2NjLwQ00NBkBdVK
thHDSzDi+h5Tsc6tiazU4DLRPcUY/LvB3pRFNQLgWKSewfBDq31zB6aGjlP5oZ7jxjHX8H/OYkje
psK4WeF0V4yDurH1YqlIFV9kOdiYxGITUJfPtV5dkeE3Q5O75wljxgrLyFrmY0HviX86ZFpm05gW
amlsYn1Wj9EgPlK3gWlos8hqmdFDiPoe5LjCA/bN1OCus9jvYh5Vg/5K637LfRw99tSsDxJDkwcS
HU57kdhfVplLXx8x1LgOJvYWV6mbq8Ir7fFBYVjpzHO47mVxroPIwDo5rayJk2F2Nwrd6zWpc/MC
dQVB7X0gLN5kkKFOISZfxV2nusvOQ2WzDE3f3IWlslWVhDZb6ai3Rp2PrIBpsbOHUr8qA1PcstHp
C0M3YUM6jxKSxzPUlFUbol1PljXs01brVb9Q8C0dNDnY1yZScGKbeqBcY6GGJGDZLPtZ5rTv85l/
D+HvPsqxHFEwgjpcdaApZi5kZS9daXuZGlQsMSpO/WuYmbL4OQBFnNhG5ELxiD8Ht1ypps3CaaUF
LIq3SuiDAiKcg+EuqjZclSAI1b0eGsTFW6G2H4CSPudWnmwVXZmP5mAc/n1Ty//rHNw/G1P0/9xf
GJVff/qP/93OsnzVX9U4C/qYwHMiTIG89k92FvsPxwEpz11isL75G5T7FzXO+cMyTBstjuPit07H
N/yLGqf/4fJnyGa2zfonPHXt3xHjdPtfmcp8g0UtdFD9bNc0fv/5P4hxDJZKSKyVWJlanivbRiqO
6k+q3r/gU7FSLkDVeiyCxaZmN2lzBZdkE4/jxDgLtbQYaYoa1ID+f7F3ZrmxI2mW3kpvgAEajcbh
sX2Qu1yja5ZeCN2reznPk9F2VA+9itpYf1RGIjOrKhvIfq1CBhIBREhX4XKn/XbOd86fs5h2Su2K
G0c31jcwjvGbsjtKSZhuOK/MXBQLl30n9SkcbyyCHar1frlCE/oqgCwAd8tIkqIujYNU0gSMnV3F
hI48bknS1kJ8uaOJfhrXQlPKYRHZwGjFzsY0bNncWtbiPzlOpX/bVWDSXemn2ORAlc2XHywFLVZV
opvL1gmGZVvlKO3sAhvGn3OsJ4q8esUfMk3ohlt31iUkfuiOV52FsridMQPjTWrJ9hzGpmj3U7wM
XzIqvcfGkb9BHRqeiL0g3TSFOK2bea7V15A5xtp0qQyzo7TlGkJU/GZ3LnvsCPpNAJOuN7f6UA25
/Qh9xklmltlfd5y1NT86C5UkH/A8GFnmW7DJwPLqfltXeXALFpAqlqOV3rsfVrzIWZiAtoTCi346
c85mXvYag8rXTSuh3Gv3y0xD8tlqJT+WOFh4ZrALh2hCnJBPdIOgczeime0fYzl5ajtkGBibKOyW
J0sF9Q+pasONtuFwE+x4e7T8hRck8kJ91tOSv5lA2HfONOsnnkRjux27rPnBpaC4U4VrU7q85A1p
gCIGmGzL2X0Zg7n64XIxQBSo1HyP1SK+YqNAUllOuZyBB8anOWP9GcveLfvKL0oOAR0m/s+lYG7d
YDUO9YNSJkFwUhE7NO1gckjGRBLiXzat/+GygfUzsLMYT7T1VsE0FGmxj4BZic7FmpCQVQsfrt0f
nelxisceV91WcfTa8arMR8kc5u2KJCz0TZK5i141Prz0LKyDj7lZhL6UQe0iMWRd/RgMkemOniOW
N1tZ+MF50iVyl/VNYW+MGNRrES/NsnPHDNGvwlyN3gdXE5sLa+HS5FFWXXTRxqUiqV3MA2vhU/Tz
rd+b3ZDp7KOJ6rjZIIHye0NK8h8rBMuHKRyDe73+6IfSs7ufzBGSTXzlBC2QWB3NVl460fFvtHi3
g8F5M36FJlcDqL3OfuS/9kmrfs5LVr7NcDMAWuyo41PekbWsxiDU27IIDbRt0KpqO7INzYY3mgRi
VdYxhuJUv4sxyr1dlOTI0GFU0C8ZOVWxBwFGWbJZN0cK2ZoIHJeNOrXKvajKEaSgdFQWbKt2AiyV
zQzKn6fVRwkoKg5OEIW/qygd/H2ZGeeFm06JXtYvawLPhnjdZTn/3t5lc9RP/hjNZD+E/P/cdbG4
M4sVE6maItQq1srWXAXsoM/hPtjv3WxbGBpSBEiFxaZ1I5cy7dCx36BQvfkcjQGOPnTatg67sObJ
U87r/V69GMCEHPHIjpj7/dz9kjIHdvP8uacSTLKJ+UrWfcOtQc3uRV8u00+1YGDsamOl1m5IXfJa
Qz4rH1vc4vlTzuNIgjTDtoVOcJ8B1bwrr615x3iy46kprZ62z6FOYnool1JB5IgyDHaL4/EUy5p0
uWVn+viJqGf0pkhpCdhaXiMw5RnhjyH+Rr1SiVmzjapasxnHykhAt2E7j1eMRMB/Tt81W79uLaZZ
fH+2w861dC478ImLwV0JixzjYwS+u+DK7hNgiaYfboT6OaUyePEh0SdTFPMubT3mXKX4zcpoWkhR
d3Ah7BmvK9YPziL7hVxf6u3Ijq47UdfOUyv78sGx4LK4CCTOyWnqtjjIeDSPvessLdpyIc5ulsS/
Btudu52RXQPLW2Xq2bULcGmeM+3ybMkGUSrKsui+COb3kLfjLfd9/ihspKulTciyQiG9odNYh3kI
PbQl2zo1E2sa+bbBCvGQl1oBiS8LKDXeMsghg/Et5nNpV+lvpzettVUDyMA1cIeVb+coLEjr2RKP
fFxohuj4cDu7Gpb+3fL8LLzsUPRfatVk90LaYtzm8zD/WnCCLqdkUawEqz33K2QQv4OpY0HmlOTL
nQssfVNyVWGQDa3s3Kc1bxQ5WAnF/IEs39htxmr50aqRQJDJ36U23g2/rAQNUCe3XNGSA/sXQ0iv
zP9tspLwX9611pMBAQCdGiqXbQcrzblNtUnEcbDH6SG3hJtvZpAqn0h56mSHlKV+j33VsURzMF58
t7rE/YaZWoy7zKvVy/+MlN1/cHf/ZJ3/n/bu/y4/TV199v95qBR83Z9DpReyM+/vgymMh39lpN11
nR6zoWSydPiSPydK+w/my9VtDV3XlwyXUmL+/jlTWu4fDhgIVizndMi7MfD+laHSC1YH92+hFU/y
0LUBrZXjYT8jOq0O8N8NlX4+pX0RpvlOop/cJVE+j+z5aZfR/ZinEFz0BPvoF4bqr7LhDUosh51O
04BcstKFt6Xxmg+/tpKvNI99xHzHIhxYmDhny4qfxg+IzZ6zbdiT+dLoMboeGsVk1RQTjmjWVs/e
bCiUiJdMH2ULg+0Z4e5FPYsTEGbxnsOVbj03fO7byL7Ks8Vcz538zKOpfzdD/TjqkHpaO0GHxaPT
F4sbMtgae2nu28TPXuD5rFMatu6tM6WE6BsOlz3rW6fDmLflZdR6yxGvQNSXHEbIFcNYEFZt6uQ+
tdrkw8kXTYC692g0QB/ZDb4acYvS5lyP3tKSMvfi+y6plmC7mMXTm76KsA/jSecPQ2LIQ+dL/GoN
w/TA4dZcRG7isFEqRRXPAU3IZ9a0ioZTsh+7gOt0gXvyOCt3ptRymMtLS1fzQxf67bnuA/O7jUV7
p5cesLHr7OqhQvg0+9zV4ZUqdXrRgSWfVVxwYgjbuoYELdkVMgr7cQTiKzZZq0Dfc11cssa7w5Ia
FaRi6cbPZsk1C1msMr3qazNc8dgqnlU9whkFHSUe0rKf2yn2j5oz68mp6gka2gkevHEMX1tySi9q
jslPG9C0N8B/tScc1PCClUtU7kTPtX0Tdl1yLLKMDoKsHI9Tkiyspch1zw/mRsGVm+C8bPoUV2Ur
WY1Ki4+f3vpuPJ7YbB481FnFIewNBd0Q9qLEK5LzSL7QH2nIZujpLxfg508ZpFRW62Z5zIVFFtud
TXPFsnBJ+FQG5qpCxGS/XUCpcjZk/ttioyr2hdPcGOyOi7DsUtj4XJthY2t+0m2XuPF9MhJ5aWRG
9LQz2ZPOy+Q5DKeIxjbWLWM8d1Z6HcV1d16ABQ5xNXW/Vpbywp7aUW2FhOJBnNUxDmnQykMXelUJ
rW0MOzV8ad2x4b47xEFKx2jp4VMlTZFc+jHoA2sOl2rDmcEkP/QJSVdMx8Os9RpZlJlDUjFV3TNj
V3Rp2eWUbAegix/wsOImthdi0a4fXScKtTlEq73xuzB5Cx3t3/NHMufYcR3fEWMzl6EO8id/8WME
wnJ8GDy3u0nnxhk3ThDXH0rG0yvkBJVVY9RuIqv4kao6PeoJBDXRcfHUNhHx9kVTCBSG1XWceewr
Lt02vmYX85xua66V1wDXO5X5zr7RzvKGXcmGG24gW2yardcAp9VBml8TGKrf0yCyMXG/ExCm83t2
WJospoET8pCuYx0GJffVKk/uJ0bkc7qmK+JSjGe3Dpvfznf4wnGH6iy4xJEA79Ok2ISRdTKpQ/OE
/R3caJ3cvrM9RVvEUg3cBxYyVrfDaDnsvCny5TVNsvklC1Xq7UJgZZYRNTFYgU6k2rUERUjK+TPw
r52V++A7SWKSPrkVCdChkdbBWsMmohbOcZpDdafqPMS07eyWSMo3g5V881j2imYFnaHoKJrOc1C+
977t7pqcUXb6RriSZR6xHmrArmhlvEp00M8uaymtAoCvqsr7HY/tRWtN1JqGKV0YKkuGc6RxtKI/
sbHBe7LtlFGlXZGyQgQYH6wtJswhZdhcWFYWf+hvBq2xJ49Is+PycclVX9y73Ki5IKz0WvgNsvUr
05bqScJzu/nwbn1DbyaJAeAglYrn4S9YnA3ONzRV8Jh+Y3PZStD5lqwFDHWRAEivjF3l9NYD29dx
HwpH8/M4qi3uprJmri70NHCpMJN5weNlfUdYFV55UqWQX+4wq2vNx3XnrIvaE6mb49T0hDTqJacF
wZjoaWEbNz0/whp5I06CC4eIKG6v5vCqzCL7Ni1rn+xLZF3Zy0hLbu2ok2Ryhx10lpPVhO554kZx
H4c911ivlOlNMLW0wg9dyjLosU9eykJmV16QsdzLL8sf3EQm0igT70W2YpuLpDMl21+Kpn8STYaa
6TIVL9xCxupxSHuqVXyWgP/UbsQCTVHY2XYq4Fw2Y6X735Gc0t9pmhquHG1AC0vahCd8+uHWzwVZ
nJIbxMxHEmSb3y1CTj3YNy2Jm4sQpT+9mCVdDA3RDoyRxTm5XuG/dKGJnxNL+pvZ9P1XUQTmDKdu
Hq18tbAqHgAbqwVGrRuMYPjHFMW66do3FcfmOnIxnSbZDE8zbOEPJgwKE+JEPyazez9nMjl4yxSc
F+WQNPfHgLVuntfS/xKQUiGfPlU/oMum43peHo1W86tYEtYeDMgypzHGJ4lBAnhRcst9n+qJrEPC
yQ5Z3rAaIELvPZELyqHE53B6r/qup+Qsnpdzmgm2f4bNZH75bm7dRcsc3nHFdK6qynIu4iDqqBJZ
v4kYG/dXClx0Y5Sjjw1W+102FcAejQVZuxSamgTLT9ktEykwUjmUIRuzdJxftWhHwDritlYzjW6N
jo55UaWvuu0pTiCg2r/KJQou0zH0t8Wc9dPGzsDStsmC0zfLhmqVSIj2yl06QdQD1PrnMvn2XRzI
8B1LnTBRUZb13vC9h61MuQ/neHSVmZeLBVzrOst7JD8+sPNdDBBBjGCkoAg+4U5gSl6b2CbAzo1U
01nh9iu0XtpYtSbW/hfgU7LHNrafGT+zdUcEh/+hI8N2l1gFhUUG9fzASRQ8LGloPyRCyqNUXo6u
n0+XkBzmy0oCCBorDNk8Sd7laminjAdQzEN2bCKslDbrzXPjWp3YmKWO7murT37ZXZz98DvV/wbT
Hg9T03pv5CT8Tc3N96fb4hMhuYSfxnHq6hD38AS9HwyPlfGx+kgV3s68TIcqG/Vz3PTBKQ28+rlt
lPvlFEN9qqF/oIu1uCX7AbxRhG35qvKAgabMqwjqSeBf68Vxzo4te8DmPBko3tOxvnWDeAVmksK7
tZbMQkWcvaY8O1E5XXexnBj7HAq7q45CM91T6aGzrMS+de0DP22HW1TNcpN03XzuhlBeSIyyvTP0
gro41/QPZakCD73LwM8hvo7FrnIHG4ezKsS+S8biPBeV/gnHhbaVFFX4EYI++ZsRCYWdeIEJqezV
0rv2SHDfCstSl5bBAtz2Vlb9SpuyerIbnwv61Inx0gwD6kFfKuczYrV8urXZSX+dwSv+rPg4Xik4
lIMcZX9UOJ2k9yohLzMxZS3MhETcawfBiB+5eXewl2rRBxEHziWIlLyHfyivZ+VhzBTK849hslDo
s+SmeU5Gt73KOH/oZS2y7jUc/OjZeGF3W5Ofuu1FJs9VGtMTzTDJ1krdrySRret27zdh+eXFTn3s
6wSHrW84Pjulp1OUBiBteZNhopGe95ijxoLPeDrSzOR6HUEET/fPvutpZ2frsTi2UPtXddEaRtNC
f2SzZl/JiA6Yr++v6Yn7UPXQLPXwmVqzj8pUlKziEDml8PlsX0e5Sx83sTS6SNJ8IowepiFJ51LR
TMhUv8uMh+zbl7Cu+SB4bAENsHlYd8HRr8PyuZkBhhovnplsbRH9KBsTnkpBPiCQzloHWI2t2fpu
1O4GPmcgcW08yB0smqI/zREpQ6Yt72MpnDo56LpK4IOMR70kC12jvmNxxiRZKmOLX52hM832aBhA
FOgJF9KFcFngSRHG65v2OnIWHhEC2X9bCXv8IoHocsA5BNl3TWUGon8eEYZKzKoCwCh548f82d4e
fNUQlcQG93YYB5HFp2lRVA6UdjQeBxMRrK99kq03vmytHxVs2v9HIvu/h3mlIL//OUh+/fm/DuNn
lnb/QJP/RaNYv/KvBpb4A1QbF4qmURpGXfl3eWz5h8evFRPLAT1w/h4nF84f/AN3BdC5/mOQ8g3/
FBuEjUKBEcFDHEJd/StCg1D/KDQohUKJuhAwbjjCtcV/FBpi7rcujFq0c3WA0BdSulCu5smuNzql
5pG8G61OUZhx5x7Lq5xLw8946ZnqGks37KTV0vlNBjJONrqrQzpfZyAojtVsuiaGkvF5Q3U9qblQ
pPFaGQ5XRTjAHYLSpTvhZS0FUqbhwTzH+RDuFePa7yhoOu8iGRks6nSghqGgkuDenqLa3y9iKV/4
yI3iPuU8YK8So0TX/nbFMvSQ7XNsXVjDJBdodFHaJwHCVQInYGwB+q2Bv5TDj9nab1V6MfVh1e8i
n3v3TgQz8a6xaUN6DgAex2PpFYV5XkpNRmoJcJFSHMpgo3iFLhM/aMMjBt3wGsC/0JgQ2uDjJWa1
c6FqjjRGKwKdW5UPu4kei5+E+/ShnYnv7nMii5KCvmh+S1IUp/0y6uXN88x8Yl7lQmaR6OMeJIX9
G+5wfstyKd1tVrQ2w8qcaWgNho/0HGBQkMkqKoylsBALB3UZ5eXOkXHy04+n4BcTeKF3ApCLiSiD
mN84XtWf5jZG7bCmhfvaaHl9uB38Cjai9F02W4ET/xrSAJCI49PYhB0b7vI8ctaCQt+K7NM0FJ4+
lZETL4cljAtrW4o6kvuwj/L7ohIDZwIDVnzVizLvd5r4PJv/CNSw03uURLyg0+rxanLoXAFFqLzr
mow6G4qalP6NUsbquiDFFxIjHKPierEGZJhWODQOipn+v5BsVberx2a0TqTruxfZKfdtwrksmdvs
lhqwXFtPw0wgEZo7oeaxJ4zpQ2YOUXesxrgC7snDptuTqsbRMOSXf5uyXj4WEGOqLT3HODh0sf+W
F14Rbj0j9a8qnAYCW1lbP9uNGsVGBhPoYaC5329cqGn4/85V1EOOo4vAnC7pemYrxP52IZm4K2yh
f7RBlh7/dfn3v0Np0Z8SMCb8P38wv3yOzb//23+lAPNlf1OAeSp7UghbKv5mVXr/qgA7f9gSNReu
wBMhT8W/hXz4J5zT/CWBWgJyFTzL/3wqW9RuOFyWaMlw124Lx/uXQj6BLf9BAlaKKwVpycC3ud8r
21mPjb+XgCGOBncae3/rV2p6RxesP9pK1RFMEIIqNTJoq2Dc8rdTa+j90TXRQ6ArceV3Wp1124iT
s+q1i/LZ3rpquHPb6aP/LewSb6ueC5Gmy0ali3uBfZNcBchMh3xFaio/GR48xpdd5hdgfW36ADlE
Ldew2MSUs3RXxWv3p1VcyzSmONaIS2OmyymDPEjz5GbKucByzYHL0ZhaaGbWYSTajv0qNHWrbodt
N3BBCu0x35dBBTektDrUc2jtHTF20GhVd1kjUu/LpJg3xq2RtoKRSLHV9cSQ7cpxXiHw89uO6pxt
GKYk3ye144pwar34CI1JqkbcZSEtmE77MsXgyE6FCVdkkz7pEHvSSwlErKn3cWnvZpeliMZGnOkc
NoJ7jg8oG+RbnQfTgQKfX47Nc6cb52XP3bXcFhkhhCLsv0AyKVKPPK6uXsOKVjNY9xqckEBBDpnR
eRWZdmrvJrzyXZotGmTaRsQsOQB7Lbs7nXvsNzAFm2eClEo/r/c3ZRVQCG7qeFf2pt7H8IPUUDZD
QTdEDutrqeQaxXS7tCz59dQuMe3WXbuM2aAdoaiSScGgPsx+cZuVn5GX/FR19UjCZj96Zf1IcQBr
KMOKkqSiL6P1ul6SJ4gAX4uxZHnf0nVfgdOX+0nmRH/D+T0pjCB0keoLIvUihvUrBnSCtpEoiRYG
dz8mPzBKa/6b0btrolfFsIcDgEhdJohN8Oz4pkqymIbjwm71i3JpKENWXzS1H15sREjDagruGkPQ
pO1oHvjPpnXDduMjeaX2shMWK1lRtc+yWFhRqcLu1eOQR18hoIVIafuwm+CiZ+YM7Mgosj/DMGt+
I7xwMWi6JqAp2m+by8abh0vkF/EC2tK+YRHgmxBCP5RT4HAwFBaSd5wSPHJa3/uF/Ii64Jj6CuEp
QquKMLCtqW8fwnCcrmu/p/k3jUq2DMtGXHdRpB7Sdj3oa189Q8mJZ28sejprY7CbjSupgpBJFl6U
SUrd6WgxpOdmGZ6CJvSv2qr37xb85LcKdONCeW71SeY+OqNHOledIrC0ceucXV1J7N2Q+RsomgrV
gUOyp6zB7soHIiPBE+J98LyY0N/VkDY3Y5lRJAoMGN4yTtT3Vj2Yx2TIvHNic4/y6sXnNXWn4BaH
KVq7MNJjIvA1easbfsppYkNjCSgkIovD3C6ICXoqICYDs00tsT3Pey/ncGag83vmrHyar5JgoK9v
yub8ujZG3Uc5gwvKic8gZkIp9cb2PG6NMUjCh2NHAOLeGL41g6CwrRmWj5lEFIyBk3YvYe3RCFib
jAtwEfMkDAgBbvNGVE90EowUfvhjl26dKNMEdseIz/rStBGRB1ZItJJtiYn9GC2UO9uspXCKKNx0
LuGNLZShP2yFX/OIq7ypOxrf7h7RyH6gMxXPYUk5bGZ/lpO/p/glpsTLmbuL0bsck3uEL3cjTf4Y
0/Va4SwXlymf+BLp8GChEr7njp8clOVS5BHU0jvFsA0IainaxhR18nIECGFVk0X+YhONClWVQUwf
68GqeRSVESEsMnEPmR6Q6JcOFbFX/q+IDpM7OiCo0tDTfJMP9OEXFN4Exd2QOK+2jIdLpLt3Zx6a
X11O/Uhc0ilKN6rlon1xJ7gMRH3UM+E8A/az1OFeDuYHpRnJtkhD4JkA5rmL+KUSQyWZ5ZfRxeSb
m4Fwz24MaAqfartjDVXfP6dja79MhuOlDma663l6Heyp9Jj4HDxvSnG2ErXioteKZRuSigrPqHFT
ue1eCBAon8LNJDg2BC0OkR21B8ym5uR0qjuu1Tj7Fir8i66C+q20a4IyXKLTSh9F7y7boTo1ZXec
REP9vTWK/RxTjDxXFJ73tV0cYVhOMsi6JwhwIFoOkr0/EWjJQlTo0XLzQ5kQpAgUHXdK9iRPmNyu
gIxBXuayONPrQ8yiyMQuWjzrLu1Sog2yKI9p2zQXdTI12IVVCEw8G5R/27ooSelvbbSNW8LFSJNj
Gt96PKx2XWui7Zzoac+9YiJrQqYsCsmiKbHk22UEm6PGg6NCJnN/SHjwb0RdQE3Z7MjWqXrxams5
ex3dQAvESR+eZo1ovqg629pSs3lhdvqbmJNzKxpHb4RBk+9C98sv7xvfdXYjj0CQj8g9JVFBDa1j
jXsvTvq7KSc2NQaBOlg5/XaBL54k9ec+AXzE9LQ7pa7KX2m58X8n/P7IFyh4j9QlUcanHRF13+QU
HxK7c2muFtJtSOF0jn6eekO4AVnUoJdO7i8h02PkeemTpMM8po0VRIqtAh2sXV234rouvXK4EHhO
KEnCI4YipvqcJOFWmByf254bLmDO4L8RQJlvoOzYehRyUUUOKdGnDKplTOXRLh3wGJuCXWlmBGLP
mAB3ecvLbKspOGEoqVty2mwpTf1wU6zGrl3fyIna+oam41maahdS44ObTiW+EzxNtE0xu+xSNb7w
zPQ+DOmGi7SoEHjGob3wsig4LrqVt5BJwxW3yGBL5I2FXL6xLoY6CB55BmU3HEW3lu07LgTd7P1Q
bdY89IXLMGdGogA9+s1Z6Li/Qg2u9wqF6qKVKr2O67w7T1NHEWOV6nOOX/tTjgmfLJW91m0fcmWx
7Pwa62B9hUyS3pdmqj+chB7pmNIGWvy7EZg7CqGGaJhei67QtJrLaS2/orOp3kdGgp4l+VxttW/f
y9w7NEMQP2DtFA8qnAkYIlOlWLco4XIt2Brtlgqp79YtGXbFR71WccVxOuyDtZ5rjJLurLOE15va
Loun4BUPZ7Nvqy65bRcuvvi94l4kHqsC1uIvOZUfS9kPF9ofvbNNdciDQ96Iw4dY9U8ZONZqPXQn
41QtiZc+6+4SeNp7tXaOwduyNwCZ9QdCA9s4koiYhECjBAztjhlxtku779p9pFV7zK0w2Mu13az7
S9HZd+kZz/vsPgvaaLdQLrIr8IHO3dqTVpeue+1HFrJorbLlNCGbYGLpkIo1vbat5ZTesdFr7WBz
miKl5r3iU9nLIDiAKCD7Aa2pexlrymhAho9oeeV7jTHNR3FQbCecsuk8rlVw01oKx+RXfmVrUZy0
RrbRrOVxWSHpAPtulIMacB76tWZOTF1yKvCu74Lc00feMOkJSN6ytx3Zz4sswmV3v03eqCOIZqUe
1m81VPU1Sc+c9BIEYbx6xAoOcqcFzzTANx7uq58c5uP0Goml+ki+7Wblpv2NiwX1IMMqeVovDE9e
KJdLajjiu+bbttZj6d97q5cdrK52vPrbEb1o18nqeTeYQzeII/mP6NsSdwfGcl0672b1yqkawDaf
Iwvtdlnd9H711atviz3/ttu91XkXzZBcVuHSYcevzny5evSLSuP7ypS4oshYmPgVU8khaqu1hfTb
5ocszDxswPnOn+VHQ6DrxZtr9wDS2J0dt85oiBnVlajZ8CkgZU9OpXBlxejSGbqCBZZVZk/1ChvE
K3bQoklsML8lxdutxRQkcl63b0LBTaPkY/IJ9Qdp3N4srl9wRkM1BFix28waBEGwlXqgcwWcTK4s
RCZWLKKSYnnEMfX2eqUmbDgMtKYVpZDWNLDLLOvFa0r6kjXXnhlY/70yGBZCyGnxi+zWWQmNxEOv
oeskQr0ufAvMdPymOpIhGo7linrQ35pwWMcMzFqTnsIH5U6DZQ8cMmtKSK1qrN9oNAO+6VaOxIlr
snRkOumx7vnR34OVPaGvbb61M9/czfPg3ueVm/KRrjqEwRVfgdGGZIlWqCVc8Zb0L6CLDfMiRSIe
RbpUrHhaoRhvxWMgc+0zMS96ReMlOTl6IadcQRYQrlnpmlRa7V3d9PbvdoVvOopIH7IVyHFVy56M
Zlnix+Gb2IloO907K8YDQEEouxeyeu+cnHc3dtyDAe8G3IUEskaYoKCZfdYzLOTRMGlTE2zx4Xg3
fcNEYuWKVJpOlzXe065aqSP5DSCluWK1zEolUQpb78CAeLXUN7bEj06Nwsoy2SvVVMrF7/diZZ2W
Yp7e/kf8+ecdqasU/s/FHyT5tPr3//NfaPLr1/1V/fH+CNaogLLJgARShTSU/lX9oa2FNAmiK02o
a8MLaOCfCKD7B9PLGiqB9UNZkOu6sL9q8n8Iz7eR5dkn5qAv/osNqe5/CpVIItOEObkVCJpjvHVx
2d/xf9MAhahsaW9DVWvOfNr22P6RBD0tLkDfNCtoH9XDwpL7tPwo2NnGlIe+FtOX0zbpsM0NVtZV
4kwhu0sWWpXCNXzWZueAM5PFGZ4qUJJyDXdTjVXmHgNB6opqREr9wFe+6opaNEquyjTeW3AAV76G
GUHupPFqMwYO2TTkZcIHU85sVlkR8Bd1Ga2g4D8ZeKRrfLtdExRsAUqgXTYed599YZlKbAsFkGBH
qMY7QX8no381sM+3i9PLRqfR5VSX1b6QVOVtbWcmyjvb+X3gLzbOaVCqazU0Eq1ETYYRelKfeR9o
vj4bSRtPipoD0PJ7YGaEq5qume04OdNl62bDVeX2xbCJHdodAfkK9Wm7pCJquOVdCdx3G6emujJK
49FKK4Q2qHwgjPfWw23ud4R6Wvc4NEg9ZGrS7PeieSxcBFSu3hOYN/j2Sf9zacEItimHM0HyQszn
VLUrnuNFqNkL/QBFURWfVpPyW/Bp9bwurWa60tyzi8saJuW+Tpz6y64bw5WAGodTvtgO909vveTU
lvoVW5UbXnr0S1OkSR/W1hYxayXGpfMM2UR0e+a9Eb2D4g2Sx6QVy595yzRASRDMPcOuohojNOOH
kP5yk9H/fRnPcXs9WH5bXxgt2Ifh0CO68Vw9vmSU5fzw8WXurDoSVz1qk7eZZBRdz5aZ2UzrBu3j
7CTONlBW9wQCXe1dqnUa1hjnbMpoynziyZ0ifnF2TBTWTLZ/CyEZ7cgyclqLZZ5/W3NSvJJOmqFA
XQYRkQPV51VpX0PxxyuqWJVM+2H+q3KpRtDByEg1xvyPmi0Z7f8ve+eVG0mWZumtzAZuwrR4dTfX
7nRqES8GMsgwbfeaFruZBcwqemPzGXuyKjurqoGc12qgEgVEZpARThP3/8853yl9a7707mTvv79T
XDf2AxSHAf9pqNE6VrbWthfYWlbemNFH0McSCK3ds6NnoXIKeUvfWNUk3srWGNtVVYURJUXx0psD
VH7HTxuiiiYkMYDZ0N9jH58Ulz25Zh+8+r2lIJ+u+6isMaTwgiV/ZZHzcLzS3YoOcl6gs4kIFoc9
poHBm3aO2ww40k1Y8CGo4GCE2nyOwo7OrcKotZ3PBiHfOY6s94SOxRMw0/BxaFqSHkNZAyi0omaL
kY+DQemY5DaynkxtrRVEH6a4mrccW8u7Auj4nph1d+6dkVTsKHOd+7Qb92OWs6OLxxC7BdYhUA1O
Gj/5jamfiJVAXVeFKjeTgQFxoXPqZ2KfFRYnM63TzYjN9uCHAGOUnKJixcs93IIjouMz9XOTmyv2
Jm1tCYa8ZuT8Gqd0Uo2YG/Y9I/GLAX1HrHpyRMfOTNXZyjsKXWynIps2IsTDY3HRTTpHewmn3N4a
IWl7B4ApSNmq/uwwNm5qP0rCNfl07avmCYcnf0jrvQHi99HN3OJk9GF7gdWR+OtGiuiSCpk+V95k
3A3IAuuoNCOuPYPFHUdEQruJYHk8Zba1GTFHrzXV8qF2vUsKQuSYFxxLlsei6EwzMIya5x+aavQa
d3P6GmrQeVbkMNy9NzYZ8BjWWbtl3KIhxsnp8TYkzkFfT48tRmsWVcq8jZ1B4HVLwaXEfuNtND9O
P60x4/DJ1NI9WV3P6jrBBLRpSEOtrdzqLj5Awr1T9c0XJhXMT2Oas3kN69G8sUnv7EWU2K/Mv/He
r7yOZX+q7SqtHY+ei0vNiJcUYsuDHpqAl50bD2K1TWh4Nwov+4oZN3bzxJ1Dl0F0cSbhXUZE2CSw
AbxevC6Zd4p42gNWJsohR6faEvKxHxtWHzQ/+Q3yYWiztQqFa7+mejrrm35MyIU7KQ9uaEB2WoER
wkJR8DS2giFG/GCzET7Da7pUJO1MJMMggyKwa/we7TgvrCzbA0ODPc9yJz2XA0zFuci7ceWXgEBW
no/hqSI+Q6K5hQ288mw/hkzYjS9ZOUGrGEa50BvDnzxhQhDUWv2qm057mms1XaF3vCw8idEpL1nn
3g46CFUIjkEhHfNl0YLjwDKZEYjgWPdRk1Y/iQ0kW0HEZs3h2MfoYjW8ewziftD7ozs4OgAXSsO7
TXkkBZmu6LdkZjv4mRBbw9GTXWbwzF17Vtmsu4w5YuYa24xcjpSR8VB/mut22JTelN5wH4aXGjqP
LdT8LNlAY8qz0h1uKxcOcOs/D9bMPrXkzbufMSGeFJPCTeNHbTDCKL3vJ9Gtm8hk05x209WtbBbE
Vd9BtXTC6poas/9Q1kZ+VDUTRxI3w0HNRvVSDenwpjLgEauqL+Vt1XjxQVlt8RzB9t2ITBrcEHBQ
ms7JL6Iv9DdiluDPLZ7Vc8wnaiVvDQPS3tdGGB+e3e4ALP+yAD/ySXhfiEHGta9K62QMZbdPsKz8
MhyxkOpABHl82l8gkZ07VrLZoeorlqPt96I0nVPzMOr6cCPUskj1l50qwjeBnXTZtIbLzjVftq/U
JeyS8uh0zzKVP7Aegsyinsy6y77Xt71K40DkGZuKL70AUKu37vzkD/RILttftzdr8KnLSjgciS2x
6FxWxYQM6OVrxUc48YPzxgeWpuBQiayOy6qZlF26rTKPYATM8pVOlnKXT1T8xcTyn+lHCEmzZ2Tw
HSe9jUKaprqerLrSjHTfStugZW2of4HNMjBdhLTnSJrdwn6m528U8pblM2VTY9TfFTVgUAvEkLea
ZmtVuMNlgrLTwEdyMzafAh1Li4u7Zsi2k8eqD+zupPkHG6KahuMRFEVyyFQ+v2MwagJOd9XWBxjF
RzTHZ9xcb9ksrK3WfRUogdCT8qTmk6jC96pR/rZ02uw0lsJaxQjlgSXa+shR2mfl2AwbLWQOylsB
A2rSH9MqJNAax80ORDvUJduHLw7KwWwHeeLMmbFTP+SN5l2tPF4at0ruYt/oF+i3ke94XHCchfN1
DcviyWiHg0GNZ72AAWDfoh9UPaCAjrYmOdrxc232w7Yes6VjsFWwbxyF4X+mQVl0FXuKCPdvE+5s
w15rM6xmDaTQmr8gJ0IRN6zR22mk8Q08nods4UW7yWmoRW3ojZNKU68N5tubAp8VN32pXrAl44Xx
JjxjayMCkeN6KUjXyOzkiJkhY0FvmMJ5a8pZvox+t6XcwINfbZXEK/Vx5p2PEQbrbVRGFKN7E/qF
HBtyPcPwasWlEmCRXZkFmElCD/mhrKa1jHQqHItwcBAglXoymrxaomVpdiOMct40zuBe6tQgoJtx
CZLywxe+lfge3KGPrvhO+g/O1MbL3IbNrq/aZtvnCxesFp04tLNOL25jEgLyNd54BaZwV8j9YCb6
Q8SteXDGkmy6hBB2yaWW4U+uqJDBMOr9tNLFYpPl7BVCIFbXnOG/AMVXCX0tYwW9Gl69s9MKnUrY
XhPNyuen5h7CqKWJdHTZ28E+TI6RaS7vYx6pOAQHPJsBPk3zBPtTzODro3sn1NXDXx+j/z2MbQZD
7b8eoe+6pPz8j/8jGZfLNmmnwydFSaAUKIvi9/1ua7N/Y93KFYDbgffsH+wT9m+evzQ4WaZtW//5
r/42QPPLUBIW8AKika/x5f7fAM1s7dowHAjZMZfzVc2/4muz9D83e3vMzBr/AGXA3sb//XmABlCo
KTEHxdzc5KpzsMr7B8xIlCd7PBsFot5GSwdS+yMOKnaFat0YlMNOKIhFk7K1KqANGi0p1sQcn2dG
C/Ki7UQFn/tk6ZhkgWHRN0nU5Vc7RBdFNHnDeuBi4VST2Lcdl/9GRfr7aHBg1i0qiCQquDmg9jFH
IuHOgjDzAJdtkulh4Oi2bPAZm8oS5yo4cN4vOQZqq0Rpq2g4LAHEZMRwg8oFmoYfgjQqiVWtg9os
C+1d+FB6gBDwIh+L4mwIcYv9CA5xWc5bx+0esCcQ56nbN2zNU1CN+maGQLHOZ/mAd+Ax6pdZYMSD
5jGgjZDWZ5ZVQeI2Dmg+XhykDV7aKCwPaorgrpgazXiZ9zK6/nNuN9XBdpXYwMqoNlajHxvPsBcw
W4xdHj+6YWf6FVhFxcuDTDSIQYfID2mvydNuNYvGKc0zNlmRGLtYQnWEsmSszLj1t7Ojgyzs6Joq
NIH+r8ltRlEWi4vu3GJOR1druxslIZINUfOgrEkGOfbecnTBLdbey+SHv2Q1l1T+0o6hpgSTdys/
u6yj9gS/We1FzrEvDXVretntSCgdr0zsw2pL5hc7l5T8zZm4rWwATBEM3cLTP80IdwPdYReSRKRG
pOUGgxWeoMHHW1l7n6bJuVeCBYBLLy4aL5apHc3VEiFTpo10kKJnjM4h15tm5ZKRWAHOpfdAti60
Ato4GvgaHHav2Wwdeac9uA1wHcPJj3OmnfPihvSdCuFVkasBReszL7k6NHCbZbXKJpINo52vw8F7
H2GMVsNR+u9NcvJbKPAcdjq4bhbJl5y2Mi82DlN5FSExI21eDbRVxs1jbdrHkbU2S427CgQoZI/z
YBFad0w2SX4w6cD5qELjV1psFWJ8L/VLJt+N1meMLG6FVtJzGEA2XOwrF8vPgsx1A+M09B5pSF3e
5bzWDFWeQjPDrJFXN5zt+BlV6VZBNttp+XQ2MdHjRgKTRfG8NeAybPchv+RrSOiRc6i0wEjeWcbL
PTAiFM88oyjbrjaYBtZlYmyzXNsmmLE5utCDoitErjYOOPv+RAp9hs0N8cf+SJX5jCf/rnfD+3nC
dz/EaVAZOqf7e9/hWj0O5XHmSo7KYZUoZ2358B9hXNYSz2koP4WP/k70W2eBdKzZOoj+3h+MYzj5
GtZC2pBneWBA3PVKsAGyk/3gGHs1U7BMCwlrp62bP5tOSnoI04IY280wihNRpO4Gc9RdloC00IyT
R6JpxZLyAUBg5TnvBXSBVV4Y9AHpm3icX4wFY26jrLLds9qJm5G/+di8wu6605NMYy8ostXU3hpG
/txa0Rfz5d1csKYxVXxNW6Jf9qC+CEPcu0W+ViIPUkinrv9ZxeGGnNsL8K+Nbg2rVD93dGBq6dHN
P7KpCEQ0/AQBi6hsBqX6kTSs6NjumLOxi/SEQtD4lS3Upu/1U2lMqN3uE901MPeRpHuyxr7TPM0J
/dJzdFD+pRifw7wLIisD1iGZYgrHMreRNZ+tulie1Rm9vtEhRPtIP738ySTsG1SDduGhz/5qTAaS
x+OZLj30ShE9y868heHBKj5jHWoKjoveLzV7bxiNfrhadDSn5q3vyV02ZLe2zeD0mHmN9N6isdv7
nDx3pxZ93i2qF2qgoEK6Ous3/scKrOo+IYzQzVMXCeuD0Nt5WfJrth5ZV64KqnEwbWg/IA8E3SiP
ud1T4axdmxGOSjNaYDjho/GVXbmeMNmE5CEKxmi9L6jLTPTkM0R0Jjw9r2ateEhtLFdx1H1Z9bj5
nxPQP4cILAeCf30C+k/xoZX/a/3Osvw9/ycnIX7/7ychiFIsFTTP1vDR052GzvC7mGDh4tccziC0
T2L20P8oJngm/CGMopoJVwD40t/OQuZvGD81MO30Etj02fw1mIDl8U3+ABPASaqBEuDbu56Gpc5a
qt3+KCakttVmo5lBKQfTczabiicizkFjUfKFdbSBC63aovl0FOymXBk0QksQxizJcOYFtT29u3oa
zIIUIZVCCzAPY1uG8YEo7j2q7NsMUI/Wj7UEK+tY06ZmcvRhgSajzQuHNRo+g32GNQwUTr+pgcOS
keSlR9pVAgINQuU9txNmGNMTZ/pwAIfUFgVR1myvK42snOsNoGI9PPP9xD1Tk6EOfIx/wJ26KqjH
1DynsriLQy3jQT+dCq2Qe9tzTx5nzTUEKjfIQgkwU+M/n7A+rGSEQT+vyIKVXluQK2+/6qK8na3i
U9Z9uzcswKixSash5pq9wYe11wyi5/CgGPXh3VOLdST6jAXEqM7DVJsrmiH55MKY9g+v+6rgWaOy
TLxeo+FiD7IJWhZz8JqbnepqfzPI7oV4HvrBRAe0MJsLYUl9nXZFvGvp8wpUPJI0rMBx2lWmNjZ9
bpdJI4E61Hq0jW1SApgi4WCZNID3OgF1KZvVUuOyNoS6T7L5VeZsZMO+31m+daqkPCVETMEkO3jD
Oh6Q9C13M2SSFlyqhzGHxXvd2Xjd9YagVd0I3sbivjVdYy1HeRsuVU3EHl4IiC9t9fwo7Ki8N50w
OcdSb3eVXmOawMO7TqV68LJZrmHzXAqn7baOZF2MQ5HxDbPxThtNWIUD+SdsRyztBy+YwZ9Rp2wh
07S/at8P9wXUQvqULbFVeKQ3Mmd7bmb1Wy5gdRZKnVpWViuRRK9DXtQ7mkPpHk46ljV8YRaEkMXh
6IhL1OJb02DXcgjIVp5wOUGkBb0AbJLXmc4qH1bFD8gyI2c+sYliMpmp7dxldXn0tB5aoWZVKx2P
4koz7KsqxgspCACVVrGjkFReQi05wBqGU6Vx7bcx1DW2kbuyn17d2jlF44gX126DzDKg6dd84Gae
kmVM5bwu7Kxaj3K+d+1EJatezltLx7ms2U6Dr9nZYY1IV7ElAh0C01ZD3KdGlTp1qji5SJAkiMmB
8gUSwZeh/BQU9dGyPBd6L3LBPLIfcoxuX0/GpXDVK2nDT82sX8opo+zG1n/EVvM6TR0MyPre6t1T
zDsXVxdszakZuZlFv3MtDl3pnLPWKfJL0Q/3Wi/eaz8/FR3mFUaEccOLFJ90v2ns8M2I8gtiZB4k
OoehogduVsVfDIfsP6IAvSoLGjvB4GPu8rQMOsC0TVnibyLM6iRHdPaT6ZPwrvxtbLjPdiLPM+1A
gFnNwO6QOMxqOJCwp/Z7nn6ovP1QkoLDCIsCEw1nIhNuprl8wkPzZU4+98XcoqngLkEyfPNK8djA
2IWdlp/IqoiNpaf3puLkq42AazG7rWRMjskYhLYy6umHXkeBT1R4bzu6jqbE7r032Ii5dn9uG9MG
eDn8zFv7fqqLnYEgBcmAGcDf1Jog+8GBpqvzG2U3n6NgLOLhfz/0yTlNMFJ4MAscSoLDfNjYbnK0
RX8z+fKauPKYteOJRdpDQ8Uxz1boTzlEPTaQKROnC8hSd/OdUvXB7SoC+rnxHPUTXua4vm8dPL6j
3wZJPD2kQ/rMvYyCO073dmRcSts8oN0yObpFf9cj+CSJA1M+FelR1AOwGL05Tb12tFRtbueqvlhG
dJon/wpUoWP4rRyMnfYXE+hRg1awKkYjPIb05eXdwHgR/mqdbtPDCliFHFoNTmVrYysA6VenrGdQ
dRcLegFOj3msIU2muksJbYl9Xn4w7aoLWLtXu5QjO9Yp+UMKi2e+YOaFFvGZJUyIiZ866zFVdx0a
1E5zwnBVqqTYKPanBGvVAsePCSBFmPgrWC5mZ9/0kKpYTxk3tjndutMsgnGIXkZmksBxwgeWyS/t
YiinZHnYhLFdBKglOPlM537Q/fxcmc+22z61WfemRPzqOnq+wQyrGytDz46AGtutVbEznkKX4vbW
PSUqs7f5QqOgXHof1628zWYSZj3gtzuLQwXZr+yBCFZ909Rxu8YHNr04WR3tynrozhGfczDC6zgb
Kg3XOWEoNhZBxYr90FU9VSy2We6mgXKvvG6vkTlFT8Dlr7GC10AlH+Gs4gTKY/50SLSnwouDKqnv
Wit8xw2N5zD9jDxWzDMB+bavzKcKO/Ynj5It4eRaTjQQONqtE1ErHXp4DGMKSVhW5siiGC/Tc9bl
D1mWv4lpCS1k7slo7T1hfi9QCVKaNjFEZTmJa0ae/zmr/ouz6n+fdkp+xu+f7//kiPqHtJP7G5eS
ZfqOSckVAyLlRL8fUXU2b2xmIU6QRf0vyCtnqTQC4rSgUnVd9/S/A68MjqgOGzzsHha/zdTcv7Su
+8cjKl4Xm7MYWaTlBO39ye+Cgj+WbZRBk0vcEgNHyqKKw6p1nWBc7WN8MrTf9GPA6RSnrN857XbS
S2efjrpzcNhDXquW4EnWxxbORW8KhKELah86e00NJ5D6fkoQ0tryEJXgJ6CVimw/pVI+6aVFWr3P
n2LbU/s6Tl9d7JBBqDe3YRFe51kPBs+wzA3W/I629DKybutvIbPi42EeJCbBUtu0HEyD1Mvci0X8
NMZGsUUpR2jT3+qoyEPrUS2SaegV7nGOfMzS0Hw2DegBzADoqzCzoTK6i+rqFFp0mRYl1sdLuos5
E78o3Pw6wcFdnKPnuCD6XppFya1Qe8uVE4n4y1vkXkXuYk+GhxYR252g7ououTaY2tbTt1hsfwvH
jh82X2PnqL256Mqa1IjbWxhC7W/ZOV8UaIk7UKxsq5wfEQeGDZQiaM+ec8U7WO1DoiNp4KZe+9Is
ojbMm3YnClNSRtf3Dwi1lPLwMm4D6gV5uxnIfqiBi1KOeJq+pmURv0IM4LgKzRJV3anH8sjMn+/b
b9V9/lbg256GCiYUHiY81p1gamr/oi2yPd8LBR+ziI6aFRp32SLwN4mKL+636g8cvrt4ixXAXEwB
Zl7X++rbKYA5U/uyC3kNRTTzYNOFvXEWY0GSjN0xdGz36C+2g8QT2X0SYzyxdAZ07dubMLuq/mkv
hoWORebZpcHiqH/7GWZZcRBdTA4cS/NdbagfMhzDFWCQpSTEQG4aLQ3fDLyQbfTtloDyE25b7BDo
1oudgqHAOdBU1KR07+n4LbrFeoH9iPYWILnlJmzaCdfVYtNQi2EDb0y/ib5dHFBrcXRYi7nDyAkD
r7rF8tFCXjjniw1EWH15Ny7WELOYMlDui2GEltmJxhtRLTaCxVKCHIu7pF+MJkw1fGyL+QQxqt7b
4dznu44a1J0g9cSqeSqcc5FXY1AuNhYaBYCyWYu5BdGenLQFKmaHSQz3i2N2LugNLDHGtzumpvID
okGSAe4EOlPdF4uVJu8MQCH+jMFGWyijsN4w7PS9V+46apWoKaJLYS37KPoBwLu6EX3SndimSH5t
8fNonqxp/C1Z0/Dl9bskhltuAcy4WG5h0zGjOW4QF065ERx9nvraDzehKJjYhm8/kWss9R2LyciW
Y3Gp2sV55Lm9djYWO5L27Uyic3DYpNywL9piXEqkw5ardXvsTIuxCVsK8sL3d5LfzicffwXrtW9H
VNSE5cZfbFJRXRjr8Ns6RZtHDwINQ1WD5w4G/GKzAvxgXnt7rj/sxYTlqI737bRYs7idKaia+MPc
hoYtt1gh6tOcA7Dx8qT/AauiONjfRq/02/TViLD4GcmBkhiZ55BkRZpSNWTWZTyfla28+WjVJZO7
lUfus6nxwWQOtg1IO1pCDpNU2fMwUkARVqk8+qVf9ivmHm9FFmBcpYrUS+OzNOSo3TW/QKgkb1yH
bBIqb3T2LjDrj7xvTGBR0pbX1rajGzqtTNwfeNONYFJJejJUmBlXbC7Lk0zkcJYbAYIZvMcpc0S9
q5Uzbvt5qI+iTBNsSd1EAm12UQ8EoLKtzbb0aUpjY2fGfvKjZ7bY5oXSt/y9pyej6ob5Pp5yzqGT
cA7k0pBojaKmCZk7e4EGdrj+0UGXTl6z/JRoQievVwA/APX6JDLVAjnugblxtH+2inqZZzshKHto
oc+kTZ5/eAOI0VPJ0gfqHcVvD/iU4QZ7GMcAfqYVIo031V2/ts2qjrZ94sw0JysAxbC1nLc59VB9
a6W8cONb5fSOhyhkLe5PDstQTSR2MCvbvGlSLfYOXeShBhRO7FSU4MwkncKQkzdI6x4bDUKSW4vD
WGvyFJUdUnc6xaRVXYjKLi87Mlgjpez82Qox7yuAaOquIVb7qkOGPZLY41qzLU9RspVPNJiQ0DRv
a1pAAGlJ41T0BAxWqivChDK5OLnv8Hh1pGuiAZ7Usm3feNTd9fixAVj2xHkhk+swgkPCKIC7QbkO
ea8/dka+8NEBp7xWnlpEGfLL3drgtqRJGHmJbt0OgNQURswLVlfjY2+oVbkkRtM+cMBvTnLQzA9y
mcSe55JnZZAOrhh3uJCmbEeBifMyl+TGVviHouMYKipnlXrBTA7/KoN0nDwZpt7sIYK21UqatUvu
gC3fY9z5xYMRCueVZGnU3Cu8L+XGK2rno9Vn/hIgs+uU5YbSr7ACI4eAgEKeM1uv/jJ9s36s6FWX
x7j2vcNc0J8bRL3Z/TCkNf2M8ylfGmCM/eTN7HSg5snVrGToryEYkb4dcQymbxU/uHijZYnsD2lV
6Tg79Erf5H1oXZQRJtUacQ0LwGRFI6aTqWS8arWa4Jxtl9Jurmnu16hj3OIGTPMCgF3X5/a+d1rm
XKUjfsHJNR69OcsvETXbR+R4dz+4rYdnQStPvs6frsHuhHFD5G8RGt8Ze19zVYQeXOzymX2kwdE+
q77ViCGxZSupP97lftm9R2MDkgKm0ZPB0UOpXuxF6kc8frvyNFFfciw4vqy9FnQ6KWa5pChwCa4Z
0ecvleXi8tfHhX8fQILJAfpfr7dXcnr/+R//+x9HhuW3/b7V1vHBmxBBfbT6793130cG6zfH9jmx
w65h/4Rk/zeLvPsbK2ac8SxBNJszLxCEvyv8nMM9zfdcRg3Dx876V0YGe1md/2mr7bBTZzzhqzI6
uH/eapuFmBaqSRDrRv9aAwg5C2JPzw3nd7mZqmk+aqHUTxkZ2pl6Oee+rcjPruggG+8mYwq/Uu4J
FPgpUmI3tVecii9us514bHS4hTKWbhxMrdVYYW6mYA1zGU1rEbpM6sS/EL+rE0u8GVvTlFFbWk9B
lPFeWTx1O84tdJ/aRh35Z5l61j3MmH3lDMHUAVEH30SrGj5D9zLorQ+Jspk5jed29KOaHfs1nrEE
Bpw+JhuvS48SNRZQwomrlB+JHOKj7brsAeYx3RBg7ZuNFfGEXIeCWsqlV7wpglBO041dsds64D2N
QNZy7jnHeNoSLx8x+3bembGCjXYlo3jLEBKjYs843fcj59xn1vbhTZZ8ycl+QnCi0IJZJR4ifFTF
6L0rn1dT5dHnJUmV33PPho+A/BuUPFlXazgvcaBFuWcu1SoUoXEN+atZqICdLHofkW2d7ylHsme2
RdkPh7h7L7arS8Koep5YwR88GDrvjU3mGkhL/zXkVf6Yk4k+8QXELSbjikJ29zmaqEQKeo/nle3k
hE9TGlTXZtXG1xiH5BHYeH+wm6G9yF71T5pSGt1xTsjuo0iarUz1Q0zBBHaGugL7oiCP5wBpRPfo
JMJ4h/XPzpANoUEqvugImbeUzZjJGBG5VQpJGPCG9dlDhcTStqS3qRCyf7lWb+07qlyh+ERKdS+D
YXVnWiM7XgSdGH5VjVa/x2aJZBDOTIk9xWtnzMCQPLjg9ZfQZ4mu8ii66WYpd5lTG4cyESX9vSMe
+TqEZxmHVpCqsnuUo6vfhoT46r0jFkhi1VUVR5NKozIjhszPYcViVq3qYVx1tan9bEkm3YKE7/Ee
glp7Twj13XhtBhO/5pS7i53G+RqJ/zVrTPy2SwAfYTJ1zIYyx947AfitOR0wpt9LngYPfds7p0pP
MTbA7GwphbeAq7LLq9ut8srpjC1T0RG1oHf4mxKvRNi4jgbpBXa/8gnaUgXugrgoqYGy3YqhmCRK
7GC+zUvZ6gqkcrvF7dg/qNiZrwnMDcxtDdc7ao53TNXCIwG9qc5kL9ttbhM7XrkWH4M1AJnixawZ
IA/pLnmww+xxMj1zU4zxR6RaBPnWLpI3W5H45OyBG5WDyMM0463J046Ac5HND1XW5DNClMGoNsF0
+tnMKMMuWwatxdG2cvJovjY2MkxUqWMv0wolmox14XpwhCKw7ynVuOW00xIougLJZDMRCDGRHGqn
mh80mNUH14hvR01bpKT67GhzRN9AUSOqOd2dqXWPKtWyxe9vi01d6/68KVAKwM5bHZL4YBT6V9Yh
KMLk7GN3rbR2QulCtUfNQDOD5D21QVRU+St5B8+nyu0FyJN2S9vxdJnSxrzUcd0zRxkzph1M86fW
MtKTOw3o84Sxy59+1EfPDI54/smJpD/DGA/DoclL0tRh/AIzB2iF2aaPtjP6Cfe5SWJxEvXB9Ooh
3Ml0WiKoqvvhtTLbudiTP/ywR2lsOMdvwZ1ptxnTBITBQfYPeSYw9NaGcwaiwFKln/pmazNrYJzO
R1gG0QLjTHuF7qVXXfGoiXni8CsBcVWaDuYPr4xv7ey0A9RJEhbpXbrHKHKwj+Ruqo403tE+r4vk
Nbe1eq9j4sKmArbrgyioiz0UhMiGTgXOn16Ky6WDKs3Pce6ns63hKAvYEUloKp3CDND1POQs6Rl7
4c7Djdc54dHSHZ7UDf08DvnraeLMRXLjthub8cGeJo7q6VAyeyWjzumfTnku1TpyX8mGopQ5FUDd
tcs26dEeJjrsGenkWoCQpaEtxGWDpz4DbN6UGreLp/BKOk3hrOKKRvu1lmfZDuWSero8tdatbtnb
EEONT16VLDcz1ES+oAF0aquvKuMzMbt+2JDufsowvgW+l3kltlLPeC0puVuZWgqXpdG/7IjnhGT/
QoOgBcmGkz87dXZynjZuPS/Njgml1xySu+gScuHRM0alXJE2u9Gt+6DoKveDyxAzEaSUkdSLY+0B
o6FG6fX8AVFEPfVaRt5TuUlxtvih7LBMGWctbedn2mCaG7dMcedZjZsGvKf7dWeX0Q+QYk0A6wfI
h0V6BqBHmVGEnpB5dwusxkMBySae241h1IDku7QBqtnOh6GfqVRiAikCHPzDI97TGR9wX8M2jlth
AJohQ1502bmOHfYa6J35C+hfZ5/Y+XQ/cxJ5AdyIQmaWor9NnSYGORTD/IxLaDEE2817oGPeS0PZ
CZGZWHOPwBKGT1oA7asY0wzuazb4R6uN5d04Fh0vBcGuRbRp8ZDUeKzWqkuHc57xE2Z7lD8UiR6d
B1nOF5Exx2LD99cDDI9bVUfTaeQiBewTze6RR+x8yVJqvDc0M2VsI4VzYzeizFalpyT7zMzcYARz
fgjltD9kNfQPhU8MAcOdrz5SUKdbNKgCUKheP6olV92PXb0reqvfDaUXbn2eJAe439lPrxP5umHz
BJmFEqA4MN1G7UZPD/lmrjvfsu0CFqj5vQuQtfvFO7I9ehkYIdQhqM9ueLW8PntOu7p/bnQUYC65
niEBzdyY160bh78EfjNU1Sna1BnlwLVjlz8zqrM25Mn8rQRK5677mouqYprD3q9TYpmRZ37QqsaE
L5QkIaR+j0OdTelTmNj+l6ln/rtJoPJjrsgPy6yE8JE0nHAgKVDTKBi47uiNVtsxajX5/2G5+feZ
S5ag67+eS9ZfzXv9j1PJ8pt+n0oMKt9sfMfMF4wZnvWH4K71m86vUL3BiRFfh/13bBvETM9BivNt
HfuLTbD2b1OJ+xv/wvQYcgBgMk64xl+ZSlA+/jSVwNPkDED1nOfoOF2XP98fvTYsIDHB5I4ZmLX0
PmaUznPvdZRLD0JZv0D/5Ld9L2GD2KGSu3qSiPaE/DrOPUPEfe+ETbMpm9x9K0qBcMmbg8Br/n+p
O7PktpUrDG/FlXcomIdUcqsu50GzNVh+QdEUDYCYZ4C7yQLykLpL8MbyQZRsU6Zl39CVUvBmgW4A
jUZ3n3P+IUFfBujYnHQIku0hkI9eSnm4GBcpmibMSI5qQAPLlI+N4KbXSLDlNnZzmdT0mwTxN0iJ
8uZ2jY5X3fc0cz2sXA/bzizJ36PWr6yqdeou3cQM542sibfrRHYmXpZUx567QTSxFnIcjJhVbupK
31zHFAAHTA8lexRc62pHA46Y6/o7oE7uLbol6IoryH1hHZHb1zWakhKaAX54lwFafqsq2DeTn6K+
mkfNTIkS0viZKseDtdngRq4IrX8sIkIxxRtCvpUUIRlRuyrnst1BqhVwRGbPsinCYHoUiQiZk2ed
YuaNMq9VrEDuFjeii80yk6hpDQrbE9/hdUYBwcHv9twBxwpUA0ANxai3VusHQHeoLZ0aYeTkwwx7
tRsvFo2JiMB63kOCYOLYkkK4Ey+tEASEo1fyPAiNtTeMc10s4arm/lyP4TgAEXGtgYLW6DEJZpjS
Ym26uA2TdmUfZiV3tRGioF/p9CwyPb6BGFICRkB15GEVQOUEozG2co2F0i+w5BaosWPTB7KHlbpw
AFoI8Iuo+0LpqBqkX/R6XBEVTEXP0ZbQFqMr28bSIynlRepocBRt4QS9z4GOHishbHLhiVo668Tt
4AHq2mmAgGe/VKKJ5GSnVl0BjpHTdmLnxBNuoB43fjNJc+M0Uiv30lJ8VFrcTU8ulE0vtDanxLdD
rVbO22h95+XVR4Ol+waZEX8UwVWDrpoAQXACd2zyt6FqbKrLdLNB+8axeKJSIJmMxHUa4KEbmmO3
EJWPCosR7gZxE03iVNOBtTjaO7Q/GkANJQ67pkmphxS7MWprXUdXCrDVtUOmYFZiZ3ymOBuz7TYG
zXmlRPaHILLlnh8ZZ17LwiihrjOk7BfgB1i9FX3dpmtl1B7yqhogyYzmUJjOQivirgk6/FSPb6Ss
toYl3PNM9YqBpn+sQFyN4+I9CjSkhzPtNo5rGD8mOA/NKtaIOIMMkpvO3RF5KnS9pFnChnCp+bLY
siN1AbQ2aLr1yKVKl3KSJIvYL4SBakTSBCH+C6a3sdlV6lHRU0cbMS2HNaOPOhVQOBflU3hleKL5
KSG7kPrdCcBPXR1yrCKvpGtYwUroxUPAfK9GUKrYIQB4AkkKxMrUB4aandlSHSEWGJPYiC1p6huJ
i0+sj6Kp1Imbktf0rqVKrSFYlhimUSDxvFkqic40y6LsCgtIfFgDRxw6ceIjYK/6wTKNhPUykzUI
QKoQNiOKqUrez/zwCuhAfOlrMvUfcg7iNEcNr8Fqw+q7ggwiMMfZsBck8CkAMuBSDuDFVoJ6jBLI
KRJHHwqnPY0rOTguQqEaKTWgC1fjA5cRF6wrhNFsWTKgK1XZABHZ8DITMZRPVDhHbpBMPdF6r6lI
LDodKNh0tL5lY+trIf2FZruO4Levz/RYBB8Rt7PCUMo+9Db0XGNrZla1d96igNVn5iV3jXrR1MxD
GHdumvYrWS/7dkxiPC/cuw2pkIsE/AtBt4XYWSzqQyU0rH4WqojJ4Cp1FTVyOYbjOmQOJMeeJvgi
ugXC85E3SdTgtPZhP8jmbaAVvU1lg45uu1zNSChNmHZZO+9Mq60iSFe1AgNVt+89da4aFA4NkZql
gnhLKLKWQB7xfIUNZTjwKuGt15onmiEMiVmHMIz7fh6OKslbNmYziIWPmZAhYwKqBzGsazNIZqbW
zMpykmsOGuzygMChL5jrabXxJn5pXlibk1ZLp8p6PZYS9nJEldgBYJYXDoMSE81IiucA2uZ2Usx1
1FLwTDitcveqcNMrw4a+yVcIbXCKPg1MueId+R20HaMuEAFehJg63FXIiSkkYywRqJddexqCg452
ngCbkgmR3PSiLjcVoEjlzGBGUpEh3qjrGUrA0xjYGXpqN0mlX2zyc7UjJ0SpeiI12HHkWvYhBIzb
E8R25JE3Z4DgsCJcJDlctFCVP1SVfIcH+yX1HqznC3fmJTaOPi4ESKZ3fVroxqmOejzbUPIOBYqG
8jSszX6OIEWf4XnmSjWLlD4FakiqQFJmgSM4KBkhN9gq6nFZJcMwDIZtXt2S2RjlBoO5BM2Ea7VT
JX4vo6dCxSZdGM0NRzp3UspaUFgxfweEVie+OEjJZ8FZSrDGzgJgc3jDIHVymjSYtqQh8qVNqB5D
BcHe0dKOo7W4nuKmdOckIQR9n6GdlhS7y6kXMVgk8PDsWLQea9FtYCMJ6nnuMtcLyra+MIRr3Ykc
TdF0ZLynk0AAb+Tr/SJEcETAVTkV6nFEPk1HbirW7zUFHG+lLBNDD8Ah4K9Y4FOjiPMMHZM16DZD
m/oa6FPEEJqBnZ5wxUEHEFSTMdYB0K2HKtqHgxglPakEvY+a9Mhz3I51AvABWSgXiXKAUp47XWfW
21CEnZ2tzXHZxsGN19pY2Ng3WlV0S5QajuxUGWwAlgq5fsxry060GGl+FPx6yCa831SFcowcrQzd
RMW/m71b59A+IsWjDvVGg8SgQFpUcuemUVUFkYEM72/4loghlkEChclX8G5oMgUCMQKVeEcr1MIa
j9Bb3pTGVK7SCpMnZLQVpEdFC01N3UggYqSxeg3NRTojY+MXY4XI/cQgInxv+yXemutQS4ZOndv8
1E9RxMS5fBJWSX7J3AkFR4gt7f3GkMw5Ylf20MHWRxs4bWFNHTRlTlIDsfN+UCXRnZO2lUKpSc8G
UeDpfSC/1ciLynYQaGv9tnYMeKK2AbgrCxJzmKGUBFqDYiOaXK2gjnMDhQuSt6pm9gSptldlizAi
wniW+4F4uDmX7LAh8ANNd+vJrfEOD25yqFFQi95QCpzqjFwQ8lWxg0RuYwKD69cYas0MUetDNlfn
APTcnmS02Vls2EmvRP7l1hQ2mQlEAVo9prMfvFTOPgal5E2jqmxnrtFo5xnKClMPoRFS6ajv42rJ
Gm1YqdPX0+DY3jgTdnH1VekXxrRLCp6tPSqsgYIQYOZXZg90vsDWln1pPjLrTT4KTb3E3bV2UVFL
fdDVNeyrrMvW1Rt0IMu4XU9RbkC5onWb8qOhxOE8yXXlzkZ0/Z0EFe3m/7tm9ddl8zdnFQ8WxWL4
wAy9KFdZe7lCiaTIf/v7l7PnsRcVVwTdBfTRP/ujlxt65KRetcnqH39Z3IdetE8pir07jNSdSPPh
nh7u5aUmggW3XN7TtnZEUIG9OBHhmyCO0Cx8+DPorSONMzqlLBimHNsLfdU333v6lx9s240v/2bn
zpd4UBVd9zteHH0dNWuUwn7m0Z818OXRIeMC+pNQ7nv26PIRNBdTQvt8++iE2Fzof//o333vXRRP
kvnnnv9ZK1+eH3dQncjVMDsOcXfQoTtDQD3qKMU6Jc7P519dP8gg8Q7sB/ImusG2VFa/7QCLpYUw
8fEb2LKpXtVAAO/aOb7+zIfw3YFAB1Cy7vhTAGafjQAR11ZyScZ2BDBJvK4RsCXsK9sX82xm/hOz
IAX97iDntn1O8fmU0M2GHOS9mDK643V2ROfvcNBQ0I4k/CBAQzy+8D1zApMmXmGque2H1/hJ6Fr3
/g7qB/MIVX7Dkp8e03q+PCpHUBdlHJQ7NUQOECCv68sgQattR+l//1mwACDRYxFZP5sXtCPGB453
5H4fjtc6Lxy6NPxwXlCOSBS/5nlB4eUdOgzw76IGgS0dti/b49lw0I80TZRFUKTb039iUviJxfTz
nrvvesH9w27bW+X79tvf+8HTdvPb849bzU77hf3kzu+6vff20quHDX7379921tCHLeFXJ5+2iA+X
efzvj8/37ZV3rvX0UE9/nHirbJEtXXi5XWzxeJeni5Ade38R3C/ynZ3wQxjw5Ua+iRg+T4UvtXvp
UZbq2v666cdZ5NC2r+LAC3caVhR8356utDfM+ambvlkEwerN/SqAw14ud6+wHfmH3vppnBXdFd68
XUTFIrpfZU933Q0aCy7Rw2pz8GUWmffp3ztiRF3bxgNW8fP4++/e7MnCuV8Eq2ine2h9u3U89M77
n/7I7uMPzxpn29ytmQc3/vytolrMXMQ259CWoQF8+le1W4j9HFcd2vjvRfDpn7y15bMXKm/DlYOb
DxeAvXcnge1OuIsFDm39vCzKcNHu3Ppj66ynh7b+sm3ZgSO9v0jLVbEP8yuxQTv01hHdrrxFtnpq
6YtimMQSe2jrk9ILdj6ibZ/LHVj5wG75gVr4ga3/QEjtwNYftUne7Mt/PfYQ241De+hkVezr+1+w
QvXL6N6LFiHL+b4r/ILv9eZFauzB3Z8vor1jvnMFPLTbf8+ez++Pr/QXfE8vw/8P7RY3Xn7646kD
vkwEHebm4E7h3uK09PYMly7RcWjze/cx225XfsH8/rZc7pshu9zaoXf+EnDqwPf5Q5fjA9un09/8
Ht1nGHa+YRP55jyLK+9+FS33vWXth4NoX1TxOUP9bazxlHTf999246juF8tgtch++w8AAAD//w==
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>
            <a:solidFill>
              <a:schemeClr val="bg1"/>
            </a:solidFill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11430</xdr:rowOff>
    </xdr:from>
    <xdr:to>
      <xdr:col>8</xdr:col>
      <xdr:colOff>419100</xdr:colOff>
      <xdr:row>17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ADB82C-FFF7-E85D-C754-045ABC32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20</xdr:row>
      <xdr:rowOff>95250</xdr:rowOff>
    </xdr:from>
    <xdr:to>
      <xdr:col>8</xdr:col>
      <xdr:colOff>457200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B8416A-0A3E-EBFB-95C7-97AA4301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533400</xdr:colOff>
      <xdr:row>0</xdr:row>
      <xdr:rowOff>95250</xdr:rowOff>
    </xdr:from>
    <xdr:to>
      <xdr:col>18</xdr:col>
      <xdr:colOff>350520</xdr:colOff>
      <xdr:row>15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12BA9E-5567-252D-2A5B-081F71722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228600</xdr:colOff>
      <xdr:row>18</xdr:row>
      <xdr:rowOff>106680</xdr:rowOff>
    </xdr:from>
    <xdr:to>
      <xdr:col>19</xdr:col>
      <xdr:colOff>388620</xdr:colOff>
      <xdr:row>30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2463971-06CF-BA07-506F-9548C6CCBF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63700" y="3398520"/>
              <a:ext cx="3329940" cy="220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251460</xdr:colOff>
      <xdr:row>32</xdr:row>
      <xdr:rowOff>171450</xdr:rowOff>
    </xdr:from>
    <xdr:to>
      <xdr:col>18</xdr:col>
      <xdr:colOff>426720</xdr:colOff>
      <xdr:row>47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CBAF8A-A573-268B-27FF-A712B2F1A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175260</xdr:rowOff>
    </xdr:from>
    <xdr:to>
      <xdr:col>8</xdr:col>
      <xdr:colOff>68580</xdr:colOff>
      <xdr:row>3</xdr:row>
      <xdr:rowOff>15240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E719CF8-B504-AB59-B4F7-01CADF21E6B3}"/>
            </a:ext>
          </a:extLst>
        </xdr:cNvPr>
        <xdr:cNvSpPr txBox="1"/>
      </xdr:nvSpPr>
      <xdr:spPr>
        <a:xfrm>
          <a:off x="3550920" y="175260"/>
          <a:ext cx="28575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Datos de ordenes de compra</a:t>
          </a:r>
        </a:p>
      </xdr:txBody>
    </xdr:sp>
    <xdr:clientData/>
  </xdr:twoCellAnchor>
  <xdr:twoCellAnchor>
    <xdr:from>
      <xdr:col>3</xdr:col>
      <xdr:colOff>640080</xdr:colOff>
      <xdr:row>3</xdr:row>
      <xdr:rowOff>60960</xdr:rowOff>
    </xdr:from>
    <xdr:to>
      <xdr:col>8</xdr:col>
      <xdr:colOff>601980</xdr:colOff>
      <xdr:row>3</xdr:row>
      <xdr:rowOff>60960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3E809F7-DC6E-805E-3B29-082AEABCAC4C}"/>
            </a:ext>
          </a:extLst>
        </xdr:cNvPr>
        <xdr:cNvCxnSpPr/>
      </xdr:nvCxnSpPr>
      <xdr:spPr>
        <a:xfrm>
          <a:off x="3017520" y="609600"/>
          <a:ext cx="39243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</xdr:row>
      <xdr:rowOff>53340</xdr:rowOff>
    </xdr:from>
    <xdr:to>
      <xdr:col>8</xdr:col>
      <xdr:colOff>320040</xdr:colOff>
      <xdr:row>5</xdr:row>
      <xdr:rowOff>76200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7C86AB9-057D-42EC-A442-1BBACF67D0DA}"/>
            </a:ext>
          </a:extLst>
        </xdr:cNvPr>
        <xdr:cNvSpPr txBox="1"/>
      </xdr:nvSpPr>
      <xdr:spPr>
        <a:xfrm>
          <a:off x="3322320" y="601980"/>
          <a:ext cx="333756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Universidad</a:t>
          </a:r>
          <a:r>
            <a:rPr lang="en-US" sz="1100" baseline="0">
              <a:solidFill>
                <a:schemeClr val="bg1"/>
              </a:solidFill>
            </a:rPr>
            <a:t> Industrial de </a:t>
          </a:r>
          <a:r>
            <a:rPr lang="en-US" sz="1200" baseline="0">
              <a:solidFill>
                <a:schemeClr val="bg1"/>
              </a:solidFill>
            </a:rPr>
            <a:t>Santander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320040</xdr:colOff>
      <xdr:row>7</xdr:row>
      <xdr:rowOff>91440</xdr:rowOff>
    </xdr:from>
    <xdr:to>
      <xdr:col>12</xdr:col>
      <xdr:colOff>510540</xdr:colOff>
      <xdr:row>18</xdr:row>
      <xdr:rowOff>22860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B532608-1629-4B96-AA5A-156C2A70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289560</xdr:colOff>
      <xdr:row>20</xdr:row>
      <xdr:rowOff>22860</xdr:rowOff>
    </xdr:from>
    <xdr:to>
      <xdr:col>5</xdr:col>
      <xdr:colOff>571500</xdr:colOff>
      <xdr:row>36</xdr:row>
      <xdr:rowOff>175260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8DCC143-4D18-4C3F-82F7-08A0F81F7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37</xdr:row>
      <xdr:rowOff>137160</xdr:rowOff>
    </xdr:from>
    <xdr:to>
      <xdr:col>5</xdr:col>
      <xdr:colOff>670560</xdr:colOff>
      <xdr:row>53</xdr:row>
      <xdr:rowOff>99060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F20135C-125F-47B2-B5F3-837E74A39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85613</xdr:colOff>
      <xdr:row>32</xdr:row>
      <xdr:rowOff>93906</xdr:rowOff>
    </xdr:from>
    <xdr:to>
      <xdr:col>13</xdr:col>
      <xdr:colOff>352312</xdr:colOff>
      <xdr:row>52</xdr:row>
      <xdr:rowOff>29136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A55B681E-AE25-4460-A28A-56E8F16974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8978" y="5831318"/>
              <a:ext cx="5788958" cy="3521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579120</xdr:colOff>
      <xdr:row>18</xdr:row>
      <xdr:rowOff>53340</xdr:rowOff>
    </xdr:from>
    <xdr:to>
      <xdr:col>12</xdr:col>
      <xdr:colOff>175260</xdr:colOff>
      <xdr:row>32</xdr:row>
      <xdr:rowOff>68580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0BCF09C-2297-4F6F-9932-583F20DE2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620805</xdr:colOff>
      <xdr:row>4</xdr:row>
      <xdr:rowOff>30032</xdr:rowOff>
    </xdr:from>
    <xdr:to>
      <xdr:col>16</xdr:col>
      <xdr:colOff>13894</xdr:colOff>
      <xdr:row>11</xdr:row>
      <xdr:rowOff>146573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8" name="Fecha de Orden">
              <a:extLst>
                <a:ext uri="{FF2B5EF4-FFF2-40B4-BE49-F238E27FC236}">
                  <a16:creationId xmlns:a16="http://schemas.microsoft.com/office/drawing/2014/main" id="{62AFEDE7-EF03-385B-9843-5B860B2D4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de Orde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8640" y="747208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545502</xdr:colOff>
      <xdr:row>26</xdr:row>
      <xdr:rowOff>56029</xdr:rowOff>
    </xdr:from>
    <xdr:to>
      <xdr:col>16</xdr:col>
      <xdr:colOff>7620</xdr:colOff>
      <xdr:row>40</xdr:row>
      <xdr:rowOff>12886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Nombre de Cliente">
              <a:extLst>
                <a:ext uri="{FF2B5EF4-FFF2-40B4-BE49-F238E27FC236}">
                  <a16:creationId xmlns:a16="http://schemas.microsoft.com/office/drawing/2014/main" id="{B79EDA6A-71AA-22FA-E0AF-44E3EEDE5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 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126" y="471767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550432</xdr:colOff>
      <xdr:row>40</xdr:row>
      <xdr:rowOff>60960</xdr:rowOff>
    </xdr:from>
    <xdr:to>
      <xdr:col>16</xdr:col>
      <xdr:colOff>12550</xdr:colOff>
      <xdr:row>54</xdr:row>
      <xdr:rowOff>17818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Región">
              <a:extLst>
                <a:ext uri="{FF2B5EF4-FFF2-40B4-BE49-F238E27FC236}">
                  <a16:creationId xmlns:a16="http://schemas.microsoft.com/office/drawing/2014/main" id="{CA3B6531-1C14-2395-646F-FACCEF5E9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6056" y="723272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546398</xdr:colOff>
      <xdr:row>12</xdr:row>
      <xdr:rowOff>56926</xdr:rowOff>
    </xdr:from>
    <xdr:to>
      <xdr:col>16</xdr:col>
      <xdr:colOff>8516</xdr:colOff>
      <xdr:row>26</xdr:row>
      <xdr:rowOff>13783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Categoría">
              <a:extLst>
                <a:ext uri="{FF2B5EF4-FFF2-40B4-BE49-F238E27FC236}">
                  <a16:creationId xmlns:a16="http://schemas.microsoft.com/office/drawing/2014/main" id="{C86FEFF8-10EF-BA44-1835-BF76D8A07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2022" y="220845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531264</xdr:colOff>
      <xdr:row>0</xdr:row>
      <xdr:rowOff>157702</xdr:rowOff>
    </xdr:from>
    <xdr:to>
      <xdr:col>12</xdr:col>
      <xdr:colOff>543091</xdr:colOff>
      <xdr:row>22</xdr:row>
      <xdr:rowOff>19100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AE55EB-7328-3DD3-9A7D-323887718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856" y="157702"/>
          <a:ext cx="8719342" cy="393033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bey cely" refreshedDate="46264.781272800923" createdVersion="8" refreshedVersion="8" minRefreshableVersion="3" recordCount="200" xr:uid="{4E75AEA4-1064-4ABC-8186-43E7FEFA6278}">
  <cacheSource type="worksheet">
    <worksheetSource name="DatosVentas"/>
  </cacheSource>
  <cacheFields count="17">
    <cacheField name="Folio" numFmtId="0">
      <sharedItems/>
    </cacheField>
    <cacheField name="Fecha de Orden" numFmtId="164">
      <sharedItems containsSemiMixedTypes="0" containsNonDate="0" containsDate="1" containsString="0" minDate="2022-01-02T00:00:00" maxDate="2025-12-12T00:00:00" count="191">
        <d v="2023-10-19T00:00:00"/>
        <d v="2024-11-01T00:00:00"/>
        <d v="2023-09-18T00:00:00"/>
        <d v="2024-10-20T00:00:00"/>
        <d v="2023-06-02T00:00:00"/>
        <d v="2024-07-21T00:00:00"/>
        <d v="2022-03-08T00:00:00"/>
        <d v="2023-03-07T00:00:00"/>
        <d v="2024-03-12T00:00:00"/>
        <d v="2022-12-05T00:00:00"/>
        <d v="2025-05-15T00:00:00"/>
        <d v="2024-03-27T00:00:00"/>
        <d v="2022-08-09T00:00:00"/>
        <d v="2025-09-17T00:00:00"/>
        <d v="2024-04-23T00:00:00"/>
        <d v="2023-06-22T00:00:00"/>
        <d v="2025-10-26T00:00:00"/>
        <d v="2023-05-24T00:00:00"/>
        <d v="2022-08-08T00:00:00"/>
        <d v="2022-01-27T00:00:00"/>
        <d v="2024-02-16T00:00:00"/>
        <d v="2025-08-04T00:00:00"/>
        <d v="2024-10-26T00:00:00"/>
        <d v="2023-03-18T00:00:00"/>
        <d v="2024-01-04T00:00:00"/>
        <d v="2023-02-06T00:00:00"/>
        <d v="2022-07-11T00:00:00"/>
        <d v="2022-12-16T00:00:00"/>
        <d v="2025-07-25T00:00:00"/>
        <d v="2022-08-03T00:00:00"/>
        <d v="2023-05-02T00:00:00"/>
        <d v="2025-01-19T00:00:00"/>
        <d v="2022-11-13T00:00:00"/>
        <d v="2022-09-12T00:00:00"/>
        <d v="2025-06-20T00:00:00"/>
        <d v="2023-05-17T00:00:00"/>
        <d v="2024-12-22T00:00:00"/>
        <d v="2023-11-12T00:00:00"/>
        <d v="2022-12-24T00:00:00"/>
        <d v="2022-09-21T00:00:00"/>
        <d v="2024-02-19T00:00:00"/>
        <d v="2025-03-01T00:00:00"/>
        <d v="2022-05-26T00:00:00"/>
        <d v="2025-06-07T00:00:00"/>
        <d v="2024-02-15T00:00:00"/>
        <d v="2023-11-28T00:00:00"/>
        <d v="2023-10-27T00:00:00"/>
        <d v="2023-02-09T00:00:00"/>
        <d v="2025-05-05T00:00:00"/>
        <d v="2022-09-07T00:00:00"/>
        <d v="2025-04-19T00:00:00"/>
        <d v="2025-06-27T00:00:00"/>
        <d v="2022-03-18T00:00:00"/>
        <d v="2025-06-10T00:00:00"/>
        <d v="2025-09-23T00:00:00"/>
        <d v="2023-02-23T00:00:00"/>
        <d v="2025-07-15T00:00:00"/>
        <d v="2022-02-24T00:00:00"/>
        <d v="2024-02-21T00:00:00"/>
        <d v="2022-05-08T00:00:00"/>
        <d v="2025-08-15T00:00:00"/>
        <d v="2023-06-16T00:00:00"/>
        <d v="2024-11-07T00:00:00"/>
        <d v="2023-01-10T00:00:00"/>
        <d v="2024-12-08T00:00:00"/>
        <d v="2022-08-25T00:00:00"/>
        <d v="2023-02-13T00:00:00"/>
        <d v="2024-10-27T00:00:00"/>
        <d v="2025-09-06T00:00:00"/>
        <d v="2024-11-05T00:00:00"/>
        <d v="2023-08-14T00:00:00"/>
        <d v="2025-08-03T00:00:00"/>
        <d v="2024-02-28T00:00:00"/>
        <d v="2025-03-21T00:00:00"/>
        <d v="2023-02-18T00:00:00"/>
        <d v="2023-12-17T00:00:00"/>
        <d v="2022-10-11T00:00:00"/>
        <d v="2025-08-02T00:00:00"/>
        <d v="2022-05-06T00:00:00"/>
        <d v="2023-01-18T00:00:00"/>
        <d v="2022-06-23T00:00:00"/>
        <d v="2023-12-27T00:00:00"/>
        <d v="2022-12-11T00:00:00"/>
        <d v="2024-02-22T00:00:00"/>
        <d v="2022-11-14T00:00:00"/>
        <d v="2025-12-11T00:00:00"/>
        <d v="2024-06-01T00:00:00"/>
        <d v="2024-03-23T00:00:00"/>
        <d v="2024-07-16T00:00:00"/>
        <d v="2023-03-06T00:00:00"/>
        <d v="2024-02-25T00:00:00"/>
        <d v="2025-04-08T00:00:00"/>
        <d v="2024-04-28T00:00:00"/>
        <d v="2023-11-11T00:00:00"/>
        <d v="2022-08-07T00:00:00"/>
        <d v="2023-09-01T00:00:00"/>
        <d v="2022-01-02T00:00:00"/>
        <d v="2024-09-03T00:00:00"/>
        <d v="2024-07-07T00:00:00"/>
        <d v="2023-09-28T00:00:00"/>
        <d v="2022-09-19T00:00:00"/>
        <d v="2023-11-04T00:00:00"/>
        <d v="2025-07-13T00:00:00"/>
        <d v="2024-02-27T00:00:00"/>
        <d v="2023-05-07T00:00:00"/>
        <d v="2025-04-03T00:00:00"/>
        <d v="2025-10-02T00:00:00"/>
        <d v="2024-02-23T00:00:00"/>
        <d v="2023-07-15T00:00:00"/>
        <d v="2023-06-26T00:00:00"/>
        <d v="2024-12-04T00:00:00"/>
        <d v="2025-12-08T00:00:00"/>
        <d v="2022-05-24T00:00:00"/>
        <d v="2025-01-20T00:00:00"/>
        <d v="2023-09-22T00:00:00"/>
        <d v="2023-03-20T00:00:00"/>
        <d v="2025-01-22T00:00:00"/>
        <d v="2025-07-04T00:00:00"/>
        <d v="2023-06-27T00:00:00"/>
        <d v="2025-10-04T00:00:00"/>
        <d v="2022-06-02T00:00:00"/>
        <d v="2025-10-13T00:00:00"/>
        <d v="2024-02-05T00:00:00"/>
        <d v="2022-09-20T00:00:00"/>
        <d v="2023-11-19T00:00:00"/>
        <d v="2024-12-05T00:00:00"/>
        <d v="2024-03-03T00:00:00"/>
        <d v="2024-06-16T00:00:00"/>
        <d v="2024-02-18T00:00:00"/>
        <d v="2023-10-14T00:00:00"/>
        <d v="2022-01-28T00:00:00"/>
        <d v="2023-08-15T00:00:00"/>
        <d v="2022-04-22T00:00:00"/>
        <d v="2025-02-03T00:00:00"/>
        <d v="2022-12-22T00:00:00"/>
        <d v="2023-08-03T00:00:00"/>
        <d v="2024-04-03T00:00:00"/>
        <d v="2024-07-05T00:00:00"/>
        <d v="2022-12-04T00:00:00"/>
        <d v="2025-06-13T00:00:00"/>
        <d v="2025-04-09T00:00:00"/>
        <d v="2025-06-06T00:00:00"/>
        <d v="2025-10-12T00:00:00"/>
        <d v="2022-09-22T00:00:00"/>
        <d v="2022-01-23T00:00:00"/>
        <d v="2022-09-01T00:00:00"/>
        <d v="2022-06-03T00:00:00"/>
        <d v="2023-09-08T00:00:00"/>
        <d v="2024-05-24T00:00:00"/>
        <d v="2022-06-13T00:00:00"/>
        <d v="2024-10-28T00:00:00"/>
        <d v="2024-05-02T00:00:00"/>
        <d v="2024-03-13T00:00:00"/>
        <d v="2024-05-23T00:00:00"/>
        <d v="2023-07-26T00:00:00"/>
        <d v="2023-12-14T00:00:00"/>
        <d v="2023-01-22T00:00:00"/>
        <d v="2024-09-10T00:00:00"/>
        <d v="2023-04-25T00:00:00"/>
        <d v="2023-01-15T00:00:00"/>
        <d v="2025-09-20T00:00:00"/>
        <d v="2024-03-28T00:00:00"/>
        <d v="2023-12-03T00:00:00"/>
        <d v="2023-07-03T00:00:00"/>
        <d v="2024-04-11T00:00:00"/>
        <d v="2023-12-16T00:00:00"/>
        <d v="2023-11-18T00:00:00"/>
        <d v="2022-10-06T00:00:00"/>
        <d v="2023-11-07T00:00:00"/>
        <d v="2022-04-23T00:00:00"/>
        <d v="2023-04-16T00:00:00"/>
        <d v="2023-07-18T00:00:00"/>
        <d v="2023-10-21T00:00:00"/>
        <d v="2024-02-03T00:00:00"/>
        <d v="2025-06-21T00:00:00"/>
        <d v="2025-06-23T00:00:00"/>
        <d v="2024-05-08T00:00:00"/>
        <d v="2024-08-09T00:00:00"/>
        <d v="2022-02-23T00:00:00"/>
        <d v="2022-11-24T00:00:00"/>
        <d v="2023-04-07T00:00:00"/>
        <d v="2024-09-05T00:00:00"/>
        <d v="2025-07-02T00:00:00"/>
        <d v="2025-01-15T00:00:00"/>
        <d v="2024-10-09T00:00:00"/>
        <d v="2023-03-16T00:00:00"/>
        <d v="2023-06-01T00:00:00"/>
        <d v="2024-12-15T00:00:00"/>
        <d v="2024-01-07T00:00:00"/>
        <d v="2024-08-06T00:00:00"/>
        <d v="2023-11-03T00:00:00"/>
      </sharedItems>
      <fieldGroup par="16"/>
    </cacheField>
    <cacheField name="Núm. Cliente" numFmtId="0">
      <sharedItems/>
    </cacheField>
    <cacheField name="Nombre de Cliente" numFmtId="0">
      <sharedItems count="10">
        <s v="Juan Valdez"/>
        <s v="Postobón"/>
        <s v="Sura"/>
        <s v="Arturo Calle"/>
        <s v="Bavaria"/>
        <s v="Alpina"/>
        <s v="Nutresa"/>
        <s v="Colombina"/>
        <s v="Ramo"/>
        <s v="Grupo Éxito"/>
      </sharedItems>
    </cacheField>
    <cacheField name="Ciudad" numFmtId="0">
      <sharedItems/>
    </cacheField>
    <cacheField name="Departamento" numFmtId="0">
      <sharedItems count="10">
        <s v="Risaralda"/>
        <s v="Santander"/>
        <s v="Valle del Cauca"/>
        <s v="Norte de Santander"/>
        <s v="Bolívar"/>
        <s v="Caldas"/>
        <s v="Antioquia"/>
        <s v="Atlántico"/>
        <s v="Cundinamarca"/>
        <s v="Magdalena"/>
      </sharedItems>
    </cacheField>
    <cacheField name="Vendedor" numFmtId="0">
      <sharedItems/>
    </cacheField>
    <cacheField name="Región" numFmtId="0">
      <sharedItems count="4">
        <s v="Sur"/>
        <s v="Este"/>
        <s v="Norte"/>
        <s v="Oeste"/>
      </sharedItems>
    </cacheField>
    <cacheField name="Fecha de Entrega" numFmtId="164">
      <sharedItems containsSemiMixedTypes="0" containsNonDate="0" containsDate="1" containsString="0" minDate="2022-01-08T00:00:00" maxDate="2025-12-17T00:00:00"/>
    </cacheField>
    <cacheField name="Transportadora" numFmtId="0">
      <sharedItems/>
    </cacheField>
    <cacheField name="Forma de Pago" numFmtId="0">
      <sharedItems/>
    </cacheField>
    <cacheField name="Nombre del Producto" numFmtId="0">
      <sharedItems/>
    </cacheField>
    <cacheField name="Categoría" numFmtId="0">
      <sharedItems count="10">
        <s v="Aceites"/>
        <s v="Verduras"/>
        <s v="Dulces"/>
        <s v="Lácteos"/>
        <s v="Bebidas"/>
        <s v="Granos"/>
        <s v="Carnes"/>
        <s v="Condimentos"/>
        <s v="Proteínas"/>
        <s v="Panadería"/>
      </sharedItems>
    </cacheField>
    <cacheField name="Precio Unitario" numFmtId="165">
      <sharedItems containsSemiMixedTypes="0" containsString="0" containsNumber="1" minValue="2029.81" maxValue="19967.599999999999"/>
    </cacheField>
    <cacheField name="Cantidad" numFmtId="0">
      <sharedItems containsSemiMixedTypes="0" containsString="0" containsNumber="1" containsInteger="1" minValue="1" maxValue="50"/>
    </cacheField>
    <cacheField name="Ingreso Total" numFmtId="165">
      <sharedItems containsSemiMixedTypes="0" containsString="0" containsNumber="1" minValue="2029.81" maxValue="922338.72" count="200">
        <n v="179872.2"/>
        <n v="418141.68"/>
        <n v="156286.94"/>
        <n v="38290.160000000003"/>
        <n v="159757.92000000001"/>
        <n v="50089.8"/>
        <n v="182603.74"/>
        <n v="86458.75"/>
        <n v="36955.760000000002"/>
        <n v="13704.24"/>
        <n v="661838.4"/>
        <n v="99838"/>
        <n v="286183.03999999998"/>
        <n v="185404.5"/>
        <n v="71723"/>
        <n v="618997.96"/>
        <n v="220840.56"/>
        <n v="70938.8"/>
        <n v="64195.3"/>
        <n v="107523.36"/>
        <n v="377624.4"/>
        <n v="638851.95000000007"/>
        <n v="797113.79999999993"/>
        <n v="337210.02"/>
        <n v="60876"/>
        <n v="293837.28000000003"/>
        <n v="491660.78"/>
        <n v="52786.14"/>
        <n v="695728.38"/>
        <n v="354822.6"/>
        <n v="62947.399999999987"/>
        <n v="503524.32"/>
        <n v="117566.68"/>
        <n v="107655.15"/>
        <n v="169725.1"/>
        <n v="14917.3"/>
        <n v="400624"/>
        <n v="815347.67999999993"/>
        <n v="678691.2"/>
        <n v="520366.55999999988"/>
        <n v="174902.7"/>
        <n v="21724.3"/>
        <n v="114911.52"/>
        <n v="256808.34"/>
        <n v="718949.18"/>
        <n v="922338.72"/>
        <n v="66505.39"/>
        <n v="558749.89"/>
        <n v="616272.03"/>
        <n v="19850.02"/>
        <n v="502911.5"/>
        <n v="225182.52"/>
        <n v="156738.12"/>
        <n v="489818.93999999989"/>
        <n v="204983.94"/>
        <n v="194268.92"/>
        <n v="130065.8"/>
        <n v="22759.89"/>
        <n v="799469.28"/>
        <n v="497861.44"/>
        <n v="86714.459999999992"/>
        <n v="329274.44"/>
        <n v="100998.9"/>
        <n v="214422.7"/>
        <n v="30876.6"/>
        <n v="165391.81"/>
        <n v="90981.4"/>
        <n v="159732.20000000001"/>
        <n v="83599.349999999991"/>
        <n v="127861.92"/>
        <n v="90561.72"/>
        <n v="166687.38"/>
        <n v="331595.21999999997"/>
        <n v="501570.89"/>
        <n v="273237.44"/>
        <n v="85037.759999999995"/>
        <n v="144725.9"/>
        <n v="38179.65"/>
        <n v="218570"/>
        <n v="59364.72"/>
        <n v="148258.6"/>
        <n v="278755.56"/>
        <n v="124854.32"/>
        <n v="118775.79"/>
        <n v="469643.85"/>
        <n v="27934.35"/>
        <n v="727507.48"/>
        <n v="83122.5"/>
        <n v="244957.65"/>
        <n v="232617.32"/>
        <n v="38232.78"/>
        <n v="457540.72"/>
        <n v="393561.87"/>
        <n v="144763.9"/>
        <n v="416894.8"/>
        <n v="57755.360000000001"/>
        <n v="568999.18000000005"/>
        <n v="298550.28999999998"/>
        <n v="688884.48"/>
        <n v="226240"/>
        <n v="206508.32"/>
        <n v="56636.68"/>
        <n v="173649.4"/>
        <n v="68863.959999999992"/>
        <n v="279066.23999999999"/>
        <n v="121628.01"/>
        <n v="432597.34"/>
        <n v="270080.36"/>
        <n v="152632.54999999999"/>
        <n v="45513.93"/>
        <n v="16407.38"/>
        <n v="211207.81"/>
        <n v="245508.6"/>
        <n v="176223.84"/>
        <n v="77160.600000000006"/>
        <n v="464402.52"/>
        <n v="274013.84999999998"/>
        <n v="359234.4"/>
        <n v="364775.04"/>
        <n v="658868.73"/>
        <n v="130146.48"/>
        <n v="33655.26"/>
        <n v="47097.99"/>
        <n v="125735.99"/>
        <n v="32771.74"/>
        <n v="241977"/>
        <n v="494132.64"/>
        <n v="12949.68"/>
        <n v="409728.32"/>
        <n v="94833.82"/>
        <n v="35878.050000000003"/>
        <n v="193454.66"/>
        <n v="674411.76"/>
        <n v="77784.88"/>
        <n v="353639.4"/>
        <n v="438875.8"/>
        <n v="57874.39"/>
        <n v="419932.66"/>
        <n v="48079.55"/>
        <n v="252015.2"/>
        <n v="475134.24"/>
        <n v="726014.6399999999"/>
        <n v="131618.28"/>
        <n v="537178.21"/>
        <n v="32189.4"/>
        <n v="681883.67999999993"/>
        <n v="396535.88"/>
        <n v="71874.320000000007"/>
        <n v="295845.56"/>
        <n v="538158.96"/>
        <n v="133195.37"/>
        <n v="310364.95"/>
        <n v="100004.1"/>
        <n v="695238.95"/>
        <n v="142622.39999999999"/>
        <n v="607157.16"/>
        <n v="573301.77"/>
        <n v="333977.53999999998"/>
        <n v="635649.24"/>
        <n v="175547.65"/>
        <n v="271013.92"/>
        <n v="200561.34"/>
        <n v="592138.5"/>
        <n v="81478.75"/>
        <n v="21828.2"/>
        <n v="36245.699999999997"/>
        <n v="408582.3"/>
        <n v="115593.11"/>
        <n v="824118.65"/>
        <n v="54833.279999999999"/>
        <n v="493383.29"/>
        <n v="61854.820000000007"/>
        <n v="104003.76"/>
        <n v="2029.81"/>
        <n v="227896.56"/>
        <n v="153218.1"/>
        <n v="212010.06"/>
        <n v="495154.06000000011"/>
        <n v="453789.68"/>
        <n v="310258.73"/>
        <n v="223626.25"/>
        <n v="238507.2"/>
        <n v="447651.53"/>
        <n v="311683.92"/>
        <n v="40403.300000000003"/>
        <n v="537705.09"/>
        <n v="504507.95"/>
        <n v="387703"/>
        <n v="513612.48"/>
        <n v="242890.65"/>
        <n v="246496.74"/>
        <n v="141729.92000000001"/>
        <n v="148979"/>
        <n v="258506.4"/>
        <n v="117602.28"/>
        <n v="130255.16"/>
        <n v="355936.5"/>
        <n v="31508.3"/>
        <n v="477832.68"/>
        <n v="567460.5"/>
      </sharedItems>
      <fieldGroup base="15">
        <rangePr autoStart="0" autoEnd="0" startNum="0" endNum="1000000" groupInterval="200000"/>
        <groupItems count="7">
          <s v="&lt;0"/>
          <s v="0-200000"/>
          <s v="200000-400000"/>
          <s v="400000-600000"/>
          <s v="600000-800000"/>
          <s v="800000-1000000"/>
          <s v="&gt;1000000"/>
        </groupItems>
      </fieldGroup>
    </cacheField>
    <cacheField name="Meses (Fecha de Orden)" numFmtId="0" databaseField="0">
      <fieldGroup base="1">
        <rangePr groupBy="months" startDate="2022-01-02T00:00:00" endDate="2025-12-12T00:00:00"/>
        <groupItems count="14">
          <s v="&lt;2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2/12/2025"/>
        </groupItems>
      </fieldGroup>
    </cacheField>
  </cacheFields>
  <extLst>
    <ext xmlns:x14="http://schemas.microsoft.com/office/spreadsheetml/2009/9/main" uri="{725AE2AE-9491-48be-B2B4-4EB974FC3084}">
      <x14:pivotCacheDefinition pivotCacheId="16503317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FO-0001"/>
    <x v="0"/>
    <s v="CL-0001"/>
    <x v="0"/>
    <s v="Barranquilla"/>
    <x v="0"/>
    <s v="V-719"/>
    <x v="0"/>
    <d v="2023-10-26T00:00:00"/>
    <s v="Coordinadora"/>
    <s v="Nequi"/>
    <s v="Aceite"/>
    <x v="0"/>
    <n v="17987.22"/>
    <n v="10"/>
    <x v="0"/>
  </r>
  <r>
    <s v="FO-0002"/>
    <x v="1"/>
    <s v="CL-0002"/>
    <x v="1"/>
    <s v="Cartagena"/>
    <x v="1"/>
    <s v="V-221"/>
    <x v="1"/>
    <d v="2024-11-09T00:00:00"/>
    <s v="Envía"/>
    <s v="Nequi"/>
    <s v="Papa"/>
    <x v="1"/>
    <n v="17422.57"/>
    <n v="24"/>
    <x v="1"/>
  </r>
  <r>
    <s v="FO-0003"/>
    <x v="2"/>
    <s v="CL-0003"/>
    <x v="2"/>
    <s v="Pereira"/>
    <x v="2"/>
    <s v="V-638"/>
    <x v="2"/>
    <d v="2023-09-19T00:00:00"/>
    <s v="Coordinadora"/>
    <s v="Cheque"/>
    <s v="Azúcar"/>
    <x v="2"/>
    <n v="3634.58"/>
    <n v="43"/>
    <x v="2"/>
  </r>
  <r>
    <s v="FO-0004"/>
    <x v="3"/>
    <s v="CL-0004"/>
    <x v="1"/>
    <s v="Bogotá"/>
    <x v="3"/>
    <s v="V-485"/>
    <x v="1"/>
    <d v="2024-10-26T00:00:00"/>
    <s v="Coordinadora"/>
    <s v="Nequi"/>
    <s v="Leche"/>
    <x v="3"/>
    <n v="9572.5400000000009"/>
    <n v="4"/>
    <x v="3"/>
  </r>
  <r>
    <s v="FO-0005"/>
    <x v="4"/>
    <s v="CL-0005"/>
    <x v="3"/>
    <s v="Cartagena"/>
    <x v="4"/>
    <s v="V-295"/>
    <x v="2"/>
    <d v="2023-06-10T00:00:00"/>
    <s v="Deprisa"/>
    <s v="Crédito"/>
    <s v="Café"/>
    <x v="4"/>
    <n v="7607.52"/>
    <n v="21"/>
    <x v="4"/>
  </r>
  <r>
    <s v="FO-0006"/>
    <x v="5"/>
    <s v="CL-0006"/>
    <x v="2"/>
    <s v="Medellín"/>
    <x v="5"/>
    <s v="V-895"/>
    <x v="3"/>
    <d v="2024-07-25T00:00:00"/>
    <s v="Coordinadora"/>
    <s v="Efectivo"/>
    <s v="Frijoles"/>
    <x v="5"/>
    <n v="4174.1499999999996"/>
    <n v="12"/>
    <x v="5"/>
  </r>
  <r>
    <s v="FO-0007"/>
    <x v="6"/>
    <s v="CL-0007"/>
    <x v="4"/>
    <s v="Medellín"/>
    <x v="6"/>
    <s v="V-361"/>
    <x v="0"/>
    <d v="2022-03-10T00:00:00"/>
    <s v="Servientrega"/>
    <s v="Efectivo"/>
    <s v="Pasta"/>
    <x v="5"/>
    <n v="8300.17"/>
    <n v="22"/>
    <x v="6"/>
  </r>
  <r>
    <s v="FO-0008"/>
    <x v="7"/>
    <s v="CL-0008"/>
    <x v="2"/>
    <s v="Medellín"/>
    <x v="4"/>
    <s v="V-768"/>
    <x v="2"/>
    <d v="2023-03-17T00:00:00"/>
    <s v="Envía"/>
    <s v="Nequi"/>
    <s v="Frijoles"/>
    <x v="5"/>
    <n v="12351.25"/>
    <n v="7"/>
    <x v="7"/>
  </r>
  <r>
    <s v="FO-0009"/>
    <x v="8"/>
    <s v="CL-0009"/>
    <x v="5"/>
    <s v="Manizales"/>
    <x v="5"/>
    <s v="V-778"/>
    <x v="2"/>
    <d v="2024-03-15T00:00:00"/>
    <s v="Servientrega"/>
    <s v="Cheque"/>
    <s v="Pollo"/>
    <x v="6"/>
    <n v="9238.94"/>
    <n v="4"/>
    <x v="8"/>
  </r>
  <r>
    <s v="FO-0010"/>
    <x v="9"/>
    <s v="CL-0010"/>
    <x v="6"/>
    <s v="Manizales"/>
    <x v="1"/>
    <s v="V-994"/>
    <x v="0"/>
    <d v="2022-12-14T00:00:00"/>
    <s v="Envía"/>
    <s v="Cheque"/>
    <s v="Sal"/>
    <x v="7"/>
    <n v="6852.12"/>
    <n v="2"/>
    <x v="9"/>
  </r>
  <r>
    <s v="FO-0011"/>
    <x v="10"/>
    <s v="CL-0011"/>
    <x v="4"/>
    <s v="Cúcuta"/>
    <x v="1"/>
    <s v="V-672"/>
    <x v="1"/>
    <d v="2025-05-24T00:00:00"/>
    <s v="Envía"/>
    <s v="Efectivo"/>
    <s v="Azúcar"/>
    <x v="2"/>
    <n v="14707.52"/>
    <n v="45"/>
    <x v="10"/>
  </r>
  <r>
    <s v="FO-0012"/>
    <x v="11"/>
    <s v="CL-0012"/>
    <x v="6"/>
    <s v="Manizales"/>
    <x v="5"/>
    <s v="V-288"/>
    <x v="1"/>
    <d v="2024-04-05T00:00:00"/>
    <s v="Deprisa"/>
    <s v="Cheque"/>
    <s v="Papa"/>
    <x v="1"/>
    <n v="19967.599999999999"/>
    <n v="5"/>
    <x v="11"/>
  </r>
  <r>
    <s v="FO-0013"/>
    <x v="12"/>
    <s v="CL-0013"/>
    <x v="5"/>
    <s v="Bogotá"/>
    <x v="2"/>
    <s v="V-215"/>
    <x v="1"/>
    <d v="2022-08-17T00:00:00"/>
    <s v="Deprisa"/>
    <s v="Crédito"/>
    <s v="Pasta"/>
    <x v="5"/>
    <n v="17886.439999999999"/>
    <n v="16"/>
    <x v="12"/>
  </r>
  <r>
    <s v="FO-0014"/>
    <x v="13"/>
    <s v="CL-0014"/>
    <x v="6"/>
    <s v="Santa Marta"/>
    <x v="7"/>
    <s v="V-466"/>
    <x v="0"/>
    <d v="2025-09-27T00:00:00"/>
    <s v="Envía"/>
    <s v="Cheque"/>
    <s v="Huevos"/>
    <x v="8"/>
    <n v="7416.18"/>
    <n v="25"/>
    <x v="13"/>
  </r>
  <r>
    <s v="FO-0015"/>
    <x v="14"/>
    <s v="CL-0015"/>
    <x v="0"/>
    <s v="Cali"/>
    <x v="1"/>
    <s v="V-801"/>
    <x v="3"/>
    <d v="2024-05-02T00:00:00"/>
    <s v="Deprisa"/>
    <s v="Cheque"/>
    <s v="Azúcar"/>
    <x v="2"/>
    <n v="7172.3"/>
    <n v="10"/>
    <x v="14"/>
  </r>
  <r>
    <s v="FO-0016"/>
    <x v="15"/>
    <s v="CL-0016"/>
    <x v="4"/>
    <s v="Santa Marta"/>
    <x v="5"/>
    <s v="V-360"/>
    <x v="0"/>
    <d v="2023-07-02T00:00:00"/>
    <s v="Envía"/>
    <s v="Efectivo"/>
    <s v="Café"/>
    <x v="4"/>
    <n v="16289.42"/>
    <n v="38"/>
    <x v="15"/>
  </r>
  <r>
    <s v="FO-0017"/>
    <x v="16"/>
    <s v="CL-0017"/>
    <x v="5"/>
    <s v="Medellín"/>
    <x v="4"/>
    <s v="V-592"/>
    <x v="3"/>
    <d v="2025-11-05T00:00:00"/>
    <s v="TCC"/>
    <s v="Nequi"/>
    <s v="Pollo"/>
    <x v="6"/>
    <n v="8179.28"/>
    <n v="27"/>
    <x v="16"/>
  </r>
  <r>
    <s v="FO-0018"/>
    <x v="17"/>
    <s v="CL-0018"/>
    <x v="0"/>
    <s v="Bogotá"/>
    <x v="4"/>
    <s v="V-598"/>
    <x v="1"/>
    <d v="2023-05-31T00:00:00"/>
    <s v="TCC"/>
    <s v="Nequi"/>
    <s v="Huevos"/>
    <x v="8"/>
    <n v="7093.88"/>
    <n v="10"/>
    <x v="17"/>
  </r>
  <r>
    <s v="FO-0019"/>
    <x v="18"/>
    <s v="CL-0019"/>
    <x v="4"/>
    <s v="Manizales"/>
    <x v="3"/>
    <s v="V-806"/>
    <x v="1"/>
    <d v="2022-08-16T00:00:00"/>
    <s v="Envía"/>
    <s v="Cheque"/>
    <s v="Carne de res"/>
    <x v="6"/>
    <n v="4938.1000000000004"/>
    <n v="13"/>
    <x v="18"/>
  </r>
  <r>
    <s v="FO-0020"/>
    <x v="19"/>
    <s v="CL-0020"/>
    <x v="4"/>
    <s v="Santa Marta"/>
    <x v="0"/>
    <s v="V-988"/>
    <x v="2"/>
    <d v="2022-02-04T00:00:00"/>
    <s v="Coordinadora"/>
    <s v="Efectivo"/>
    <s v="Café"/>
    <x v="4"/>
    <n v="5120.16"/>
    <n v="21"/>
    <x v="19"/>
  </r>
  <r>
    <s v="FO-0021"/>
    <x v="20"/>
    <s v="CL-0021"/>
    <x v="2"/>
    <s v="Cali"/>
    <x v="2"/>
    <s v="V-863"/>
    <x v="2"/>
    <d v="2024-02-24T00:00:00"/>
    <s v="TCC"/>
    <s v="Cheque"/>
    <s v="Papa"/>
    <x v="1"/>
    <n v="18881.22"/>
    <n v="20"/>
    <x v="20"/>
  </r>
  <r>
    <s v="FO-0022"/>
    <x v="21"/>
    <s v="CL-0022"/>
    <x v="6"/>
    <s v="Manizales"/>
    <x v="2"/>
    <s v="V-923"/>
    <x v="0"/>
    <d v="2025-08-08T00:00:00"/>
    <s v="Envía"/>
    <s v="Cheque"/>
    <s v="Pan"/>
    <x v="9"/>
    <n v="19359.150000000001"/>
    <n v="33"/>
    <x v="21"/>
  </r>
  <r>
    <s v="FO-0023"/>
    <x v="22"/>
    <s v="CL-0023"/>
    <x v="3"/>
    <s v="Cúcuta"/>
    <x v="6"/>
    <s v="V-555"/>
    <x v="3"/>
    <d v="2024-10-31T00:00:00"/>
    <s v="Deprisa"/>
    <s v="Crédito"/>
    <s v="Aceite"/>
    <x v="0"/>
    <n v="19441.8"/>
    <n v="41"/>
    <x v="22"/>
  </r>
  <r>
    <s v="FO-0024"/>
    <x v="23"/>
    <s v="CL-0024"/>
    <x v="4"/>
    <s v="Bogotá"/>
    <x v="5"/>
    <s v="V-375"/>
    <x v="2"/>
    <d v="2023-03-21T00:00:00"/>
    <s v="Deprisa"/>
    <s v="Crédito"/>
    <s v="Arroz"/>
    <x v="5"/>
    <n v="12489.26"/>
    <n v="27"/>
    <x v="23"/>
  </r>
  <r>
    <s v="FO-0025"/>
    <x v="24"/>
    <s v="CL-0025"/>
    <x v="1"/>
    <s v="Pereira"/>
    <x v="8"/>
    <s v="V-580"/>
    <x v="2"/>
    <d v="2024-01-06T00:00:00"/>
    <s v="Deprisa"/>
    <s v="Crédito"/>
    <s v="Sal"/>
    <x v="7"/>
    <n v="6764"/>
    <n v="9"/>
    <x v="24"/>
  </r>
  <r>
    <s v="FO-0026"/>
    <x v="25"/>
    <s v="CL-0026"/>
    <x v="6"/>
    <s v="Pereira"/>
    <x v="2"/>
    <s v="V-159"/>
    <x v="1"/>
    <d v="2023-02-09T00:00:00"/>
    <s v="Deprisa"/>
    <s v="Cheque"/>
    <s v="Leche"/>
    <x v="3"/>
    <n v="6678.12"/>
    <n v="44"/>
    <x v="25"/>
  </r>
  <r>
    <s v="FO-0027"/>
    <x v="26"/>
    <s v="CL-0027"/>
    <x v="7"/>
    <s v="Santa Marta"/>
    <x v="4"/>
    <s v="V-769"/>
    <x v="3"/>
    <d v="2022-07-14T00:00:00"/>
    <s v="TCC"/>
    <s v="Efectivo"/>
    <s v="Aceite"/>
    <x v="0"/>
    <n v="18910.03"/>
    <n v="26"/>
    <x v="26"/>
  </r>
  <r>
    <s v="FO-0028"/>
    <x v="27"/>
    <s v="CL-0028"/>
    <x v="4"/>
    <s v="Medellín"/>
    <x v="8"/>
    <s v="V-698"/>
    <x v="3"/>
    <d v="2022-12-17T00:00:00"/>
    <s v="Servientrega"/>
    <s v="Crédito"/>
    <s v="Arroz"/>
    <x v="5"/>
    <n v="8797.69"/>
    <n v="6"/>
    <x v="27"/>
  </r>
  <r>
    <s v="FO-0029"/>
    <x v="28"/>
    <s v="CL-0029"/>
    <x v="8"/>
    <s v="Manizales"/>
    <x v="5"/>
    <s v="V-223"/>
    <x v="1"/>
    <d v="2025-07-29T00:00:00"/>
    <s v="Coordinadora"/>
    <s v="Nequi"/>
    <s v="Frijoles"/>
    <x v="5"/>
    <n v="15124.53"/>
    <n v="46"/>
    <x v="28"/>
  </r>
  <r>
    <s v="FO-0030"/>
    <x v="29"/>
    <s v="CL-0030"/>
    <x v="4"/>
    <s v="Bogotá"/>
    <x v="9"/>
    <s v="V-114"/>
    <x v="2"/>
    <d v="2022-08-07T00:00:00"/>
    <s v="Servientrega"/>
    <s v="Efectivo"/>
    <s v="Aceite"/>
    <x v="0"/>
    <n v="16128.3"/>
    <n v="22"/>
    <x v="29"/>
  </r>
  <r>
    <s v="FO-0031"/>
    <x v="30"/>
    <s v="CL-0031"/>
    <x v="0"/>
    <s v="Barranquilla"/>
    <x v="3"/>
    <s v="V-450"/>
    <x v="0"/>
    <d v="2023-05-04T00:00:00"/>
    <s v="TCC"/>
    <s v="Cheque"/>
    <s v="Arroz"/>
    <x v="5"/>
    <n v="6294.74"/>
    <n v="10"/>
    <x v="30"/>
  </r>
  <r>
    <s v="FO-0032"/>
    <x v="31"/>
    <s v="CL-0032"/>
    <x v="1"/>
    <s v="Cúcuta"/>
    <x v="3"/>
    <s v="V-289"/>
    <x v="2"/>
    <d v="2025-01-21T00:00:00"/>
    <s v="TCC"/>
    <s v="Efectivo"/>
    <s v="Azúcar"/>
    <x v="2"/>
    <n v="10490.09"/>
    <n v="48"/>
    <x v="31"/>
  </r>
  <r>
    <s v="FO-0033"/>
    <x v="32"/>
    <s v="CL-0033"/>
    <x v="5"/>
    <s v="Medellín"/>
    <x v="9"/>
    <s v="V-115"/>
    <x v="0"/>
    <d v="2022-11-20T00:00:00"/>
    <s v="Deprisa"/>
    <s v="Efectivo"/>
    <s v="Carne de res"/>
    <x v="6"/>
    <n v="3093.86"/>
    <n v="38"/>
    <x v="32"/>
  </r>
  <r>
    <s v="FO-0034"/>
    <x v="33"/>
    <s v="CL-0034"/>
    <x v="1"/>
    <s v="Medellín"/>
    <x v="4"/>
    <s v="V-496"/>
    <x v="2"/>
    <d v="2022-09-21T00:00:00"/>
    <s v="Servientrega"/>
    <s v="Crédito"/>
    <s v="Pan"/>
    <x v="9"/>
    <n v="7177.01"/>
    <n v="15"/>
    <x v="33"/>
  </r>
  <r>
    <s v="FO-0035"/>
    <x v="34"/>
    <s v="CL-0035"/>
    <x v="2"/>
    <s v="Santa Marta"/>
    <x v="1"/>
    <s v="V-886"/>
    <x v="3"/>
    <d v="2025-06-22T00:00:00"/>
    <s v="Servientrega"/>
    <s v="Crédito"/>
    <s v="Pollo"/>
    <x v="6"/>
    <n v="4466.45"/>
    <n v="38"/>
    <x v="34"/>
  </r>
  <r>
    <s v="FO-0036"/>
    <x v="35"/>
    <s v="CL-0036"/>
    <x v="0"/>
    <s v="Bogotá"/>
    <x v="6"/>
    <s v="V-217"/>
    <x v="2"/>
    <d v="2023-05-26T00:00:00"/>
    <s v="Servientrega"/>
    <s v="Crédito"/>
    <s v="Pasta"/>
    <x v="5"/>
    <n v="2983.46"/>
    <n v="5"/>
    <x v="35"/>
  </r>
  <r>
    <s v="FO-0037"/>
    <x v="36"/>
    <s v="CL-0037"/>
    <x v="9"/>
    <s v="Bogotá"/>
    <x v="8"/>
    <s v="V-293"/>
    <x v="0"/>
    <d v="2024-12-26T00:00:00"/>
    <s v="TCC"/>
    <s v="Crédito"/>
    <s v="Leche"/>
    <x v="3"/>
    <n v="10015.6"/>
    <n v="40"/>
    <x v="36"/>
  </r>
  <r>
    <s v="FO-0038"/>
    <x v="37"/>
    <s v="CL-0038"/>
    <x v="0"/>
    <s v="Bogotá"/>
    <x v="3"/>
    <s v="V-543"/>
    <x v="3"/>
    <d v="2023-11-18T00:00:00"/>
    <s v="Coordinadora"/>
    <s v="Efectivo"/>
    <s v="Leche"/>
    <x v="3"/>
    <n v="16986.41"/>
    <n v="48"/>
    <x v="37"/>
  </r>
  <r>
    <s v="FO-0039"/>
    <x v="38"/>
    <s v="CL-0039"/>
    <x v="8"/>
    <s v="Bucaramanga"/>
    <x v="5"/>
    <s v="V-613"/>
    <x v="0"/>
    <d v="2022-12-31T00:00:00"/>
    <s v="TCC"/>
    <s v="Efectivo"/>
    <s v="Aceite"/>
    <x v="0"/>
    <n v="16967.28"/>
    <n v="40"/>
    <x v="38"/>
  </r>
  <r>
    <s v="FO-0040"/>
    <x v="39"/>
    <s v="CL-0040"/>
    <x v="0"/>
    <s v="Cali"/>
    <x v="5"/>
    <s v="V-242"/>
    <x v="3"/>
    <d v="2022-09-29T00:00:00"/>
    <s v="Deprisa"/>
    <s v="Cheque"/>
    <s v="Papa"/>
    <x v="1"/>
    <n v="10840.97"/>
    <n v="48"/>
    <x v="39"/>
  </r>
  <r>
    <s v="FO-0041"/>
    <x v="40"/>
    <s v="CL-0041"/>
    <x v="1"/>
    <s v="Pereira"/>
    <x v="7"/>
    <s v="V-496"/>
    <x v="3"/>
    <d v="2024-02-21T00:00:00"/>
    <s v="Coordinadora"/>
    <s v="Nequi"/>
    <s v="Sal"/>
    <x v="7"/>
    <n v="8328.7000000000007"/>
    <n v="21"/>
    <x v="40"/>
  </r>
  <r>
    <s v="FO-0042"/>
    <x v="41"/>
    <s v="CL-0042"/>
    <x v="1"/>
    <s v="Cartagena"/>
    <x v="3"/>
    <s v="V-872"/>
    <x v="2"/>
    <d v="2025-03-09T00:00:00"/>
    <s v="Deprisa"/>
    <s v="Efectivo"/>
    <s v="Azúcar"/>
    <x v="2"/>
    <n v="4344.8599999999997"/>
    <n v="5"/>
    <x v="41"/>
  </r>
  <r>
    <s v="FO-0043"/>
    <x v="3"/>
    <s v="CL-0043"/>
    <x v="9"/>
    <s v="Bogotá"/>
    <x v="8"/>
    <s v="V-426"/>
    <x v="1"/>
    <d v="2024-10-22T00:00:00"/>
    <s v="Deprisa"/>
    <s v="Cheque"/>
    <s v="Arepas"/>
    <x v="9"/>
    <n v="7181.97"/>
    <n v="16"/>
    <x v="42"/>
  </r>
  <r>
    <s v="FO-0044"/>
    <x v="42"/>
    <s v="CL-0044"/>
    <x v="8"/>
    <s v="Cali"/>
    <x v="1"/>
    <s v="V-811"/>
    <x v="1"/>
    <d v="2022-06-02T00:00:00"/>
    <s v="TCC"/>
    <s v="Crédito"/>
    <s v="Aceite"/>
    <x v="0"/>
    <n v="8855.4599999999991"/>
    <n v="29"/>
    <x v="43"/>
  </r>
  <r>
    <s v="FO-0045"/>
    <x v="43"/>
    <s v="CL-0045"/>
    <x v="5"/>
    <s v="Medellín"/>
    <x v="2"/>
    <s v="V-234"/>
    <x v="1"/>
    <d v="2025-06-11T00:00:00"/>
    <s v="Servientrega"/>
    <s v="Efectivo"/>
    <s v="Papa"/>
    <x v="1"/>
    <n v="15629.33"/>
    <n v="46"/>
    <x v="44"/>
  </r>
  <r>
    <s v="FO-0046"/>
    <x v="44"/>
    <s v="CL-0046"/>
    <x v="8"/>
    <s v="Bucaramanga"/>
    <x v="3"/>
    <s v="V-655"/>
    <x v="1"/>
    <d v="2024-02-25T00:00:00"/>
    <s v="TCC"/>
    <s v="Crédito"/>
    <s v="Frijoles"/>
    <x v="5"/>
    <n v="19215.39"/>
    <n v="48"/>
    <x v="45"/>
  </r>
  <r>
    <s v="FO-0047"/>
    <x v="45"/>
    <s v="CL-0047"/>
    <x v="0"/>
    <s v="Cartagena"/>
    <x v="2"/>
    <s v="V-628"/>
    <x v="0"/>
    <d v="2023-12-02T00:00:00"/>
    <s v="TCC"/>
    <s v="Efectivo"/>
    <s v="Pasta"/>
    <x v="5"/>
    <n v="9500.77"/>
    <n v="7"/>
    <x v="46"/>
  </r>
  <r>
    <s v="FO-0048"/>
    <x v="46"/>
    <s v="CL-0048"/>
    <x v="4"/>
    <s v="Barranquilla"/>
    <x v="9"/>
    <s v="V-489"/>
    <x v="1"/>
    <d v="2023-10-28T00:00:00"/>
    <s v="Envía"/>
    <s v="Efectivo"/>
    <s v="Frijoles"/>
    <x v="5"/>
    <n v="18024.189999999999"/>
    <n v="31"/>
    <x v="47"/>
  </r>
  <r>
    <s v="FO-0049"/>
    <x v="47"/>
    <s v="CL-0049"/>
    <x v="8"/>
    <s v="Cali"/>
    <x v="5"/>
    <s v="V-550"/>
    <x v="3"/>
    <d v="2023-02-13T00:00:00"/>
    <s v="Servientrega"/>
    <s v="Cheque"/>
    <s v="Pollo"/>
    <x v="6"/>
    <n v="18674.91"/>
    <n v="33"/>
    <x v="48"/>
  </r>
  <r>
    <s v="FO-0050"/>
    <x v="48"/>
    <s v="CL-0050"/>
    <x v="9"/>
    <s v="Barranquilla"/>
    <x v="7"/>
    <s v="V-230"/>
    <x v="2"/>
    <d v="2025-05-08T00:00:00"/>
    <s v="TCC"/>
    <s v="Crédito"/>
    <s v="Pasta"/>
    <x v="5"/>
    <n v="9925.01"/>
    <n v="2"/>
    <x v="49"/>
  </r>
  <r>
    <s v="FO-0051"/>
    <x v="49"/>
    <s v="CL-0051"/>
    <x v="3"/>
    <s v="Cali"/>
    <x v="8"/>
    <s v="V-136"/>
    <x v="3"/>
    <d v="2022-09-13T00:00:00"/>
    <s v="TCC"/>
    <s v="Crédito"/>
    <s v="Carne de res"/>
    <x v="6"/>
    <n v="10263.5"/>
    <n v="49"/>
    <x v="50"/>
  </r>
  <r>
    <s v="FO-0052"/>
    <x v="50"/>
    <s v="CL-0052"/>
    <x v="1"/>
    <s v="Medellín"/>
    <x v="9"/>
    <s v="V-888"/>
    <x v="3"/>
    <d v="2025-04-23T00:00:00"/>
    <s v="Envía"/>
    <s v="Crédito"/>
    <s v="Café"/>
    <x v="4"/>
    <n v="12510.14"/>
    <n v="18"/>
    <x v="51"/>
  </r>
  <r>
    <s v="FO-0053"/>
    <x v="51"/>
    <s v="CL-0053"/>
    <x v="5"/>
    <s v="Santa Marta"/>
    <x v="2"/>
    <s v="V-634"/>
    <x v="1"/>
    <d v="2025-07-02T00:00:00"/>
    <s v="Envía"/>
    <s v="Cheque"/>
    <s v="Frijoles"/>
    <x v="5"/>
    <n v="7463.72"/>
    <n v="21"/>
    <x v="52"/>
  </r>
  <r>
    <s v="FO-0054"/>
    <x v="52"/>
    <s v="CL-0054"/>
    <x v="7"/>
    <s v="Manizales"/>
    <x v="4"/>
    <s v="V-889"/>
    <x v="1"/>
    <d v="2022-03-20T00:00:00"/>
    <s v="Deprisa"/>
    <s v="Efectivo"/>
    <s v="Leche"/>
    <x v="3"/>
    <n v="18839.189999999999"/>
    <n v="26"/>
    <x v="53"/>
  </r>
  <r>
    <s v="FO-0055"/>
    <x v="53"/>
    <s v="CL-0055"/>
    <x v="3"/>
    <s v="Santa Marta"/>
    <x v="8"/>
    <s v="V-142"/>
    <x v="1"/>
    <d v="2025-06-19T00:00:00"/>
    <s v="TCC"/>
    <s v="Efectivo"/>
    <s v="Pasta"/>
    <x v="5"/>
    <n v="9761.14"/>
    <n v="21"/>
    <x v="54"/>
  </r>
  <r>
    <s v="FO-0056"/>
    <x v="54"/>
    <s v="CL-0056"/>
    <x v="4"/>
    <s v="Bogotá"/>
    <x v="4"/>
    <s v="V-274"/>
    <x v="2"/>
    <d v="2025-10-03T00:00:00"/>
    <s v="Coordinadora"/>
    <s v="Efectivo"/>
    <s v="Tomate"/>
    <x v="1"/>
    <n v="5112.34"/>
    <n v="38"/>
    <x v="55"/>
  </r>
  <r>
    <s v="FO-0057"/>
    <x v="55"/>
    <s v="CL-0057"/>
    <x v="4"/>
    <s v="Santa Marta"/>
    <x v="5"/>
    <s v="V-777"/>
    <x v="2"/>
    <d v="2023-03-02T00:00:00"/>
    <s v="Coordinadora"/>
    <s v="Nequi"/>
    <s v="Arepas"/>
    <x v="9"/>
    <n v="6503.29"/>
    <n v="20"/>
    <x v="56"/>
  </r>
  <r>
    <s v="FO-0058"/>
    <x v="56"/>
    <s v="CL-0058"/>
    <x v="1"/>
    <s v="Santa Marta"/>
    <x v="7"/>
    <s v="V-921"/>
    <x v="2"/>
    <d v="2025-07-17T00:00:00"/>
    <s v="Servientrega"/>
    <s v="Cheque"/>
    <s v="Carne de res"/>
    <x v="6"/>
    <n v="7586.63"/>
    <n v="3"/>
    <x v="57"/>
  </r>
  <r>
    <s v="FO-0059"/>
    <x v="57"/>
    <s v="CL-0059"/>
    <x v="1"/>
    <s v="Bogotá"/>
    <x v="5"/>
    <s v="V-876"/>
    <x v="3"/>
    <d v="2022-03-05T00:00:00"/>
    <s v="Servientrega"/>
    <s v="Cheque"/>
    <s v="Arroz"/>
    <x v="5"/>
    <n v="16655.61"/>
    <n v="48"/>
    <x v="58"/>
  </r>
  <r>
    <s v="FO-0060"/>
    <x v="58"/>
    <s v="CL-0060"/>
    <x v="8"/>
    <s v="Barranquilla"/>
    <x v="4"/>
    <s v="V-843"/>
    <x v="1"/>
    <d v="2024-02-26T00:00:00"/>
    <s v="Servientrega"/>
    <s v="Cheque"/>
    <s v="Pan"/>
    <x v="9"/>
    <n v="15558.17"/>
    <n v="32"/>
    <x v="59"/>
  </r>
  <r>
    <s v="FO-0061"/>
    <x v="59"/>
    <s v="CL-0061"/>
    <x v="3"/>
    <s v="Bucaramanga"/>
    <x v="3"/>
    <s v="V-302"/>
    <x v="0"/>
    <d v="2022-05-12T00:00:00"/>
    <s v="Deprisa"/>
    <s v="Nequi"/>
    <s v="Arepas"/>
    <x v="9"/>
    <n v="14452.41"/>
    <n v="6"/>
    <x v="60"/>
  </r>
  <r>
    <s v="FO-0062"/>
    <x v="60"/>
    <s v="CL-0062"/>
    <x v="3"/>
    <s v="Manizales"/>
    <x v="8"/>
    <s v="V-984"/>
    <x v="3"/>
    <d v="2025-08-18T00:00:00"/>
    <s v="Servientrega"/>
    <s v="Crédito"/>
    <s v="Frijoles"/>
    <x v="5"/>
    <n v="14316.28"/>
    <n v="23"/>
    <x v="61"/>
  </r>
  <r>
    <s v="FO-0063"/>
    <x v="61"/>
    <s v="CL-0063"/>
    <x v="2"/>
    <s v="Bogotá"/>
    <x v="6"/>
    <s v="V-136"/>
    <x v="1"/>
    <d v="2023-06-20T00:00:00"/>
    <s v="TCC"/>
    <s v="Crédito"/>
    <s v="Carne de res"/>
    <x v="6"/>
    <n v="6733.26"/>
    <n v="15"/>
    <x v="62"/>
  </r>
  <r>
    <s v="FO-0064"/>
    <x v="62"/>
    <s v="CL-0064"/>
    <x v="6"/>
    <s v="Cartagena"/>
    <x v="8"/>
    <s v="V-654"/>
    <x v="1"/>
    <d v="2024-11-11T00:00:00"/>
    <s v="Envía"/>
    <s v="Crédito"/>
    <s v="Aceite"/>
    <x v="0"/>
    <n v="12613.1"/>
    <n v="17"/>
    <x v="63"/>
  </r>
  <r>
    <s v="FO-0065"/>
    <x v="63"/>
    <s v="CL-0065"/>
    <x v="9"/>
    <s v="Cúcuta"/>
    <x v="6"/>
    <s v="V-488"/>
    <x v="3"/>
    <d v="2023-01-13T00:00:00"/>
    <s v="Deprisa"/>
    <s v="Crédito"/>
    <s v="Leche"/>
    <x v="3"/>
    <n v="3087.66"/>
    <n v="10"/>
    <x v="64"/>
  </r>
  <r>
    <s v="FO-0066"/>
    <x v="64"/>
    <s v="CL-0066"/>
    <x v="5"/>
    <s v="Pereira"/>
    <x v="3"/>
    <s v="V-265"/>
    <x v="1"/>
    <d v="2024-12-15T00:00:00"/>
    <s v="Deprisa"/>
    <s v="Cheque"/>
    <s v="Pasta"/>
    <x v="5"/>
    <n v="9728.93"/>
    <n v="17"/>
    <x v="65"/>
  </r>
  <r>
    <s v="FO-0067"/>
    <x v="65"/>
    <s v="CL-0067"/>
    <x v="6"/>
    <s v="Cúcuta"/>
    <x v="8"/>
    <s v="V-693"/>
    <x v="2"/>
    <d v="2022-09-02T00:00:00"/>
    <s v="Deprisa"/>
    <s v="Nequi"/>
    <s v="Huevos"/>
    <x v="8"/>
    <n v="4549.07"/>
    <n v="20"/>
    <x v="66"/>
  </r>
  <r>
    <s v="FO-0068"/>
    <x v="66"/>
    <s v="CL-0068"/>
    <x v="2"/>
    <s v="Medellín"/>
    <x v="5"/>
    <s v="V-357"/>
    <x v="0"/>
    <d v="2023-02-23T00:00:00"/>
    <s v="Deprisa"/>
    <s v="Crédito"/>
    <s v="Carne de res"/>
    <x v="6"/>
    <n v="7986.61"/>
    <n v="20"/>
    <x v="67"/>
  </r>
  <r>
    <s v="FO-0069"/>
    <x v="67"/>
    <s v="CL-0069"/>
    <x v="7"/>
    <s v="Barranquilla"/>
    <x v="0"/>
    <s v="V-728"/>
    <x v="3"/>
    <d v="2024-11-03T00:00:00"/>
    <s v="Envía"/>
    <s v="Crédito"/>
    <s v="Pan"/>
    <x v="9"/>
    <n v="16719.87"/>
    <n v="5"/>
    <x v="68"/>
  </r>
  <r>
    <s v="FO-0070"/>
    <x v="68"/>
    <s v="CL-0070"/>
    <x v="1"/>
    <s v="Cali"/>
    <x v="8"/>
    <s v="V-401"/>
    <x v="1"/>
    <d v="2025-09-12T00:00:00"/>
    <s v="Deprisa"/>
    <s v="Nequi"/>
    <s v="Arroz"/>
    <x v="5"/>
    <n v="14206.88"/>
    <n v="9"/>
    <x v="69"/>
  </r>
  <r>
    <s v="FO-0071"/>
    <x v="69"/>
    <s v="CL-0071"/>
    <x v="1"/>
    <s v="Pereira"/>
    <x v="6"/>
    <s v="V-212"/>
    <x v="2"/>
    <d v="2024-11-07T00:00:00"/>
    <s v="Deprisa"/>
    <s v="Cheque"/>
    <s v="Pan"/>
    <x v="9"/>
    <n v="15093.62"/>
    <n v="6"/>
    <x v="70"/>
  </r>
  <r>
    <s v="FO-0072"/>
    <x v="70"/>
    <s v="CL-0072"/>
    <x v="4"/>
    <s v="Manizales"/>
    <x v="5"/>
    <s v="V-519"/>
    <x v="2"/>
    <d v="2023-08-16T00:00:00"/>
    <s v="TCC"/>
    <s v="Cheque"/>
    <s v="Sal"/>
    <x v="7"/>
    <n v="4386.51"/>
    <n v="38"/>
    <x v="71"/>
  </r>
  <r>
    <s v="FO-0073"/>
    <x v="71"/>
    <s v="CL-0073"/>
    <x v="1"/>
    <s v="Bucaramanga"/>
    <x v="4"/>
    <s v="V-705"/>
    <x v="2"/>
    <d v="2025-08-12T00:00:00"/>
    <s v="Deprisa"/>
    <s v="Efectivo"/>
    <s v="Carne de res"/>
    <x v="6"/>
    <n v="8726.19"/>
    <n v="38"/>
    <x v="72"/>
  </r>
  <r>
    <s v="FO-0074"/>
    <x v="72"/>
    <s v="CL-0074"/>
    <x v="0"/>
    <s v="Cartagena"/>
    <x v="5"/>
    <s v="V-113"/>
    <x v="3"/>
    <d v="2024-03-01T00:00:00"/>
    <s v="Coordinadora"/>
    <s v="Cheque"/>
    <s v="Carne de res"/>
    <x v="6"/>
    <n v="13555.97"/>
    <n v="37"/>
    <x v="73"/>
  </r>
  <r>
    <s v="FO-0075"/>
    <x v="73"/>
    <s v="CL-0075"/>
    <x v="1"/>
    <s v="Pereira"/>
    <x v="2"/>
    <s v="V-331"/>
    <x v="2"/>
    <d v="2025-03-26T00:00:00"/>
    <s v="Servientrega"/>
    <s v="Cheque"/>
    <s v="Huevos"/>
    <x v="8"/>
    <n v="8538.67"/>
    <n v="32"/>
    <x v="74"/>
  </r>
  <r>
    <s v="FO-0076"/>
    <x v="17"/>
    <s v="CL-0076"/>
    <x v="2"/>
    <s v="Santa Marta"/>
    <x v="7"/>
    <s v="V-509"/>
    <x v="1"/>
    <d v="2023-05-31T00:00:00"/>
    <s v="Servientrega"/>
    <s v="Cheque"/>
    <s v="Papa"/>
    <x v="1"/>
    <n v="5314.86"/>
    <n v="16"/>
    <x v="75"/>
  </r>
  <r>
    <s v="FO-0077"/>
    <x v="74"/>
    <s v="CL-0077"/>
    <x v="5"/>
    <s v="Bucaramanga"/>
    <x v="6"/>
    <s v="V-399"/>
    <x v="0"/>
    <d v="2023-02-23T00:00:00"/>
    <s v="Deprisa"/>
    <s v="Cheque"/>
    <s v="Arepas"/>
    <x v="9"/>
    <n v="14472.59"/>
    <n v="10"/>
    <x v="76"/>
  </r>
  <r>
    <s v="FO-0078"/>
    <x v="75"/>
    <s v="CL-0078"/>
    <x v="3"/>
    <s v="Manizales"/>
    <x v="2"/>
    <s v="V-800"/>
    <x v="3"/>
    <d v="2023-12-18T00:00:00"/>
    <s v="Deprisa"/>
    <s v="Nequi"/>
    <s v="Papa"/>
    <x v="1"/>
    <n v="2545.31"/>
    <n v="15"/>
    <x v="77"/>
  </r>
  <r>
    <s v="FO-0079"/>
    <x v="76"/>
    <s v="CL-0079"/>
    <x v="4"/>
    <s v="Barranquilla"/>
    <x v="8"/>
    <s v="V-933"/>
    <x v="2"/>
    <d v="2022-10-17T00:00:00"/>
    <s v="Envía"/>
    <s v="Efectivo"/>
    <s v="Leche"/>
    <x v="3"/>
    <n v="10928.5"/>
    <n v="20"/>
    <x v="78"/>
  </r>
  <r>
    <s v="FO-0080"/>
    <x v="77"/>
    <s v="CL-0080"/>
    <x v="2"/>
    <s v="Bucaramanga"/>
    <x v="7"/>
    <s v="V-767"/>
    <x v="0"/>
    <d v="2025-08-03T00:00:00"/>
    <s v="Envía"/>
    <s v="Efectivo"/>
    <s v="Aceite"/>
    <x v="0"/>
    <n v="3298.04"/>
    <n v="18"/>
    <x v="79"/>
  </r>
  <r>
    <s v="FO-0081"/>
    <x v="78"/>
    <s v="CL-0081"/>
    <x v="1"/>
    <s v="Pereira"/>
    <x v="4"/>
    <s v="V-728"/>
    <x v="2"/>
    <d v="2022-05-13T00:00:00"/>
    <s v="TCC"/>
    <s v="Crédito"/>
    <s v="Papa"/>
    <x v="1"/>
    <n v="14825.86"/>
    <n v="10"/>
    <x v="80"/>
  </r>
  <r>
    <s v="FO-0082"/>
    <x v="79"/>
    <s v="CL-0082"/>
    <x v="8"/>
    <s v="Bucaramanga"/>
    <x v="1"/>
    <s v="V-220"/>
    <x v="0"/>
    <d v="2023-01-27T00:00:00"/>
    <s v="Envía"/>
    <s v="Efectivo"/>
    <s v="Papa"/>
    <x v="1"/>
    <n v="10324.280000000001"/>
    <n v="27"/>
    <x v="81"/>
  </r>
  <r>
    <s v="FO-0083"/>
    <x v="61"/>
    <s v="CL-0083"/>
    <x v="6"/>
    <s v="Santa Marta"/>
    <x v="3"/>
    <s v="V-137"/>
    <x v="0"/>
    <d v="2023-06-25T00:00:00"/>
    <s v="Servientrega"/>
    <s v="Cheque"/>
    <s v="Arepas"/>
    <x v="9"/>
    <n v="3285.64"/>
    <n v="38"/>
    <x v="82"/>
  </r>
  <r>
    <s v="FO-0084"/>
    <x v="80"/>
    <s v="CL-0084"/>
    <x v="6"/>
    <s v="Manizales"/>
    <x v="1"/>
    <s v="V-257"/>
    <x v="1"/>
    <d v="2022-07-03T00:00:00"/>
    <s v="Envía"/>
    <s v="Nequi"/>
    <s v="Tomate"/>
    <x v="1"/>
    <n v="16967.97"/>
    <n v="7"/>
    <x v="83"/>
  </r>
  <r>
    <s v="FO-0085"/>
    <x v="81"/>
    <s v="CL-0085"/>
    <x v="7"/>
    <s v="Pereira"/>
    <x v="1"/>
    <s v="V-558"/>
    <x v="3"/>
    <d v="2023-12-31T00:00:00"/>
    <s v="Coordinadora"/>
    <s v="Efectivo"/>
    <s v="Pasta"/>
    <x v="5"/>
    <n v="10436.530000000001"/>
    <n v="45"/>
    <x v="84"/>
  </r>
  <r>
    <s v="FO-0086"/>
    <x v="82"/>
    <s v="CL-0086"/>
    <x v="8"/>
    <s v="Barranquilla"/>
    <x v="2"/>
    <s v="V-705"/>
    <x v="0"/>
    <d v="2022-12-16T00:00:00"/>
    <s v="Deprisa"/>
    <s v="Crédito"/>
    <s v="Papa"/>
    <x v="1"/>
    <n v="5586.87"/>
    <n v="5"/>
    <x v="85"/>
  </r>
  <r>
    <s v="FO-0087"/>
    <x v="83"/>
    <s v="CL-0087"/>
    <x v="9"/>
    <s v="Bucaramanga"/>
    <x v="7"/>
    <s v="V-689"/>
    <x v="3"/>
    <d v="2024-03-03T00:00:00"/>
    <s v="Servientrega"/>
    <s v="Cheque"/>
    <s v="Pollo"/>
    <x v="6"/>
    <n v="15815.38"/>
    <n v="46"/>
    <x v="86"/>
  </r>
  <r>
    <s v="FO-0088"/>
    <x v="84"/>
    <s v="CL-0088"/>
    <x v="1"/>
    <s v="Manizales"/>
    <x v="7"/>
    <s v="V-893"/>
    <x v="3"/>
    <d v="2022-11-16T00:00:00"/>
    <s v="Coordinadora"/>
    <s v="Efectivo"/>
    <s v="Arroz"/>
    <x v="5"/>
    <n v="16624.5"/>
    <n v="5"/>
    <x v="87"/>
  </r>
  <r>
    <s v="FO-0089"/>
    <x v="85"/>
    <s v="CL-0089"/>
    <x v="2"/>
    <s v="Pereira"/>
    <x v="9"/>
    <s v="V-476"/>
    <x v="3"/>
    <d v="2025-12-13T00:00:00"/>
    <s v="TCC"/>
    <s v="Cheque"/>
    <s v="Pan"/>
    <x v="9"/>
    <n v="11664.65"/>
    <n v="21"/>
    <x v="88"/>
  </r>
  <r>
    <s v="FO-0090"/>
    <x v="86"/>
    <s v="CL-0090"/>
    <x v="1"/>
    <s v="Barranquilla"/>
    <x v="0"/>
    <s v="V-569"/>
    <x v="2"/>
    <d v="2024-06-05T00:00:00"/>
    <s v="Envía"/>
    <s v="Nequi"/>
    <s v="Café"/>
    <x v="4"/>
    <n v="17893.64"/>
    <n v="13"/>
    <x v="89"/>
  </r>
  <r>
    <s v="FO-0091"/>
    <x v="87"/>
    <s v="CL-0091"/>
    <x v="7"/>
    <s v="Manizales"/>
    <x v="3"/>
    <s v="V-105"/>
    <x v="0"/>
    <d v="2024-03-30T00:00:00"/>
    <s v="Deprisa"/>
    <s v="Cheque"/>
    <s v="Azúcar"/>
    <x v="2"/>
    <n v="6372.13"/>
    <n v="6"/>
    <x v="90"/>
  </r>
  <r>
    <s v="FO-0092"/>
    <x v="88"/>
    <s v="CL-0092"/>
    <x v="6"/>
    <s v="Barranquilla"/>
    <x v="5"/>
    <s v="V-765"/>
    <x v="3"/>
    <d v="2024-07-26T00:00:00"/>
    <s v="TCC"/>
    <s v="Cheque"/>
    <s v="Café"/>
    <x v="4"/>
    <n v="17597.72"/>
    <n v="26"/>
    <x v="91"/>
  </r>
  <r>
    <s v="FO-0093"/>
    <x v="89"/>
    <s v="CL-0093"/>
    <x v="8"/>
    <s v="Cartagena"/>
    <x v="3"/>
    <s v="V-307"/>
    <x v="1"/>
    <d v="2023-03-12T00:00:00"/>
    <s v="Envía"/>
    <s v="Efectivo"/>
    <s v="Frijoles"/>
    <x v="5"/>
    <n v="10091.33"/>
    <n v="39"/>
    <x v="92"/>
  </r>
  <r>
    <s v="FO-0094"/>
    <x v="90"/>
    <s v="CL-0094"/>
    <x v="5"/>
    <s v="Cali"/>
    <x v="9"/>
    <s v="V-938"/>
    <x v="3"/>
    <d v="2024-03-01T00:00:00"/>
    <s v="Servientrega"/>
    <s v="Crédito"/>
    <s v="Arroz"/>
    <x v="5"/>
    <n v="14476.39"/>
    <n v="10"/>
    <x v="93"/>
  </r>
  <r>
    <s v="FO-0095"/>
    <x v="91"/>
    <s v="CL-0095"/>
    <x v="4"/>
    <s v="Cali"/>
    <x v="0"/>
    <s v="V-467"/>
    <x v="3"/>
    <d v="2025-04-09T00:00:00"/>
    <s v="TCC"/>
    <s v="Crédito"/>
    <s v="Frijoles"/>
    <x v="5"/>
    <n v="10422.370000000001"/>
    <n v="40"/>
    <x v="94"/>
  </r>
  <r>
    <s v="FO-0096"/>
    <x v="92"/>
    <s v="CL-0096"/>
    <x v="9"/>
    <s v="Cúcuta"/>
    <x v="1"/>
    <s v="V-860"/>
    <x v="0"/>
    <d v="2024-05-08T00:00:00"/>
    <s v="TCC"/>
    <s v="Efectivo"/>
    <s v="Arepas"/>
    <x v="9"/>
    <n v="7219.42"/>
    <n v="8"/>
    <x v="95"/>
  </r>
  <r>
    <s v="FO-0097"/>
    <x v="93"/>
    <s v="CL-0097"/>
    <x v="7"/>
    <s v="Bucaramanga"/>
    <x v="2"/>
    <s v="V-741"/>
    <x v="2"/>
    <d v="2023-11-21T00:00:00"/>
    <s v="Servientrega"/>
    <s v="Nequi"/>
    <s v="Frijoles"/>
    <x v="5"/>
    <n v="16735.27"/>
    <n v="34"/>
    <x v="96"/>
  </r>
  <r>
    <s v="FO-0098"/>
    <x v="94"/>
    <s v="CL-0098"/>
    <x v="4"/>
    <s v="Pereira"/>
    <x v="9"/>
    <s v="V-772"/>
    <x v="3"/>
    <d v="2022-08-13T00:00:00"/>
    <s v="TCC"/>
    <s v="Cheque"/>
    <s v="Arroz"/>
    <x v="5"/>
    <n v="6943.03"/>
    <n v="43"/>
    <x v="97"/>
  </r>
  <r>
    <s v="FO-0099"/>
    <x v="95"/>
    <s v="CL-0099"/>
    <x v="3"/>
    <s v="Pereira"/>
    <x v="9"/>
    <s v="V-677"/>
    <x v="0"/>
    <d v="2023-09-06T00:00:00"/>
    <s v="Deprisa"/>
    <s v="Cheque"/>
    <s v="Papa"/>
    <x v="1"/>
    <n v="19135.68"/>
    <n v="36"/>
    <x v="98"/>
  </r>
  <r>
    <s v="FO-0100"/>
    <x v="96"/>
    <s v="CL-0100"/>
    <x v="4"/>
    <s v="Cúcuta"/>
    <x v="4"/>
    <s v="V-290"/>
    <x v="0"/>
    <d v="2022-01-08T00:00:00"/>
    <s v="Coordinadora"/>
    <s v="Crédito"/>
    <s v="Aceite"/>
    <x v="0"/>
    <n v="8080"/>
    <n v="28"/>
    <x v="99"/>
  </r>
  <r>
    <s v="FO-0101"/>
    <x v="97"/>
    <s v="CL-0101"/>
    <x v="6"/>
    <s v="Medellín"/>
    <x v="1"/>
    <s v="V-662"/>
    <x v="3"/>
    <d v="2024-09-05T00:00:00"/>
    <s v="TCC"/>
    <s v="Efectivo"/>
    <s v="Aceite"/>
    <x v="0"/>
    <n v="12906.77"/>
    <n v="16"/>
    <x v="100"/>
  </r>
  <r>
    <s v="FO-0102"/>
    <x v="98"/>
    <s v="CL-0102"/>
    <x v="9"/>
    <s v="Cali"/>
    <x v="4"/>
    <s v="V-174"/>
    <x v="1"/>
    <d v="2024-07-08T00:00:00"/>
    <s v="Envía"/>
    <s v="Nequi"/>
    <s v="Sal"/>
    <x v="7"/>
    <n v="14159.17"/>
    <n v="4"/>
    <x v="101"/>
  </r>
  <r>
    <s v="FO-0103"/>
    <x v="99"/>
    <s v="CL-0103"/>
    <x v="0"/>
    <s v="Manizales"/>
    <x v="8"/>
    <s v="V-939"/>
    <x v="0"/>
    <d v="2023-09-30T00:00:00"/>
    <s v="Coordinadora"/>
    <s v="Crédito"/>
    <s v="Arroz"/>
    <x v="5"/>
    <n v="8682.4699999999993"/>
    <n v="20"/>
    <x v="102"/>
  </r>
  <r>
    <s v="FO-0104"/>
    <x v="100"/>
    <s v="CL-0104"/>
    <x v="1"/>
    <s v="Bogotá"/>
    <x v="7"/>
    <s v="V-802"/>
    <x v="3"/>
    <d v="2022-09-27T00:00:00"/>
    <s v="Servientrega"/>
    <s v="Efectivo"/>
    <s v="Papa"/>
    <x v="1"/>
    <n v="3130.18"/>
    <n v="22"/>
    <x v="103"/>
  </r>
  <r>
    <s v="FO-0105"/>
    <x v="101"/>
    <s v="CL-0105"/>
    <x v="5"/>
    <s v="Pereira"/>
    <x v="2"/>
    <s v="V-203"/>
    <x v="0"/>
    <d v="2023-11-07T00:00:00"/>
    <s v="Coordinadora"/>
    <s v="Nequi"/>
    <s v="Pasta"/>
    <x v="5"/>
    <n v="8720.82"/>
    <n v="32"/>
    <x v="104"/>
  </r>
  <r>
    <s v="FO-0106"/>
    <x v="102"/>
    <s v="CL-0106"/>
    <x v="0"/>
    <s v="Cartagena"/>
    <x v="6"/>
    <s v="V-401"/>
    <x v="3"/>
    <d v="2025-07-17T00:00:00"/>
    <s v="Envía"/>
    <s v="Cheque"/>
    <s v="Pan"/>
    <x v="9"/>
    <n v="17375.43"/>
    <n v="7"/>
    <x v="105"/>
  </r>
  <r>
    <s v="FO-0107"/>
    <x v="103"/>
    <s v="CL-0107"/>
    <x v="2"/>
    <s v="Cartagena"/>
    <x v="8"/>
    <s v="V-280"/>
    <x v="2"/>
    <d v="2024-03-01T00:00:00"/>
    <s v="Envía"/>
    <s v="Cheque"/>
    <s v="Aceite"/>
    <x v="0"/>
    <n v="18808.580000000002"/>
    <n v="23"/>
    <x v="106"/>
  </r>
  <r>
    <s v="FO-0108"/>
    <x v="104"/>
    <s v="CL-0108"/>
    <x v="9"/>
    <s v="Medellín"/>
    <x v="6"/>
    <s v="V-352"/>
    <x v="2"/>
    <d v="2023-05-13T00:00:00"/>
    <s v="Servientrega"/>
    <s v="Cheque"/>
    <s v="Arroz"/>
    <x v="5"/>
    <n v="15887.08"/>
    <n v="17"/>
    <x v="107"/>
  </r>
  <r>
    <s v="FO-0109"/>
    <x v="105"/>
    <s v="CL-0109"/>
    <x v="3"/>
    <s v="Pereira"/>
    <x v="2"/>
    <s v="V-434"/>
    <x v="3"/>
    <d v="2025-04-04T00:00:00"/>
    <s v="Envía"/>
    <s v="Cheque"/>
    <s v="Papa"/>
    <x v="1"/>
    <n v="4360.93"/>
    <n v="35"/>
    <x v="108"/>
  </r>
  <r>
    <s v="FO-0110"/>
    <x v="106"/>
    <s v="CL-0110"/>
    <x v="0"/>
    <s v="Barranquilla"/>
    <x v="0"/>
    <s v="V-315"/>
    <x v="3"/>
    <d v="2025-10-12T00:00:00"/>
    <s v="Deprisa"/>
    <s v="Crédito"/>
    <s v="Tomate"/>
    <x v="1"/>
    <n v="4137.63"/>
    <n v="11"/>
    <x v="109"/>
  </r>
  <r>
    <s v="FO-0111"/>
    <x v="107"/>
    <s v="CL-0111"/>
    <x v="0"/>
    <s v="Cúcuta"/>
    <x v="3"/>
    <s v="V-159"/>
    <x v="0"/>
    <d v="2024-02-26T00:00:00"/>
    <s v="Servientrega"/>
    <s v="Efectivo"/>
    <s v="Pasta"/>
    <x v="5"/>
    <n v="16407.38"/>
    <n v="1"/>
    <x v="110"/>
  </r>
  <r>
    <s v="FO-0112"/>
    <x v="108"/>
    <s v="CL-0112"/>
    <x v="1"/>
    <s v="Bogotá"/>
    <x v="0"/>
    <s v="V-809"/>
    <x v="2"/>
    <d v="2023-07-25T00:00:00"/>
    <s v="Envía"/>
    <s v="Nequi"/>
    <s v="Café"/>
    <x v="4"/>
    <n v="5151.41"/>
    <n v="41"/>
    <x v="111"/>
  </r>
  <r>
    <s v="FO-0113"/>
    <x v="109"/>
    <s v="CL-0113"/>
    <x v="1"/>
    <s v="Pereira"/>
    <x v="5"/>
    <s v="V-471"/>
    <x v="3"/>
    <d v="2023-06-28T00:00:00"/>
    <s v="Servientrega"/>
    <s v="Efectivo"/>
    <s v="Carne de res"/>
    <x v="6"/>
    <n v="12275.43"/>
    <n v="20"/>
    <x v="112"/>
  </r>
  <r>
    <s v="FO-0114"/>
    <x v="110"/>
    <s v="CL-0114"/>
    <x v="2"/>
    <s v="Santa Marta"/>
    <x v="3"/>
    <s v="V-588"/>
    <x v="2"/>
    <d v="2024-12-09T00:00:00"/>
    <s v="Coordinadora"/>
    <s v="Crédito"/>
    <s v="Tomate"/>
    <x v="1"/>
    <n v="5684.64"/>
    <n v="31"/>
    <x v="113"/>
  </r>
  <r>
    <s v="FO-0115"/>
    <x v="111"/>
    <s v="CL-0115"/>
    <x v="9"/>
    <s v="Barranquilla"/>
    <x v="9"/>
    <s v="V-678"/>
    <x v="1"/>
    <d v="2025-12-16T00:00:00"/>
    <s v="TCC"/>
    <s v="Efectivo"/>
    <s v="Sal"/>
    <x v="7"/>
    <n v="3858.03"/>
    <n v="20"/>
    <x v="114"/>
  </r>
  <r>
    <s v="FO-0116"/>
    <x v="112"/>
    <s v="CL-0116"/>
    <x v="8"/>
    <s v="Pereira"/>
    <x v="0"/>
    <s v="V-335"/>
    <x v="3"/>
    <d v="2022-05-28T00:00:00"/>
    <s v="Coordinadora"/>
    <s v="Crédito"/>
    <s v="Sal"/>
    <x v="7"/>
    <n v="16013.88"/>
    <n v="29"/>
    <x v="115"/>
  </r>
  <r>
    <s v="FO-0117"/>
    <x v="113"/>
    <s v="CL-0117"/>
    <x v="4"/>
    <s v="Bucaramanga"/>
    <x v="0"/>
    <s v="V-185"/>
    <x v="2"/>
    <d v="2025-01-26T00:00:00"/>
    <s v="Envía"/>
    <s v="Efectivo"/>
    <s v="Arepas"/>
    <x v="9"/>
    <n v="8303.4500000000007"/>
    <n v="33"/>
    <x v="116"/>
  </r>
  <r>
    <s v="FO-0118"/>
    <x v="66"/>
    <s v="CL-0118"/>
    <x v="6"/>
    <s v="Cúcuta"/>
    <x v="6"/>
    <s v="V-620"/>
    <x v="2"/>
    <d v="2023-02-14T00:00:00"/>
    <s v="Servientrega"/>
    <s v="Efectivo"/>
    <s v="Carne de res"/>
    <x v="6"/>
    <n v="11974.48"/>
    <n v="30"/>
    <x v="117"/>
  </r>
  <r>
    <s v="FO-0119"/>
    <x v="114"/>
    <s v="CL-0119"/>
    <x v="1"/>
    <s v="Barranquilla"/>
    <x v="1"/>
    <s v="V-587"/>
    <x v="3"/>
    <d v="2023-09-27T00:00:00"/>
    <s v="Servientrega"/>
    <s v="Nequi"/>
    <s v="Papa"/>
    <x v="1"/>
    <n v="8685.1200000000008"/>
    <n v="42"/>
    <x v="118"/>
  </r>
  <r>
    <s v="FO-0120"/>
    <x v="115"/>
    <s v="CL-0120"/>
    <x v="6"/>
    <s v="Cúcuta"/>
    <x v="4"/>
    <s v="V-472"/>
    <x v="1"/>
    <d v="2023-03-22T00:00:00"/>
    <s v="Deprisa"/>
    <s v="Crédito"/>
    <s v="Pasta"/>
    <x v="5"/>
    <n v="16894.07"/>
    <n v="39"/>
    <x v="119"/>
  </r>
  <r>
    <s v="FO-0121"/>
    <x v="116"/>
    <s v="CL-0121"/>
    <x v="6"/>
    <s v="Medellín"/>
    <x v="8"/>
    <s v="V-339"/>
    <x v="3"/>
    <d v="2025-01-26T00:00:00"/>
    <s v="Deprisa"/>
    <s v="Crédito"/>
    <s v="Huevos"/>
    <x v="8"/>
    <n v="5422.77"/>
    <n v="24"/>
    <x v="120"/>
  </r>
  <r>
    <s v="FO-0122"/>
    <x v="117"/>
    <s v="CL-0122"/>
    <x v="5"/>
    <s v="Cúcuta"/>
    <x v="1"/>
    <s v="V-739"/>
    <x v="0"/>
    <d v="2025-07-07T00:00:00"/>
    <s v="Envía"/>
    <s v="Efectivo"/>
    <s v="Leche"/>
    <x v="3"/>
    <n v="5609.21"/>
    <n v="6"/>
    <x v="121"/>
  </r>
  <r>
    <s v="FO-0123"/>
    <x v="118"/>
    <s v="CL-0123"/>
    <x v="8"/>
    <s v="Bucaramanga"/>
    <x v="4"/>
    <s v="V-722"/>
    <x v="1"/>
    <d v="2023-06-28T00:00:00"/>
    <s v="Coordinadora"/>
    <s v="Cheque"/>
    <s v="Papa"/>
    <x v="1"/>
    <n v="5233.1099999999997"/>
    <n v="9"/>
    <x v="122"/>
  </r>
  <r>
    <s v="FO-0124"/>
    <x v="119"/>
    <s v="CL-0124"/>
    <x v="4"/>
    <s v="Barranquilla"/>
    <x v="6"/>
    <s v="V-637"/>
    <x v="2"/>
    <d v="2025-10-05T00:00:00"/>
    <s v="Deprisa"/>
    <s v="Efectivo"/>
    <s v="Pan"/>
    <x v="9"/>
    <n v="3398.27"/>
    <n v="37"/>
    <x v="123"/>
  </r>
  <r>
    <s v="FO-0125"/>
    <x v="120"/>
    <s v="CL-0125"/>
    <x v="8"/>
    <s v="Cali"/>
    <x v="2"/>
    <s v="V-860"/>
    <x v="3"/>
    <d v="2022-06-04T00:00:00"/>
    <s v="Coordinadora"/>
    <s v="Cheque"/>
    <s v="Arroz"/>
    <x v="5"/>
    <n v="16385.87"/>
    <n v="2"/>
    <x v="124"/>
  </r>
  <r>
    <s v="FO-0126"/>
    <x v="121"/>
    <s v="CL-0126"/>
    <x v="3"/>
    <s v="Medellín"/>
    <x v="2"/>
    <s v="V-297"/>
    <x v="3"/>
    <d v="2025-10-14T00:00:00"/>
    <s v="Servientrega"/>
    <s v="Nequi"/>
    <s v="Leche"/>
    <x v="3"/>
    <n v="12098.85"/>
    <n v="20"/>
    <x v="125"/>
  </r>
  <r>
    <s v="FO-0127"/>
    <x v="122"/>
    <s v="CL-0127"/>
    <x v="5"/>
    <s v="Santa Marta"/>
    <x v="2"/>
    <s v="V-449"/>
    <x v="1"/>
    <d v="2024-02-12T00:00:00"/>
    <s v="Coordinadora"/>
    <s v="Crédito"/>
    <s v="Sal"/>
    <x v="7"/>
    <n v="10294.43"/>
    <n v="48"/>
    <x v="126"/>
  </r>
  <r>
    <s v="FO-0128"/>
    <x v="123"/>
    <s v="CL-0128"/>
    <x v="2"/>
    <s v="Santa Marta"/>
    <x v="6"/>
    <s v="V-878"/>
    <x v="0"/>
    <d v="2022-09-28T00:00:00"/>
    <s v="Servientrega"/>
    <s v="Crédito"/>
    <s v="Sal"/>
    <x v="7"/>
    <n v="3237.42"/>
    <n v="4"/>
    <x v="127"/>
  </r>
  <r>
    <s v="FO-0129"/>
    <x v="124"/>
    <s v="CL-0129"/>
    <x v="3"/>
    <s v="Cúcuta"/>
    <x v="9"/>
    <s v="V-983"/>
    <x v="3"/>
    <d v="2023-11-20T00:00:00"/>
    <s v="TCC"/>
    <s v="Nequi"/>
    <s v="Tomate"/>
    <x v="1"/>
    <n v="12804.01"/>
    <n v="32"/>
    <x v="128"/>
  </r>
  <r>
    <s v="FO-0130"/>
    <x v="125"/>
    <s v="CL-0130"/>
    <x v="2"/>
    <s v="Pereira"/>
    <x v="9"/>
    <s v="V-173"/>
    <x v="3"/>
    <d v="2024-12-12T00:00:00"/>
    <s v="Coordinadora"/>
    <s v="Efectivo"/>
    <s v="Arroz"/>
    <x v="5"/>
    <n v="2789.23"/>
    <n v="34"/>
    <x v="129"/>
  </r>
  <r>
    <s v="FO-0131"/>
    <x v="126"/>
    <s v="CL-0131"/>
    <x v="5"/>
    <s v="Bucaramanga"/>
    <x v="9"/>
    <s v="V-538"/>
    <x v="2"/>
    <d v="2024-03-13T00:00:00"/>
    <s v="TCC"/>
    <s v="Cheque"/>
    <s v="Frijoles"/>
    <x v="5"/>
    <n v="2391.87"/>
    <n v="15"/>
    <x v="130"/>
  </r>
  <r>
    <s v="FO-0132"/>
    <x v="127"/>
    <s v="CL-0132"/>
    <x v="0"/>
    <s v="Manizales"/>
    <x v="0"/>
    <s v="V-679"/>
    <x v="2"/>
    <d v="2024-06-21T00:00:00"/>
    <s v="Servientrega"/>
    <s v="Cheque"/>
    <s v="Pasta"/>
    <x v="5"/>
    <n v="13818.19"/>
    <n v="14"/>
    <x v="131"/>
  </r>
  <r>
    <s v="FO-0133"/>
    <x v="128"/>
    <s v="CL-0133"/>
    <x v="2"/>
    <s v="Cartagena"/>
    <x v="4"/>
    <s v="V-440"/>
    <x v="2"/>
    <d v="2024-02-21T00:00:00"/>
    <s v="Envía"/>
    <s v="Cheque"/>
    <s v="Frijoles"/>
    <x v="5"/>
    <n v="19835.64"/>
    <n v="34"/>
    <x v="132"/>
  </r>
  <r>
    <s v="FO-0134"/>
    <x v="129"/>
    <s v="CL-0134"/>
    <x v="5"/>
    <s v="Pereira"/>
    <x v="8"/>
    <s v="V-107"/>
    <x v="3"/>
    <d v="2023-10-15T00:00:00"/>
    <s v="Envía"/>
    <s v="Nequi"/>
    <s v="Azúcar"/>
    <x v="2"/>
    <n v="9723.11"/>
    <n v="8"/>
    <x v="133"/>
  </r>
  <r>
    <s v="FO-0135"/>
    <x v="130"/>
    <s v="CL-0135"/>
    <x v="6"/>
    <s v="Pereira"/>
    <x v="8"/>
    <s v="V-704"/>
    <x v="3"/>
    <d v="2022-02-05T00:00:00"/>
    <s v="Deprisa"/>
    <s v="Efectivo"/>
    <s v="Frijoles"/>
    <x v="5"/>
    <n v="17681.97"/>
    <n v="20"/>
    <x v="134"/>
  </r>
  <r>
    <s v="FO-0136"/>
    <x v="131"/>
    <s v="CL-0136"/>
    <x v="6"/>
    <s v="Pereira"/>
    <x v="0"/>
    <s v="V-203"/>
    <x v="1"/>
    <d v="2023-08-21T00:00:00"/>
    <s v="Coordinadora"/>
    <s v="Cheque"/>
    <s v="Café"/>
    <x v="4"/>
    <n v="19948.900000000001"/>
    <n v="22"/>
    <x v="135"/>
  </r>
  <r>
    <s v="FO-0137"/>
    <x v="132"/>
    <s v="CL-0137"/>
    <x v="1"/>
    <s v="Bogotá"/>
    <x v="4"/>
    <s v="V-607"/>
    <x v="3"/>
    <d v="2022-04-25T00:00:00"/>
    <s v="Coordinadora"/>
    <s v="Efectivo"/>
    <s v="Aceite"/>
    <x v="0"/>
    <n v="8267.77"/>
    <n v="7"/>
    <x v="136"/>
  </r>
  <r>
    <s v="FO-0138"/>
    <x v="133"/>
    <s v="CL-0138"/>
    <x v="8"/>
    <s v="Bucaramanga"/>
    <x v="0"/>
    <s v="V-857"/>
    <x v="2"/>
    <d v="2025-02-10T00:00:00"/>
    <s v="Servientrega"/>
    <s v="Cheque"/>
    <s v="Sal"/>
    <x v="7"/>
    <n v="10242.26"/>
    <n v="41"/>
    <x v="137"/>
  </r>
  <r>
    <s v="FO-0139"/>
    <x v="134"/>
    <s v="CL-0139"/>
    <x v="7"/>
    <s v="Medellín"/>
    <x v="2"/>
    <s v="V-626"/>
    <x v="0"/>
    <d v="2023-01-01T00:00:00"/>
    <s v="Servientrega"/>
    <s v="Crédito"/>
    <s v="Frijoles"/>
    <x v="5"/>
    <n v="9615.91"/>
    <n v="5"/>
    <x v="138"/>
  </r>
  <r>
    <s v="FO-0140"/>
    <x v="135"/>
    <s v="CL-0140"/>
    <x v="6"/>
    <s v="Cali"/>
    <x v="7"/>
    <s v="V-742"/>
    <x v="2"/>
    <d v="2023-08-11T00:00:00"/>
    <s v="Envía"/>
    <s v="Crédito"/>
    <s v="Huevos"/>
    <x v="8"/>
    <n v="15750.95"/>
    <n v="16"/>
    <x v="139"/>
  </r>
  <r>
    <s v="FO-0141"/>
    <x v="136"/>
    <s v="CL-0141"/>
    <x v="2"/>
    <s v="Pereira"/>
    <x v="9"/>
    <s v="V-978"/>
    <x v="1"/>
    <d v="2024-04-06T00:00:00"/>
    <s v="Servientrega"/>
    <s v="Cheque"/>
    <s v="Carne de res"/>
    <x v="6"/>
    <n v="9898.6299999999992"/>
    <n v="48"/>
    <x v="140"/>
  </r>
  <r>
    <s v="FO-0142"/>
    <x v="137"/>
    <s v="CL-0142"/>
    <x v="1"/>
    <s v="Santa Marta"/>
    <x v="0"/>
    <s v="V-399"/>
    <x v="2"/>
    <d v="2024-07-06T00:00:00"/>
    <s v="Deprisa"/>
    <s v="Cheque"/>
    <s v="Aceite"/>
    <x v="0"/>
    <n v="18615.759999999998"/>
    <n v="39"/>
    <x v="141"/>
  </r>
  <r>
    <s v="FO-0143"/>
    <x v="138"/>
    <s v="CL-0143"/>
    <x v="7"/>
    <s v="Barranquilla"/>
    <x v="2"/>
    <s v="V-285"/>
    <x v="1"/>
    <d v="2022-12-10T00:00:00"/>
    <s v="TCC"/>
    <s v="Cheque"/>
    <s v="Huevos"/>
    <x v="8"/>
    <n v="10968.19"/>
    <n v="12"/>
    <x v="142"/>
  </r>
  <r>
    <s v="FO-0144"/>
    <x v="139"/>
    <s v="CL-0144"/>
    <x v="5"/>
    <s v="Cali"/>
    <x v="1"/>
    <s v="V-701"/>
    <x v="3"/>
    <d v="2025-06-21T00:00:00"/>
    <s v="TCC"/>
    <s v="Cheque"/>
    <s v="Carne de res"/>
    <x v="6"/>
    <n v="14518.33"/>
    <n v="37"/>
    <x v="143"/>
  </r>
  <r>
    <s v="FO-0145"/>
    <x v="140"/>
    <s v="CL-0145"/>
    <x v="3"/>
    <s v="Manizales"/>
    <x v="0"/>
    <s v="V-419"/>
    <x v="3"/>
    <d v="2025-04-10T00:00:00"/>
    <s v="TCC"/>
    <s v="Crédito"/>
    <s v="Arroz"/>
    <x v="5"/>
    <n v="8047.35"/>
    <n v="4"/>
    <x v="144"/>
  </r>
  <r>
    <s v="FO-0146"/>
    <x v="141"/>
    <s v="CL-0146"/>
    <x v="4"/>
    <s v="Barranquilla"/>
    <x v="1"/>
    <s v="V-673"/>
    <x v="2"/>
    <d v="2025-06-10T00:00:00"/>
    <s v="Coordinadora"/>
    <s v="Nequi"/>
    <s v="Papa"/>
    <x v="1"/>
    <n v="14205.91"/>
    <n v="48"/>
    <x v="145"/>
  </r>
  <r>
    <s v="FO-0147"/>
    <x v="142"/>
    <s v="CL-0147"/>
    <x v="3"/>
    <s v="Pereira"/>
    <x v="3"/>
    <s v="V-342"/>
    <x v="0"/>
    <d v="2025-10-18T00:00:00"/>
    <s v="TCC"/>
    <s v="Nequi"/>
    <s v="Papa"/>
    <x v="1"/>
    <n v="15251.38"/>
    <n v="26"/>
    <x v="146"/>
  </r>
  <r>
    <s v="FO-0148"/>
    <x v="143"/>
    <s v="CL-0148"/>
    <x v="1"/>
    <s v="Medellín"/>
    <x v="2"/>
    <s v="V-623"/>
    <x v="3"/>
    <d v="2022-10-01T00:00:00"/>
    <s v="Servientrega"/>
    <s v="Nequi"/>
    <s v="Arroz"/>
    <x v="5"/>
    <n v="17968.580000000002"/>
    <n v="4"/>
    <x v="147"/>
  </r>
  <r>
    <s v="FO-0149"/>
    <x v="144"/>
    <s v="CL-0149"/>
    <x v="8"/>
    <s v="Cúcuta"/>
    <x v="0"/>
    <s v="V-434"/>
    <x v="0"/>
    <d v="2022-01-26T00:00:00"/>
    <s v="Coordinadora"/>
    <s v="Cheque"/>
    <s v="Papa"/>
    <x v="1"/>
    <n v="8701.34"/>
    <n v="34"/>
    <x v="148"/>
  </r>
  <r>
    <s v="FO-0150"/>
    <x v="145"/>
    <s v="CL-0150"/>
    <x v="8"/>
    <s v="Medellín"/>
    <x v="7"/>
    <s v="V-520"/>
    <x v="3"/>
    <d v="2022-09-06T00:00:00"/>
    <s v="Servientrega"/>
    <s v="Crédito"/>
    <s v="Sal"/>
    <x v="7"/>
    <n v="14948.86"/>
    <n v="36"/>
    <x v="149"/>
  </r>
  <r>
    <s v="FO-0151"/>
    <x v="63"/>
    <s v="CL-0151"/>
    <x v="5"/>
    <s v="Bogotá"/>
    <x v="1"/>
    <s v="V-261"/>
    <x v="1"/>
    <d v="2023-01-11T00:00:00"/>
    <s v="Coordinadora"/>
    <s v="Nequi"/>
    <s v="Huevos"/>
    <x v="8"/>
    <n v="12108.67"/>
    <n v="11"/>
    <x v="150"/>
  </r>
  <r>
    <s v="FO-0152"/>
    <x v="146"/>
    <s v="CL-0152"/>
    <x v="8"/>
    <s v="Cali"/>
    <x v="7"/>
    <s v="V-457"/>
    <x v="2"/>
    <d v="2022-06-09T00:00:00"/>
    <s v="Coordinadora"/>
    <s v="Cheque"/>
    <s v="Tomate"/>
    <x v="1"/>
    <n v="8867.57"/>
    <n v="35"/>
    <x v="151"/>
  </r>
  <r>
    <s v="FO-0153"/>
    <x v="147"/>
    <s v="CL-0153"/>
    <x v="1"/>
    <s v="Cali"/>
    <x v="1"/>
    <s v="V-170"/>
    <x v="2"/>
    <d v="2023-09-15T00:00:00"/>
    <s v="Coordinadora"/>
    <s v="Efectivo"/>
    <s v="Aceite"/>
    <x v="0"/>
    <n v="3333.47"/>
    <n v="30"/>
    <x v="152"/>
  </r>
  <r>
    <s v="FO-0154"/>
    <x v="148"/>
    <s v="CL-0154"/>
    <x v="1"/>
    <s v="Bogotá"/>
    <x v="5"/>
    <s v="V-982"/>
    <x v="0"/>
    <d v="2024-05-28T00:00:00"/>
    <s v="Envía"/>
    <s v="Crédito"/>
    <s v="Pasta"/>
    <x v="5"/>
    <n v="14188.55"/>
    <n v="49"/>
    <x v="153"/>
  </r>
  <r>
    <s v="FO-0155"/>
    <x v="149"/>
    <s v="CL-0155"/>
    <x v="6"/>
    <s v="Cúcuta"/>
    <x v="7"/>
    <s v="V-284"/>
    <x v="1"/>
    <d v="2022-06-16T00:00:00"/>
    <s v="TCC"/>
    <s v="Nequi"/>
    <s v="Café"/>
    <x v="4"/>
    <n v="8913.9"/>
    <n v="16"/>
    <x v="154"/>
  </r>
  <r>
    <s v="FO-0156"/>
    <x v="150"/>
    <s v="CL-0156"/>
    <x v="3"/>
    <s v="Medellín"/>
    <x v="4"/>
    <s v="V-159"/>
    <x v="3"/>
    <d v="2024-11-05T00:00:00"/>
    <s v="Deprisa"/>
    <s v="Efectivo"/>
    <s v="Papa"/>
    <x v="1"/>
    <n v="15977.82"/>
    <n v="38"/>
    <x v="155"/>
  </r>
  <r>
    <s v="FO-0157"/>
    <x v="151"/>
    <s v="CL-0157"/>
    <x v="5"/>
    <s v="Manizales"/>
    <x v="9"/>
    <s v="V-838"/>
    <x v="0"/>
    <d v="2024-05-08T00:00:00"/>
    <s v="TCC"/>
    <s v="Crédito"/>
    <s v="Arepas"/>
    <x v="9"/>
    <n v="13982.97"/>
    <n v="41"/>
    <x v="156"/>
  </r>
  <r>
    <s v="FO-0158"/>
    <x v="152"/>
    <s v="CL-0158"/>
    <x v="7"/>
    <s v="Medellín"/>
    <x v="1"/>
    <s v="V-323"/>
    <x v="0"/>
    <d v="2024-03-21T00:00:00"/>
    <s v="TCC"/>
    <s v="Cheque"/>
    <s v="Sal"/>
    <x v="7"/>
    <n v="9026.42"/>
    <n v="37"/>
    <x v="157"/>
  </r>
  <r>
    <s v="FO-0159"/>
    <x v="153"/>
    <s v="CL-0159"/>
    <x v="7"/>
    <s v="Cartagena"/>
    <x v="9"/>
    <s v="V-651"/>
    <x v="2"/>
    <d v="2024-06-02T00:00:00"/>
    <s v="TCC"/>
    <s v="Efectivo"/>
    <s v="Huevos"/>
    <x v="8"/>
    <n v="15503.64"/>
    <n v="41"/>
    <x v="158"/>
  </r>
  <r>
    <s v="FO-0160"/>
    <x v="154"/>
    <s v="CL-0160"/>
    <x v="6"/>
    <s v="Barranquilla"/>
    <x v="3"/>
    <s v="V-616"/>
    <x v="1"/>
    <d v="2023-08-04T00:00:00"/>
    <s v="Coordinadora"/>
    <s v="Crédito"/>
    <s v="Pan"/>
    <x v="9"/>
    <n v="9239.35"/>
    <n v="19"/>
    <x v="159"/>
  </r>
  <r>
    <s v="FO-0161"/>
    <x v="155"/>
    <s v="CL-0161"/>
    <x v="6"/>
    <s v="Barranquilla"/>
    <x v="6"/>
    <s v="V-402"/>
    <x v="1"/>
    <d v="2023-12-16T00:00:00"/>
    <s v="Servientrega"/>
    <s v="Cheque"/>
    <s v="Arroz"/>
    <x v="5"/>
    <n v="16938.37"/>
    <n v="16"/>
    <x v="160"/>
  </r>
  <r>
    <s v="FO-0162"/>
    <x v="156"/>
    <s v="CL-0162"/>
    <x v="5"/>
    <s v="Cartagena"/>
    <x v="2"/>
    <s v="V-826"/>
    <x v="1"/>
    <d v="2023-01-25T00:00:00"/>
    <s v="Coordinadora"/>
    <s v="Efectivo"/>
    <s v="Carne de res"/>
    <x v="6"/>
    <n v="4775.2700000000004"/>
    <n v="42"/>
    <x v="161"/>
  </r>
  <r>
    <s v="FO-0163"/>
    <x v="157"/>
    <s v="CL-0163"/>
    <x v="3"/>
    <s v="Bucaramanga"/>
    <x v="2"/>
    <s v="V-150"/>
    <x v="2"/>
    <d v="2024-09-19T00:00:00"/>
    <s v="Coordinadora"/>
    <s v="Cheque"/>
    <s v="Papa"/>
    <x v="1"/>
    <n v="11842.77"/>
    <n v="50"/>
    <x v="162"/>
  </r>
  <r>
    <s v="FO-0164"/>
    <x v="158"/>
    <s v="CL-0164"/>
    <x v="6"/>
    <s v="Cali"/>
    <x v="6"/>
    <s v="V-603"/>
    <x v="0"/>
    <d v="2023-04-30T00:00:00"/>
    <s v="TCC"/>
    <s v="Nequi"/>
    <s v="Huevos"/>
    <x v="8"/>
    <n v="16295.75"/>
    <n v="5"/>
    <x v="163"/>
  </r>
  <r>
    <s v="FO-0165"/>
    <x v="159"/>
    <s v="CL-0165"/>
    <x v="0"/>
    <s v="Bogotá"/>
    <x v="7"/>
    <s v="V-665"/>
    <x v="1"/>
    <d v="2023-01-24T00:00:00"/>
    <s v="Envía"/>
    <s v="Efectivo"/>
    <s v="Huevos"/>
    <x v="8"/>
    <n v="5457.05"/>
    <n v="4"/>
    <x v="164"/>
  </r>
  <r>
    <s v="FO-0166"/>
    <x v="160"/>
    <s v="CL-0166"/>
    <x v="6"/>
    <s v="Cali"/>
    <x v="9"/>
    <s v="V-174"/>
    <x v="1"/>
    <d v="2025-09-30T00:00:00"/>
    <s v="Deprisa"/>
    <s v="Crédito"/>
    <s v="Arroz"/>
    <x v="5"/>
    <n v="2416.38"/>
    <n v="15"/>
    <x v="165"/>
  </r>
  <r>
    <s v="FO-0167"/>
    <x v="161"/>
    <s v="CL-0167"/>
    <x v="4"/>
    <s v="Manizales"/>
    <x v="0"/>
    <s v="V-681"/>
    <x v="0"/>
    <d v="2024-04-02T00:00:00"/>
    <s v="TCC"/>
    <s v="Nequi"/>
    <s v="Sal"/>
    <x v="7"/>
    <n v="9728.15"/>
    <n v="42"/>
    <x v="166"/>
  </r>
  <r>
    <s v="FO-0168"/>
    <x v="162"/>
    <s v="CL-0168"/>
    <x v="1"/>
    <s v="Cartagena"/>
    <x v="1"/>
    <s v="V-304"/>
    <x v="3"/>
    <d v="2023-12-10T00:00:00"/>
    <s v="Deprisa"/>
    <s v="Efectivo"/>
    <s v="Papa"/>
    <x v="1"/>
    <n v="3728.81"/>
    <n v="31"/>
    <x v="167"/>
  </r>
  <r>
    <s v="FO-0169"/>
    <x v="163"/>
    <s v="CL-0169"/>
    <x v="2"/>
    <s v="Pereira"/>
    <x v="8"/>
    <s v="V-641"/>
    <x v="0"/>
    <d v="2023-07-13T00:00:00"/>
    <s v="Envía"/>
    <s v="Nequi"/>
    <s v="Papa"/>
    <x v="1"/>
    <n v="19165.55"/>
    <n v="43"/>
    <x v="168"/>
  </r>
  <r>
    <s v="FO-0170"/>
    <x v="164"/>
    <s v="CL-0170"/>
    <x v="3"/>
    <s v="Bogotá"/>
    <x v="1"/>
    <s v="V-931"/>
    <x v="3"/>
    <d v="2024-04-17T00:00:00"/>
    <s v="Servientrega"/>
    <s v="Cheque"/>
    <s v="Pollo"/>
    <x v="6"/>
    <n v="2284.7199999999998"/>
    <n v="24"/>
    <x v="169"/>
  </r>
  <r>
    <s v="FO-0171"/>
    <x v="165"/>
    <s v="CL-0171"/>
    <x v="9"/>
    <s v="Medellín"/>
    <x v="6"/>
    <s v="V-313"/>
    <x v="2"/>
    <d v="2023-12-17T00:00:00"/>
    <s v="Servientrega"/>
    <s v="Cheque"/>
    <s v="Arroz"/>
    <x v="5"/>
    <n v="11474.03"/>
    <n v="43"/>
    <x v="170"/>
  </r>
  <r>
    <s v="FO-0172"/>
    <x v="166"/>
    <s v="CL-0172"/>
    <x v="0"/>
    <s v="Manizales"/>
    <x v="9"/>
    <s v="V-906"/>
    <x v="1"/>
    <d v="2023-11-22T00:00:00"/>
    <s v="Deprisa"/>
    <s v="Crédito"/>
    <s v="Pollo"/>
    <x v="6"/>
    <n v="2689.34"/>
    <n v="23"/>
    <x v="171"/>
  </r>
  <r>
    <s v="FO-0173"/>
    <x v="167"/>
    <s v="CL-0173"/>
    <x v="2"/>
    <s v="Barranquilla"/>
    <x v="1"/>
    <s v="V-952"/>
    <x v="3"/>
    <d v="2022-10-16T00:00:00"/>
    <s v="Envía"/>
    <s v="Nequi"/>
    <s v="Huevos"/>
    <x v="8"/>
    <n v="8666.98"/>
    <n v="12"/>
    <x v="172"/>
  </r>
  <r>
    <s v="FO-0174"/>
    <x v="168"/>
    <s v="CL-0174"/>
    <x v="5"/>
    <s v="Bogotá"/>
    <x v="7"/>
    <s v="V-651"/>
    <x v="2"/>
    <d v="2023-11-08T00:00:00"/>
    <s v="Envía"/>
    <s v="Cheque"/>
    <s v="Leche"/>
    <x v="3"/>
    <n v="2029.81"/>
    <n v="1"/>
    <x v="173"/>
  </r>
  <r>
    <s v="FO-0175"/>
    <x v="169"/>
    <s v="CL-0175"/>
    <x v="5"/>
    <s v="Santa Marta"/>
    <x v="9"/>
    <s v="V-749"/>
    <x v="1"/>
    <d v="2022-05-01T00:00:00"/>
    <s v="Coordinadora"/>
    <s v="Crédito"/>
    <s v="Frijoles"/>
    <x v="5"/>
    <n v="13405.68"/>
    <n v="17"/>
    <x v="174"/>
  </r>
  <r>
    <s v="FO-0176"/>
    <x v="170"/>
    <s v="CL-0176"/>
    <x v="1"/>
    <s v="Pereira"/>
    <x v="1"/>
    <s v="V-243"/>
    <x v="1"/>
    <d v="2023-04-25T00:00:00"/>
    <s v="Deprisa"/>
    <s v="Nequi"/>
    <s v="Aceite"/>
    <x v="0"/>
    <n v="7296.1"/>
    <n v="21"/>
    <x v="175"/>
  </r>
  <r>
    <s v="FO-0177"/>
    <x v="171"/>
    <s v="CL-0177"/>
    <x v="9"/>
    <s v="Cartagena"/>
    <x v="4"/>
    <s v="V-218"/>
    <x v="2"/>
    <d v="2023-07-28T00:00:00"/>
    <s v="TCC"/>
    <s v="Crédito"/>
    <s v="Leche"/>
    <x v="3"/>
    <n v="12471.18"/>
    <n v="17"/>
    <x v="176"/>
  </r>
  <r>
    <s v="FO-0178"/>
    <x v="172"/>
    <s v="CL-0178"/>
    <x v="1"/>
    <s v="Cartagena"/>
    <x v="4"/>
    <s v="V-130"/>
    <x v="1"/>
    <d v="2023-10-30T00:00:00"/>
    <s v="Deprisa"/>
    <s v="Efectivo"/>
    <s v="Arepas"/>
    <x v="9"/>
    <n v="13030.37"/>
    <n v="38"/>
    <x v="177"/>
  </r>
  <r>
    <s v="FO-0179"/>
    <x v="173"/>
    <s v="CL-0179"/>
    <x v="8"/>
    <s v="Cali"/>
    <x v="6"/>
    <s v="V-516"/>
    <x v="2"/>
    <d v="2024-02-12T00:00:00"/>
    <s v="Servientrega"/>
    <s v="Crédito"/>
    <s v="Pollo"/>
    <x v="6"/>
    <n v="15647.92"/>
    <n v="29"/>
    <x v="178"/>
  </r>
  <r>
    <s v="FO-0180"/>
    <x v="174"/>
    <s v="CL-0180"/>
    <x v="6"/>
    <s v="Medellín"/>
    <x v="2"/>
    <s v="V-952"/>
    <x v="0"/>
    <d v="2025-06-29T00:00:00"/>
    <s v="Servientrega"/>
    <s v="Cheque"/>
    <s v="Tomate"/>
    <x v="1"/>
    <n v="13489.51"/>
    <n v="23"/>
    <x v="179"/>
  </r>
  <r>
    <s v="FO-0181"/>
    <x v="175"/>
    <s v="CL-0181"/>
    <x v="4"/>
    <s v="Cali"/>
    <x v="7"/>
    <s v="V-713"/>
    <x v="1"/>
    <d v="2025-06-25T00:00:00"/>
    <s v="Deprisa"/>
    <s v="Efectivo"/>
    <s v="Tomate"/>
    <x v="1"/>
    <n v="8945.0499999999993"/>
    <n v="25"/>
    <x v="180"/>
  </r>
  <r>
    <s v="FO-0182"/>
    <x v="119"/>
    <s v="CL-0182"/>
    <x v="8"/>
    <s v="Bucaramanga"/>
    <x v="5"/>
    <s v="V-234"/>
    <x v="1"/>
    <d v="2025-10-05T00:00:00"/>
    <s v="TCC"/>
    <s v="Cheque"/>
    <s v="Sal"/>
    <x v="7"/>
    <n v="11925.36"/>
    <n v="20"/>
    <x v="181"/>
  </r>
  <r>
    <s v="FO-0183"/>
    <x v="176"/>
    <s v="CL-0183"/>
    <x v="1"/>
    <s v="Cúcuta"/>
    <x v="8"/>
    <s v="V-208"/>
    <x v="1"/>
    <d v="2024-05-09T00:00:00"/>
    <s v="Coordinadora"/>
    <s v="Efectivo"/>
    <s v="Pasta"/>
    <x v="5"/>
    <n v="12098.69"/>
    <n v="37"/>
    <x v="182"/>
  </r>
  <r>
    <s v="FO-0184"/>
    <x v="177"/>
    <s v="CL-0184"/>
    <x v="2"/>
    <s v="Manizales"/>
    <x v="7"/>
    <s v="V-928"/>
    <x v="0"/>
    <d v="2024-08-18T00:00:00"/>
    <s v="TCC"/>
    <s v="Cheque"/>
    <s v="Café"/>
    <x v="4"/>
    <n v="12986.83"/>
    <n v="24"/>
    <x v="183"/>
  </r>
  <r>
    <s v="FO-0185"/>
    <x v="178"/>
    <s v="CL-0185"/>
    <x v="4"/>
    <s v="Cúcuta"/>
    <x v="3"/>
    <s v="V-587"/>
    <x v="1"/>
    <d v="2022-02-25T00:00:00"/>
    <s v="TCC"/>
    <s v="Crédito"/>
    <s v="Arroz"/>
    <x v="5"/>
    <n v="4040.33"/>
    <n v="10"/>
    <x v="184"/>
  </r>
  <r>
    <s v="FO-0186"/>
    <x v="179"/>
    <s v="CL-0186"/>
    <x v="0"/>
    <s v="Pereira"/>
    <x v="5"/>
    <s v="V-416"/>
    <x v="0"/>
    <d v="2022-11-25T00:00:00"/>
    <s v="Coordinadora"/>
    <s v="Cheque"/>
    <s v="Café"/>
    <x v="4"/>
    <n v="14532.57"/>
    <n v="37"/>
    <x v="185"/>
  </r>
  <r>
    <s v="FO-0187"/>
    <x v="180"/>
    <s v="CL-0187"/>
    <x v="6"/>
    <s v="Bucaramanga"/>
    <x v="0"/>
    <s v="V-836"/>
    <x v="0"/>
    <d v="2023-04-09T00:00:00"/>
    <s v="Servientrega"/>
    <s v="Crédito"/>
    <s v="Carne de res"/>
    <x v="6"/>
    <n v="16274.45"/>
    <n v="31"/>
    <x v="186"/>
  </r>
  <r>
    <s v="FO-0188"/>
    <x v="71"/>
    <s v="CL-0188"/>
    <x v="7"/>
    <s v="Medellín"/>
    <x v="4"/>
    <s v="V-410"/>
    <x v="2"/>
    <d v="2025-08-07T00:00:00"/>
    <s v="Servientrega"/>
    <s v="Crédito"/>
    <s v="Carne de res"/>
    <x v="6"/>
    <n v="19385.150000000001"/>
    <n v="20"/>
    <x v="187"/>
  </r>
  <r>
    <s v="FO-0189"/>
    <x v="181"/>
    <s v="CL-0189"/>
    <x v="5"/>
    <s v="Medellín"/>
    <x v="5"/>
    <s v="V-414"/>
    <x v="2"/>
    <d v="2024-09-15T00:00:00"/>
    <s v="Envía"/>
    <s v="Efectivo"/>
    <s v="Pasta"/>
    <x v="5"/>
    <n v="16050.39"/>
    <n v="32"/>
    <x v="188"/>
  </r>
  <r>
    <s v="FO-0190"/>
    <x v="140"/>
    <s v="CL-0190"/>
    <x v="5"/>
    <s v="Cúcuta"/>
    <x v="5"/>
    <s v="V-823"/>
    <x v="3"/>
    <d v="2025-04-10T00:00:00"/>
    <s v="TCC"/>
    <s v="Efectivo"/>
    <s v="Arroz"/>
    <x v="5"/>
    <n v="8995.9500000000007"/>
    <n v="27"/>
    <x v="189"/>
  </r>
  <r>
    <s v="FO-0191"/>
    <x v="182"/>
    <s v="CL-0191"/>
    <x v="3"/>
    <s v="Cúcuta"/>
    <x v="5"/>
    <s v="V-214"/>
    <x v="3"/>
    <d v="2025-07-07T00:00:00"/>
    <s v="TCC"/>
    <s v="Crédito"/>
    <s v="Azúcar"/>
    <x v="2"/>
    <n v="5868.97"/>
    <n v="42"/>
    <x v="190"/>
  </r>
  <r>
    <s v="FO-0192"/>
    <x v="157"/>
    <s v="CL-0192"/>
    <x v="1"/>
    <s v="Medellín"/>
    <x v="5"/>
    <s v="V-135"/>
    <x v="0"/>
    <d v="2024-09-17T00:00:00"/>
    <s v="Envía"/>
    <s v="Efectivo"/>
    <s v="Leche"/>
    <x v="3"/>
    <n v="4429.0600000000004"/>
    <n v="32"/>
    <x v="191"/>
  </r>
  <r>
    <s v="FO-0193"/>
    <x v="183"/>
    <s v="CL-0193"/>
    <x v="0"/>
    <s v="Cúcuta"/>
    <x v="9"/>
    <s v="V-565"/>
    <x v="2"/>
    <d v="2025-01-20T00:00:00"/>
    <s v="Deprisa"/>
    <s v="Efectivo"/>
    <s v="Café"/>
    <x v="4"/>
    <n v="7448.95"/>
    <n v="20"/>
    <x v="192"/>
  </r>
  <r>
    <s v="FO-0194"/>
    <x v="184"/>
    <s v="CL-0194"/>
    <x v="8"/>
    <s v="Manizales"/>
    <x v="0"/>
    <s v="V-148"/>
    <x v="2"/>
    <d v="2024-10-10T00:00:00"/>
    <s v="Coordinadora"/>
    <s v="Cheque"/>
    <s v="Frijoles"/>
    <x v="5"/>
    <n v="5385.55"/>
    <n v="48"/>
    <x v="193"/>
  </r>
  <r>
    <s v="FO-0195"/>
    <x v="185"/>
    <s v="CL-0195"/>
    <x v="8"/>
    <s v="Santa Marta"/>
    <x v="6"/>
    <s v="V-886"/>
    <x v="2"/>
    <d v="2023-03-22T00:00:00"/>
    <s v="Coordinadora"/>
    <s v="Nequi"/>
    <s v="Aceite"/>
    <x v="0"/>
    <n v="3266.73"/>
    <n v="36"/>
    <x v="194"/>
  </r>
  <r>
    <s v="FO-0196"/>
    <x v="186"/>
    <s v="CL-0196"/>
    <x v="7"/>
    <s v="Barranquilla"/>
    <x v="5"/>
    <s v="V-716"/>
    <x v="1"/>
    <d v="2023-06-10T00:00:00"/>
    <s v="Coordinadora"/>
    <s v="Nequi"/>
    <s v="Leche"/>
    <x v="3"/>
    <n v="9303.94"/>
    <n v="14"/>
    <x v="195"/>
  </r>
  <r>
    <s v="FO-0197"/>
    <x v="187"/>
    <s v="CL-0197"/>
    <x v="5"/>
    <s v="Barranquilla"/>
    <x v="5"/>
    <s v="V-232"/>
    <x v="1"/>
    <d v="2024-12-18T00:00:00"/>
    <s v="Coordinadora"/>
    <s v="Nequi"/>
    <s v="Café"/>
    <x v="4"/>
    <n v="18733.5"/>
    <n v="19"/>
    <x v="196"/>
  </r>
  <r>
    <s v="FO-0198"/>
    <x v="188"/>
    <s v="CL-0198"/>
    <x v="0"/>
    <s v="Cali"/>
    <x v="8"/>
    <s v="V-418"/>
    <x v="3"/>
    <d v="2024-01-12T00:00:00"/>
    <s v="Envía"/>
    <s v="Crédito"/>
    <s v="Azúcar"/>
    <x v="2"/>
    <n v="6301.66"/>
    <n v="5"/>
    <x v="197"/>
  </r>
  <r>
    <s v="FO-0199"/>
    <x v="189"/>
    <s v="CL-0199"/>
    <x v="7"/>
    <s v="Cartagena"/>
    <x v="2"/>
    <s v="V-459"/>
    <x v="3"/>
    <d v="2024-08-08T00:00:00"/>
    <s v="Deprisa"/>
    <s v="Nequi"/>
    <s v="Pasta"/>
    <x v="5"/>
    <n v="13273.13"/>
    <n v="36"/>
    <x v="198"/>
  </r>
  <r>
    <s v="FO-0200"/>
    <x v="190"/>
    <s v="CL-0200"/>
    <x v="9"/>
    <s v="Barranquilla"/>
    <x v="3"/>
    <s v="V-899"/>
    <x v="3"/>
    <d v="2023-11-09T00:00:00"/>
    <s v="Coordinadora"/>
    <s v="Nequi"/>
    <s v="Azúcar"/>
    <x v="2"/>
    <n v="11349.21"/>
    <n v="50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0B40E-5A90-4A99-BE81-60FFC2628CFD}" name="TablaDinámica5" cacheId="2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K41:L47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axis="axisRow" dataField="1" numFmtId="165" showAll="0">
      <items count="8">
        <item x="0"/>
        <item n="$0-$200k" x="1"/>
        <item n="$200k-$400k" x="2"/>
        <item n="$400k-$600k" x="3"/>
        <item n="$600k-$800k" x="4"/>
        <item n="$800k-$1M" x="5"/>
        <item x="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ngreso Total" fld="15" baseField="0" baseItem="0" numFmtId="165"/>
  </dataFields>
  <formats count="1">
    <format dxfId="35">
      <pivotArea dataOnly="0" labelOnly="1" fieldPosition="0">
        <references count="1">
          <reference field="15" count="5">
            <x v="1"/>
            <x v="2"/>
            <x v="3"/>
            <x v="4"/>
            <x v="5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02DC-7663-4173-B571-B6DEA3498BCE}" name="TablaDinámica4" cacheId="2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K21:L32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axis="axisRow" showAll="0">
      <items count="11">
        <item x="6"/>
        <item x="7"/>
        <item x="4"/>
        <item x="5"/>
        <item x="8"/>
        <item x="9"/>
        <item x="3"/>
        <item x="0"/>
        <item x="1"/>
        <item x="2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710D0-9BDF-488C-BB06-F539C0C08F2F}" name="TablaDinámica3" cacheId="2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K3:L14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axis="axisRow"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8AB5B-4A1B-4087-9870-971480E17491}" name="TablaDinámica2" cacheId="2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23:B34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axis="axisRow"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0A52-B004-4F69-A5E8-2DD3ED3A6038}" name="TablaDinámica1" cacheId="2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16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Ingreso Total" fld="1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_Cliente" xr10:uid="{825A8109-94B7-4AC7-B0A7-4B1237A6A699}" sourceName="Nombre de Cliente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10">
        <i x="5" s="1"/>
        <i x="3" s="1"/>
        <i x="4" s="1"/>
        <i x="7" s="1"/>
        <i x="9" s="1"/>
        <i x="0" s="1"/>
        <i x="6" s="1"/>
        <i x="1" s="1"/>
        <i x="8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04A859F3-8259-4BBC-89F8-7D3367B1FE68}" sourceName="Región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4">
        <i x="1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E58BCEF9-551A-486A-AF79-144BF26BB35C}" sourceName="Categoría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10">
        <i x="0" s="1"/>
        <i x="4" s="1"/>
        <i x="6" s="1"/>
        <i x="7" s="1"/>
        <i x="2" s="1"/>
        <i x="5" s="1"/>
        <i x="3" s="1"/>
        <i x="9" s="1"/>
        <i x="8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 Cliente" xr10:uid="{70E3B27F-7DDC-4B97-9577-37AA0AFCAC19}" cache="SegmentaciónDeDatos_Nombre_de_Cliente" caption="Nombre de Cliente" startItem="2" style="SlicerStyleDark1" rowHeight="234950"/>
  <slicer name="Región" xr10:uid="{10EAF906-423A-45B9-981D-22DA50BE324F}" cache="SegmentaciónDeDatos_Región" caption="Región" style="SlicerStyleDark1" rowHeight="234950"/>
  <slicer name="Categoría" xr10:uid="{35CDD759-0FFC-4FA7-8C0E-C7FA7120A048}" cache="SegmentaciónDeDatos_Categoría" caption="Categoría" startItem="2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Ventas" displayName="DatosVentas" ref="A1:P201">
  <autoFilter ref="A1:P201" xr:uid="{00000000-0009-0000-0100-000001000000}"/>
  <tableColumns count="16">
    <tableColumn id="1" xr3:uid="{00000000-0010-0000-0000-000001000000}" name="Folio"/>
    <tableColumn id="2" xr3:uid="{00000000-0010-0000-0000-000002000000}" name="Fecha de Orden"/>
    <tableColumn id="3" xr3:uid="{00000000-0010-0000-0000-000003000000}" name="Núm. Cliente"/>
    <tableColumn id="4" xr3:uid="{00000000-0010-0000-0000-000004000000}" name="Nombre de Cliente"/>
    <tableColumn id="5" xr3:uid="{00000000-0010-0000-0000-000005000000}" name="Ciudad"/>
    <tableColumn id="6" xr3:uid="{00000000-0010-0000-0000-000006000000}" name="Departamento"/>
    <tableColumn id="7" xr3:uid="{00000000-0010-0000-0000-000007000000}" name="Vendedor"/>
    <tableColumn id="8" xr3:uid="{00000000-0010-0000-0000-000008000000}" name="Región"/>
    <tableColumn id="9" xr3:uid="{00000000-0010-0000-0000-000009000000}" name="Fecha de Entrega"/>
    <tableColumn id="10" xr3:uid="{00000000-0010-0000-0000-00000A000000}" name="Transportadora"/>
    <tableColumn id="11" xr3:uid="{00000000-0010-0000-0000-00000B000000}" name="Forma de Pago"/>
    <tableColumn id="12" xr3:uid="{00000000-0010-0000-0000-00000C000000}" name="Nombre del Producto"/>
    <tableColumn id="13" xr3:uid="{00000000-0010-0000-0000-00000D000000}" name="Categoría"/>
    <tableColumn id="14" xr3:uid="{00000000-0010-0000-0000-00000E000000}" name="Precio Unitario"/>
    <tableColumn id="15" xr3:uid="{00000000-0010-0000-0000-00000F000000}" name="Cantidad"/>
    <tableColumn id="16" xr3:uid="{00000000-0010-0000-0000-000010000000}" name="Ingreso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de_Orden" xr10:uid="{6F8D6EE4-874C-428E-B073-54550A780C04}" sourceName="Fecha de Orden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state minimalRefreshVersion="6" lastRefreshVersion="6" pivotCacheId="1650331765" filterType="unknown"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de Orden" xr10:uid="{DBEC5C3E-6DB6-4D83-B3C5-FF8EFBC4A008}" cache="NativeTimeline_Fecha_de_Orden" caption="Fecha de Orden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youtube.com/watch?si=ZG7uxuMlk-khpH3K&amp;v=Oanr41Tz28U&amp;feature=youtu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CD1D-ABB0-4D0A-B3E9-95C30003F31E}">
  <dimension ref="A3:O47"/>
  <sheetViews>
    <sheetView topLeftCell="D13" workbookViewId="0">
      <selection activeCell="K25" sqref="K25"/>
    </sheetView>
  </sheetViews>
  <sheetFormatPr baseColWidth="10" defaultRowHeight="14.4" x14ac:dyDescent="0.3"/>
  <cols>
    <col min="1" max="1" width="16.5546875" bestFit="1" customWidth="1"/>
    <col min="2" max="2" width="19.77734375" bestFit="1" customWidth="1"/>
    <col min="11" max="11" width="17" bestFit="1" customWidth="1"/>
    <col min="12" max="12" width="19.77734375" bestFit="1" customWidth="1"/>
    <col min="14" max="14" width="17" bestFit="1" customWidth="1"/>
    <col min="15" max="15" width="12.44140625" bestFit="1" customWidth="1"/>
  </cols>
  <sheetData>
    <row r="3" spans="1:12" x14ac:dyDescent="0.3">
      <c r="A3" s="6" t="s">
        <v>669</v>
      </c>
      <c r="B3" t="s">
        <v>683</v>
      </c>
      <c r="K3" s="6" t="s">
        <v>669</v>
      </c>
      <c r="L3" t="s">
        <v>683</v>
      </c>
    </row>
    <row r="4" spans="1:12" x14ac:dyDescent="0.3">
      <c r="A4" s="7" t="s">
        <v>671</v>
      </c>
      <c r="B4" s="8">
        <v>2797513.34</v>
      </c>
      <c r="K4" s="7" t="s">
        <v>26</v>
      </c>
      <c r="L4" s="8">
        <v>5052815.51</v>
      </c>
    </row>
    <row r="5" spans="1:12" x14ac:dyDescent="0.3">
      <c r="A5" s="7" t="s">
        <v>672</v>
      </c>
      <c r="B5" s="8">
        <v>8381581.1800000006</v>
      </c>
      <c r="K5" s="7" t="s">
        <v>62</v>
      </c>
      <c r="L5" s="8">
        <v>3948630.32</v>
      </c>
    </row>
    <row r="6" spans="1:12" x14ac:dyDescent="0.3">
      <c r="A6" s="7" t="s">
        <v>673</v>
      </c>
      <c r="B6" s="8">
        <v>3514550.4999999995</v>
      </c>
      <c r="K6" s="7" t="s">
        <v>88</v>
      </c>
      <c r="L6" s="8">
        <v>6852937.0300000003</v>
      </c>
    </row>
    <row r="7" spans="1:12" x14ac:dyDescent="0.3">
      <c r="A7" s="7" t="s">
        <v>674</v>
      </c>
      <c r="B7" s="8">
        <v>2754211.55</v>
      </c>
      <c r="K7" s="7" t="s">
        <v>94</v>
      </c>
      <c r="L7" s="8">
        <v>3460611.0999999996</v>
      </c>
    </row>
    <row r="8" spans="1:12" x14ac:dyDescent="0.3">
      <c r="A8" s="7" t="s">
        <v>675</v>
      </c>
      <c r="B8" s="8">
        <v>4493635.45</v>
      </c>
      <c r="K8" s="7" t="s">
        <v>46</v>
      </c>
      <c r="L8" s="8">
        <v>2376580.16</v>
      </c>
    </row>
    <row r="9" spans="1:12" x14ac:dyDescent="0.3">
      <c r="A9" s="7" t="s">
        <v>676</v>
      </c>
      <c r="B9" s="8">
        <v>5461420.9200000018</v>
      </c>
      <c r="K9" s="7" t="s">
        <v>71</v>
      </c>
      <c r="L9" s="8">
        <v>14135504.760000004</v>
      </c>
    </row>
    <row r="10" spans="1:12" x14ac:dyDescent="0.3">
      <c r="A10" s="7" t="s">
        <v>677</v>
      </c>
      <c r="B10" s="8">
        <v>4325095.0699999994</v>
      </c>
      <c r="K10" s="7" t="s">
        <v>53</v>
      </c>
      <c r="L10" s="8">
        <v>3049021.87</v>
      </c>
    </row>
    <row r="11" spans="1:12" x14ac:dyDescent="0.3">
      <c r="A11" s="7" t="s">
        <v>678</v>
      </c>
      <c r="B11" s="8">
        <v>4488616.9400000004</v>
      </c>
      <c r="K11" s="7" t="s">
        <v>140</v>
      </c>
      <c r="L11" s="8">
        <v>4087895.95</v>
      </c>
    </row>
    <row r="12" spans="1:12" x14ac:dyDescent="0.3">
      <c r="A12" s="7" t="s">
        <v>679</v>
      </c>
      <c r="B12" s="8">
        <v>5304150.3499999996</v>
      </c>
      <c r="K12" s="7" t="s">
        <v>111</v>
      </c>
      <c r="L12" s="8">
        <v>2110497.4199999995</v>
      </c>
    </row>
    <row r="13" spans="1:12" x14ac:dyDescent="0.3">
      <c r="A13" s="7" t="s">
        <v>680</v>
      </c>
      <c r="B13" s="8">
        <v>4802823.7400000012</v>
      </c>
      <c r="K13" s="7" t="s">
        <v>36</v>
      </c>
      <c r="L13" s="8">
        <v>9337373.0299999993</v>
      </c>
    </row>
    <row r="14" spans="1:12" x14ac:dyDescent="0.3">
      <c r="A14" s="7" t="s">
        <v>681</v>
      </c>
      <c r="B14" s="8">
        <v>4232512.3099999987</v>
      </c>
      <c r="K14" s="7" t="s">
        <v>670</v>
      </c>
      <c r="L14" s="8">
        <v>54411867.150000006</v>
      </c>
    </row>
    <row r="15" spans="1:12" x14ac:dyDescent="0.3">
      <c r="A15" s="7" t="s">
        <v>682</v>
      </c>
      <c r="B15" s="8">
        <v>3855755.7999999993</v>
      </c>
    </row>
    <row r="16" spans="1:12" x14ac:dyDescent="0.3">
      <c r="A16" s="7" t="s">
        <v>670</v>
      </c>
      <c r="B16" s="8">
        <v>54411867.150000006</v>
      </c>
    </row>
    <row r="21" spans="1:15" x14ac:dyDescent="0.3">
      <c r="K21" s="6" t="s">
        <v>669</v>
      </c>
      <c r="L21" t="s">
        <v>683</v>
      </c>
      <c r="N21" t="s">
        <v>5</v>
      </c>
      <c r="O21" t="s">
        <v>684</v>
      </c>
    </row>
    <row r="22" spans="1:15" x14ac:dyDescent="0.3">
      <c r="K22" s="7" t="s">
        <v>75</v>
      </c>
      <c r="L22" s="8">
        <v>3668694.3200000003</v>
      </c>
      <c r="N22" s="7" t="s">
        <v>75</v>
      </c>
      <c r="O22" s="8">
        <f>GETPIVOTDATA("Ingreso Total",$K$21,"Departamento","Antioquia")</f>
        <v>3668694.3200000003</v>
      </c>
    </row>
    <row r="23" spans="1:15" x14ac:dyDescent="0.3">
      <c r="A23" s="6" t="s">
        <v>669</v>
      </c>
      <c r="B23" t="s">
        <v>683</v>
      </c>
      <c r="K23" s="7" t="s">
        <v>108</v>
      </c>
      <c r="L23" s="8">
        <v>3229143.22</v>
      </c>
      <c r="N23" s="7" t="s">
        <v>108</v>
      </c>
      <c r="O23" s="8">
        <f>GETPIVOTDATA("Ingreso Total",$K$21,"Departamento","Atlántico")</f>
        <v>3229143.22</v>
      </c>
    </row>
    <row r="24" spans="1:15" x14ac:dyDescent="0.3">
      <c r="A24" s="7" t="s">
        <v>84</v>
      </c>
      <c r="B24" s="8">
        <v>5699234.709999999</v>
      </c>
      <c r="K24" s="7" t="s">
        <v>57</v>
      </c>
      <c r="L24" s="8">
        <v>6222268.9100000001</v>
      </c>
      <c r="N24" s="7" t="s">
        <v>57</v>
      </c>
      <c r="O24" s="8">
        <f>GETPIVOTDATA("Ingreso Total",$K$21,"Departamento","Bolívar")</f>
        <v>6222268.9100000001</v>
      </c>
    </row>
    <row r="25" spans="1:15" x14ac:dyDescent="0.3">
      <c r="A25" s="7" t="s">
        <v>56</v>
      </c>
      <c r="B25" s="8">
        <v>5541509.0199999996</v>
      </c>
      <c r="K25" s="7" t="s">
        <v>66</v>
      </c>
      <c r="L25" s="8">
        <v>9217097.2699999996</v>
      </c>
      <c r="N25" s="7" t="s">
        <v>66</v>
      </c>
      <c r="O25" s="8">
        <f>GETPIVOTDATA("Ingreso Total",$K$21,"Departamento","Caldas")</f>
        <v>9217097.2699999996</v>
      </c>
    </row>
    <row r="26" spans="1:15" x14ac:dyDescent="0.3">
      <c r="A26" s="7" t="s">
        <v>74</v>
      </c>
      <c r="B26" s="8">
        <v>6344249.9699999988</v>
      </c>
      <c r="K26" s="7" t="s">
        <v>150</v>
      </c>
      <c r="L26" s="8">
        <v>4789299.54</v>
      </c>
      <c r="N26" s="7" t="s">
        <v>150</v>
      </c>
      <c r="O26" s="8">
        <f>GETPIVOTDATA("Ingreso Total",$K$21,"Departamento","Cundinamarca")</f>
        <v>4789299.54</v>
      </c>
    </row>
    <row r="27" spans="1:15" x14ac:dyDescent="0.3">
      <c r="A27" s="7" t="s">
        <v>157</v>
      </c>
      <c r="B27" s="8">
        <v>4287070.3299999991</v>
      </c>
      <c r="K27" s="7" t="s">
        <v>168</v>
      </c>
      <c r="L27" s="8">
        <v>5410140.129999999</v>
      </c>
      <c r="N27" s="7" t="s">
        <v>168</v>
      </c>
      <c r="O27" s="8">
        <f>GETPIVOTDATA("Ingreso Total",$K$21,"Departamento","Magdalena")</f>
        <v>5410140.129999999</v>
      </c>
    </row>
    <row r="28" spans="1:15" x14ac:dyDescent="0.3">
      <c r="A28" s="7" t="s">
        <v>190</v>
      </c>
      <c r="B28" s="8">
        <v>3028256.47</v>
      </c>
      <c r="K28" s="7" t="s">
        <v>50</v>
      </c>
      <c r="L28" s="8">
        <v>4609701.669999999</v>
      </c>
      <c r="N28" s="7" t="s">
        <v>50</v>
      </c>
      <c r="O28" s="8">
        <f>GETPIVOTDATA("Ingreso Total",$K$21,"Departamento","Norte de Santander")</f>
        <v>4609701.669999999</v>
      </c>
    </row>
    <row r="29" spans="1:15" x14ac:dyDescent="0.3">
      <c r="A29" s="7" t="s">
        <v>18</v>
      </c>
      <c r="B29" s="8">
        <v>3656718.0099999993</v>
      </c>
      <c r="K29" s="7" t="s">
        <v>20</v>
      </c>
      <c r="L29" s="8">
        <v>5293554.5100000007</v>
      </c>
      <c r="N29" s="7" t="s">
        <v>20</v>
      </c>
      <c r="O29" s="8">
        <f>GETPIVOTDATA("Ingreso Total",$K$21,"Departamento","Risaralda")</f>
        <v>5293554.5100000007</v>
      </c>
    </row>
    <row r="30" spans="1:15" x14ac:dyDescent="0.3">
      <c r="A30" s="7" t="s">
        <v>91</v>
      </c>
      <c r="B30" s="8">
        <v>6159174.330000001</v>
      </c>
      <c r="K30" s="7" t="s">
        <v>31</v>
      </c>
      <c r="L30" s="8">
        <v>5335697.09</v>
      </c>
      <c r="N30" s="7" t="s">
        <v>31</v>
      </c>
      <c r="O30" s="8">
        <f>GETPIVOTDATA("Ingreso Total",$K$21,"Departamento","Santander")</f>
        <v>5335697.09</v>
      </c>
    </row>
    <row r="31" spans="1:15" x14ac:dyDescent="0.3">
      <c r="A31" s="7" t="s">
        <v>29</v>
      </c>
      <c r="B31" s="8">
        <v>7554489.25</v>
      </c>
      <c r="K31" s="7" t="s">
        <v>41</v>
      </c>
      <c r="L31" s="8">
        <v>6636270.4900000002</v>
      </c>
      <c r="N31" s="7" t="s">
        <v>41</v>
      </c>
      <c r="O31" s="8">
        <f>GETPIVOTDATA("Ingreso Total",$K$21,"Departamento","Valle del Cauca")</f>
        <v>6636270.4900000002</v>
      </c>
    </row>
    <row r="32" spans="1:15" x14ac:dyDescent="0.3">
      <c r="A32" s="7" t="s">
        <v>164</v>
      </c>
      <c r="B32" s="8">
        <v>7544931.830000001</v>
      </c>
      <c r="K32" s="7" t="s">
        <v>670</v>
      </c>
      <c r="L32" s="8">
        <v>54411867.149999999</v>
      </c>
    </row>
    <row r="33" spans="1:12" x14ac:dyDescent="0.3">
      <c r="A33" s="7" t="s">
        <v>39</v>
      </c>
      <c r="B33" s="8">
        <v>4596233.2300000004</v>
      </c>
    </row>
    <row r="34" spans="1:12" x14ac:dyDescent="0.3">
      <c r="A34" s="7" t="s">
        <v>670</v>
      </c>
      <c r="B34" s="8">
        <v>54411867.149999991</v>
      </c>
    </row>
    <row r="41" spans="1:12" x14ac:dyDescent="0.3">
      <c r="K41" s="6" t="s">
        <v>669</v>
      </c>
      <c r="L41" t="s">
        <v>683</v>
      </c>
    </row>
    <row r="42" spans="1:12" x14ac:dyDescent="0.3">
      <c r="K42" s="11" t="s">
        <v>685</v>
      </c>
      <c r="L42" s="8">
        <v>8973848.1200000029</v>
      </c>
    </row>
    <row r="43" spans="1:12" x14ac:dyDescent="0.3">
      <c r="K43" s="11" t="s">
        <v>686</v>
      </c>
      <c r="L43" s="8">
        <v>13481116.610000001</v>
      </c>
    </row>
    <row r="44" spans="1:12" x14ac:dyDescent="0.3">
      <c r="K44" s="11" t="s">
        <v>687</v>
      </c>
      <c r="L44" s="8">
        <v>17073569.069999997</v>
      </c>
    </row>
    <row r="45" spans="1:12" x14ac:dyDescent="0.3">
      <c r="K45" s="11" t="s">
        <v>688</v>
      </c>
      <c r="L45" s="8">
        <v>12321528.300000001</v>
      </c>
    </row>
    <row r="46" spans="1:12" x14ac:dyDescent="0.3">
      <c r="K46" s="11" t="s">
        <v>689</v>
      </c>
      <c r="L46" s="8">
        <v>2561805.0499999998</v>
      </c>
    </row>
    <row r="47" spans="1:12" x14ac:dyDescent="0.3">
      <c r="K47" s="9" t="s">
        <v>670</v>
      </c>
      <c r="L47" s="8">
        <v>54411867.149999991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AB1E-9E00-4073-9784-4D01C7D5102C}">
  <dimension ref="A1"/>
  <sheetViews>
    <sheetView tabSelected="1" topLeftCell="A7" zoomScale="85" zoomScaleNormal="85" workbookViewId="0">
      <selection activeCell="Q16" sqref="Q16"/>
    </sheetView>
  </sheetViews>
  <sheetFormatPr baseColWidth="10" defaultRowHeight="14.4" x14ac:dyDescent="0.3"/>
  <cols>
    <col min="1" max="16384" width="11.5546875" style="10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opLeftCell="A2" workbookViewId="0">
      <selection activeCell="O12" sqref="A2:P201"/>
    </sheetView>
  </sheetViews>
  <sheetFormatPr baseColWidth="10" defaultColWidth="8.77734375" defaultRowHeight="14.4" x14ac:dyDescent="0.3"/>
  <cols>
    <col min="1" max="1" width="9" customWidth="1"/>
    <col min="2" max="2" width="21" customWidth="1"/>
    <col min="3" max="3" width="14" customWidth="1"/>
    <col min="4" max="4" width="19" customWidth="1"/>
    <col min="5" max="5" width="14" customWidth="1"/>
    <col min="6" max="6" width="20" customWidth="1"/>
    <col min="7" max="7" width="10" customWidth="1"/>
    <col min="8" max="8" width="8" customWidth="1"/>
    <col min="9" max="9" width="21" customWidth="1"/>
    <col min="10" max="10" width="16" customWidth="1"/>
    <col min="11" max="11" width="15" customWidth="1"/>
    <col min="12" max="12" width="21" customWidth="1"/>
    <col min="13" max="13" width="13" customWidth="1"/>
    <col min="14" max="14" width="17" customWidth="1"/>
    <col min="15" max="15" width="10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45218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>
        <v>45225</v>
      </c>
      <c r="J2" t="s">
        <v>23</v>
      </c>
      <c r="K2" t="s">
        <v>24</v>
      </c>
      <c r="L2" t="s">
        <v>25</v>
      </c>
      <c r="M2" t="s">
        <v>26</v>
      </c>
      <c r="N2" s="3">
        <v>17987.22</v>
      </c>
      <c r="O2">
        <v>10</v>
      </c>
      <c r="P2" s="3">
        <v>179872.2</v>
      </c>
    </row>
    <row r="3" spans="1:16" x14ac:dyDescent="0.3">
      <c r="A3" t="s">
        <v>27</v>
      </c>
      <c r="B3" s="2">
        <v>45597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2">
        <v>45605</v>
      </c>
      <c r="J3" t="s">
        <v>34</v>
      </c>
      <c r="K3" t="s">
        <v>24</v>
      </c>
      <c r="L3" t="s">
        <v>35</v>
      </c>
      <c r="M3" t="s">
        <v>36</v>
      </c>
      <c r="N3" s="3">
        <v>17422.57</v>
      </c>
      <c r="O3">
        <v>24</v>
      </c>
      <c r="P3" s="3">
        <v>418141.68</v>
      </c>
    </row>
    <row r="4" spans="1:16" x14ac:dyDescent="0.3">
      <c r="A4" t="s">
        <v>37</v>
      </c>
      <c r="B4" s="2">
        <v>45187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s="2">
        <v>45188</v>
      </c>
      <c r="J4" t="s">
        <v>23</v>
      </c>
      <c r="K4" t="s">
        <v>44</v>
      </c>
      <c r="L4" t="s">
        <v>45</v>
      </c>
      <c r="M4" t="s">
        <v>46</v>
      </c>
      <c r="N4" s="3">
        <v>3634.58</v>
      </c>
      <c r="O4">
        <v>43</v>
      </c>
      <c r="P4" s="3">
        <v>156286.94</v>
      </c>
    </row>
    <row r="5" spans="1:16" x14ac:dyDescent="0.3">
      <c r="A5" t="s">
        <v>47</v>
      </c>
      <c r="B5" s="2">
        <v>45585</v>
      </c>
      <c r="C5" t="s">
        <v>48</v>
      </c>
      <c r="D5" t="s">
        <v>29</v>
      </c>
      <c r="E5" t="s">
        <v>49</v>
      </c>
      <c r="F5" t="s">
        <v>50</v>
      </c>
      <c r="G5" t="s">
        <v>51</v>
      </c>
      <c r="H5" t="s">
        <v>33</v>
      </c>
      <c r="I5" s="2">
        <v>45591</v>
      </c>
      <c r="J5" t="s">
        <v>23</v>
      </c>
      <c r="K5" t="s">
        <v>24</v>
      </c>
      <c r="L5" t="s">
        <v>52</v>
      </c>
      <c r="M5" t="s">
        <v>53</v>
      </c>
      <c r="N5" s="3">
        <v>9572.5400000000009</v>
      </c>
      <c r="O5">
        <v>4</v>
      </c>
      <c r="P5" s="3">
        <v>38290.160000000003</v>
      </c>
    </row>
    <row r="6" spans="1:16" x14ac:dyDescent="0.3">
      <c r="A6" t="s">
        <v>54</v>
      </c>
      <c r="B6" s="2">
        <v>45079</v>
      </c>
      <c r="C6" t="s">
        <v>55</v>
      </c>
      <c r="D6" t="s">
        <v>56</v>
      </c>
      <c r="E6" t="s">
        <v>30</v>
      </c>
      <c r="F6" t="s">
        <v>57</v>
      </c>
      <c r="G6" t="s">
        <v>58</v>
      </c>
      <c r="H6" t="s">
        <v>43</v>
      </c>
      <c r="I6" s="2">
        <v>45087</v>
      </c>
      <c r="J6" t="s">
        <v>59</v>
      </c>
      <c r="K6" t="s">
        <v>60</v>
      </c>
      <c r="L6" t="s">
        <v>61</v>
      </c>
      <c r="M6" t="s">
        <v>62</v>
      </c>
      <c r="N6" s="3">
        <v>7607.52</v>
      </c>
      <c r="O6">
        <v>21</v>
      </c>
      <c r="P6" s="3">
        <v>159757.92000000001</v>
      </c>
    </row>
    <row r="7" spans="1:16" x14ac:dyDescent="0.3">
      <c r="A7" t="s">
        <v>63</v>
      </c>
      <c r="B7" s="2">
        <v>45494</v>
      </c>
      <c r="C7" t="s">
        <v>64</v>
      </c>
      <c r="D7" t="s">
        <v>39</v>
      </c>
      <c r="E7" t="s">
        <v>65</v>
      </c>
      <c r="F7" t="s">
        <v>66</v>
      </c>
      <c r="G7" t="s">
        <v>67</v>
      </c>
      <c r="H7" t="s">
        <v>68</v>
      </c>
      <c r="I7" s="2">
        <v>45498</v>
      </c>
      <c r="J7" t="s">
        <v>23</v>
      </c>
      <c r="K7" t="s">
        <v>69</v>
      </c>
      <c r="L7" t="s">
        <v>70</v>
      </c>
      <c r="M7" t="s">
        <v>71</v>
      </c>
      <c r="N7" s="3">
        <v>4174.1499999999996</v>
      </c>
      <c r="O7">
        <v>12</v>
      </c>
      <c r="P7" s="3">
        <v>50089.8</v>
      </c>
    </row>
    <row r="8" spans="1:16" x14ac:dyDescent="0.3">
      <c r="A8" t="s">
        <v>72</v>
      </c>
      <c r="B8" s="2">
        <v>44628</v>
      </c>
      <c r="C8" t="s">
        <v>73</v>
      </c>
      <c r="D8" t="s">
        <v>74</v>
      </c>
      <c r="E8" t="s">
        <v>65</v>
      </c>
      <c r="F8" t="s">
        <v>75</v>
      </c>
      <c r="G8" t="s">
        <v>76</v>
      </c>
      <c r="H8" t="s">
        <v>22</v>
      </c>
      <c r="I8" s="2">
        <v>44630</v>
      </c>
      <c r="J8" t="s">
        <v>77</v>
      </c>
      <c r="K8" t="s">
        <v>69</v>
      </c>
      <c r="L8" t="s">
        <v>78</v>
      </c>
      <c r="M8" t="s">
        <v>71</v>
      </c>
      <c r="N8" s="3">
        <v>8300.17</v>
      </c>
      <c r="O8">
        <v>22</v>
      </c>
      <c r="P8" s="3">
        <v>182603.74</v>
      </c>
    </row>
    <row r="9" spans="1:16" x14ac:dyDescent="0.3">
      <c r="A9" t="s">
        <v>79</v>
      </c>
      <c r="B9" s="2">
        <v>44992</v>
      </c>
      <c r="C9" t="s">
        <v>80</v>
      </c>
      <c r="D9" t="s">
        <v>39</v>
      </c>
      <c r="E9" t="s">
        <v>65</v>
      </c>
      <c r="F9" t="s">
        <v>57</v>
      </c>
      <c r="G9" t="s">
        <v>81</v>
      </c>
      <c r="H9" t="s">
        <v>43</v>
      </c>
      <c r="I9" s="2">
        <v>45002</v>
      </c>
      <c r="J9" t="s">
        <v>34</v>
      </c>
      <c r="K9" t="s">
        <v>24</v>
      </c>
      <c r="L9" t="s">
        <v>70</v>
      </c>
      <c r="M9" t="s">
        <v>71</v>
      </c>
      <c r="N9" s="3">
        <v>12351.25</v>
      </c>
      <c r="O9">
        <v>7</v>
      </c>
      <c r="P9" s="3">
        <v>86458.75</v>
      </c>
    </row>
    <row r="10" spans="1:16" x14ac:dyDescent="0.3">
      <c r="A10" t="s">
        <v>82</v>
      </c>
      <c r="B10" s="2">
        <v>45363</v>
      </c>
      <c r="C10" t="s">
        <v>83</v>
      </c>
      <c r="D10" t="s">
        <v>84</v>
      </c>
      <c r="E10" t="s">
        <v>85</v>
      </c>
      <c r="F10" t="s">
        <v>66</v>
      </c>
      <c r="G10" t="s">
        <v>86</v>
      </c>
      <c r="H10" t="s">
        <v>43</v>
      </c>
      <c r="I10" s="2">
        <v>45366</v>
      </c>
      <c r="J10" t="s">
        <v>77</v>
      </c>
      <c r="K10" t="s">
        <v>44</v>
      </c>
      <c r="L10" t="s">
        <v>87</v>
      </c>
      <c r="M10" t="s">
        <v>88</v>
      </c>
      <c r="N10" s="3">
        <v>9238.94</v>
      </c>
      <c r="O10">
        <v>4</v>
      </c>
      <c r="P10" s="3">
        <v>36955.760000000002</v>
      </c>
    </row>
    <row r="11" spans="1:16" x14ac:dyDescent="0.3">
      <c r="A11" t="s">
        <v>89</v>
      </c>
      <c r="B11" s="2">
        <v>44900</v>
      </c>
      <c r="C11" t="s">
        <v>90</v>
      </c>
      <c r="D11" t="s">
        <v>91</v>
      </c>
      <c r="E11" t="s">
        <v>85</v>
      </c>
      <c r="F11" t="s">
        <v>31</v>
      </c>
      <c r="G11" t="s">
        <v>92</v>
      </c>
      <c r="H11" t="s">
        <v>22</v>
      </c>
      <c r="I11" s="2">
        <v>44909</v>
      </c>
      <c r="J11" t="s">
        <v>34</v>
      </c>
      <c r="K11" t="s">
        <v>44</v>
      </c>
      <c r="L11" t="s">
        <v>93</v>
      </c>
      <c r="M11" t="s">
        <v>94</v>
      </c>
      <c r="N11" s="3">
        <v>6852.12</v>
      </c>
      <c r="O11">
        <v>2</v>
      </c>
      <c r="P11" s="3">
        <v>13704.24</v>
      </c>
    </row>
    <row r="12" spans="1:16" x14ac:dyDescent="0.3">
      <c r="A12" t="s">
        <v>95</v>
      </c>
      <c r="B12" s="2">
        <v>45792</v>
      </c>
      <c r="C12" t="s">
        <v>96</v>
      </c>
      <c r="D12" t="s">
        <v>74</v>
      </c>
      <c r="E12" t="s">
        <v>97</v>
      </c>
      <c r="F12" t="s">
        <v>31</v>
      </c>
      <c r="G12" t="s">
        <v>98</v>
      </c>
      <c r="H12" t="s">
        <v>33</v>
      </c>
      <c r="I12" s="2">
        <v>45801</v>
      </c>
      <c r="J12" t="s">
        <v>34</v>
      </c>
      <c r="K12" t="s">
        <v>69</v>
      </c>
      <c r="L12" t="s">
        <v>45</v>
      </c>
      <c r="M12" t="s">
        <v>46</v>
      </c>
      <c r="N12" s="3">
        <v>14707.52</v>
      </c>
      <c r="O12">
        <v>45</v>
      </c>
      <c r="P12" s="3">
        <v>661838.4</v>
      </c>
    </row>
    <row r="13" spans="1:16" x14ac:dyDescent="0.3">
      <c r="A13" t="s">
        <v>99</v>
      </c>
      <c r="B13" s="2">
        <v>45378</v>
      </c>
      <c r="C13" t="s">
        <v>100</v>
      </c>
      <c r="D13" t="s">
        <v>91</v>
      </c>
      <c r="E13" t="s">
        <v>85</v>
      </c>
      <c r="F13" t="s">
        <v>66</v>
      </c>
      <c r="G13" t="s">
        <v>101</v>
      </c>
      <c r="H13" t="s">
        <v>33</v>
      </c>
      <c r="I13" s="2">
        <v>45387</v>
      </c>
      <c r="J13" t="s">
        <v>59</v>
      </c>
      <c r="K13" t="s">
        <v>44</v>
      </c>
      <c r="L13" t="s">
        <v>35</v>
      </c>
      <c r="M13" t="s">
        <v>36</v>
      </c>
      <c r="N13" s="3">
        <v>19967.599999999999</v>
      </c>
      <c r="O13">
        <v>5</v>
      </c>
      <c r="P13" s="3">
        <v>99838</v>
      </c>
    </row>
    <row r="14" spans="1:16" x14ac:dyDescent="0.3">
      <c r="A14" t="s">
        <v>102</v>
      </c>
      <c r="B14" s="2">
        <v>44782</v>
      </c>
      <c r="C14" t="s">
        <v>103</v>
      </c>
      <c r="D14" t="s">
        <v>84</v>
      </c>
      <c r="E14" t="s">
        <v>49</v>
      </c>
      <c r="F14" t="s">
        <v>41</v>
      </c>
      <c r="G14" t="s">
        <v>104</v>
      </c>
      <c r="H14" t="s">
        <v>33</v>
      </c>
      <c r="I14" s="2">
        <v>44790</v>
      </c>
      <c r="J14" t="s">
        <v>59</v>
      </c>
      <c r="K14" t="s">
        <v>60</v>
      </c>
      <c r="L14" t="s">
        <v>78</v>
      </c>
      <c r="M14" t="s">
        <v>71</v>
      </c>
      <c r="N14" s="3">
        <v>17886.439999999999</v>
      </c>
      <c r="O14">
        <v>16</v>
      </c>
      <c r="P14" s="3">
        <v>286183.03999999998</v>
      </c>
    </row>
    <row r="15" spans="1:16" x14ac:dyDescent="0.3">
      <c r="A15" t="s">
        <v>105</v>
      </c>
      <c r="B15" s="2">
        <v>45917</v>
      </c>
      <c r="C15" t="s">
        <v>106</v>
      </c>
      <c r="D15" t="s">
        <v>91</v>
      </c>
      <c r="E15" t="s">
        <v>107</v>
      </c>
      <c r="F15" t="s">
        <v>108</v>
      </c>
      <c r="G15" t="s">
        <v>109</v>
      </c>
      <c r="H15" t="s">
        <v>22</v>
      </c>
      <c r="I15" s="2">
        <v>45927</v>
      </c>
      <c r="J15" t="s">
        <v>34</v>
      </c>
      <c r="K15" t="s">
        <v>44</v>
      </c>
      <c r="L15" t="s">
        <v>110</v>
      </c>
      <c r="M15" t="s">
        <v>111</v>
      </c>
      <c r="N15" s="3">
        <v>7416.18</v>
      </c>
      <c r="O15">
        <v>25</v>
      </c>
      <c r="P15" s="3">
        <v>185404.5</v>
      </c>
    </row>
    <row r="16" spans="1:16" x14ac:dyDescent="0.3">
      <c r="A16" t="s">
        <v>112</v>
      </c>
      <c r="B16" s="2">
        <v>45405</v>
      </c>
      <c r="C16" t="s">
        <v>113</v>
      </c>
      <c r="D16" t="s">
        <v>18</v>
      </c>
      <c r="E16" t="s">
        <v>114</v>
      </c>
      <c r="F16" t="s">
        <v>31</v>
      </c>
      <c r="G16" t="s">
        <v>115</v>
      </c>
      <c r="H16" t="s">
        <v>68</v>
      </c>
      <c r="I16" s="2">
        <v>45414</v>
      </c>
      <c r="J16" t="s">
        <v>59</v>
      </c>
      <c r="K16" t="s">
        <v>44</v>
      </c>
      <c r="L16" t="s">
        <v>45</v>
      </c>
      <c r="M16" t="s">
        <v>46</v>
      </c>
      <c r="N16" s="3">
        <v>7172.3</v>
      </c>
      <c r="O16">
        <v>10</v>
      </c>
      <c r="P16" s="3">
        <v>71723</v>
      </c>
    </row>
    <row r="17" spans="1:16" x14ac:dyDescent="0.3">
      <c r="A17" t="s">
        <v>116</v>
      </c>
      <c r="B17" s="2">
        <v>45099</v>
      </c>
      <c r="C17" t="s">
        <v>117</v>
      </c>
      <c r="D17" t="s">
        <v>74</v>
      </c>
      <c r="E17" t="s">
        <v>107</v>
      </c>
      <c r="F17" t="s">
        <v>66</v>
      </c>
      <c r="G17" t="s">
        <v>118</v>
      </c>
      <c r="H17" t="s">
        <v>22</v>
      </c>
      <c r="I17" s="2">
        <v>45109</v>
      </c>
      <c r="J17" t="s">
        <v>34</v>
      </c>
      <c r="K17" t="s">
        <v>69</v>
      </c>
      <c r="L17" t="s">
        <v>61</v>
      </c>
      <c r="M17" t="s">
        <v>62</v>
      </c>
      <c r="N17" s="3">
        <v>16289.42</v>
      </c>
      <c r="O17">
        <v>38</v>
      </c>
      <c r="P17" s="3">
        <v>618997.96</v>
      </c>
    </row>
    <row r="18" spans="1:16" x14ac:dyDescent="0.3">
      <c r="A18" t="s">
        <v>119</v>
      </c>
      <c r="B18" s="2">
        <v>45956</v>
      </c>
      <c r="C18" t="s">
        <v>120</v>
      </c>
      <c r="D18" t="s">
        <v>84</v>
      </c>
      <c r="E18" t="s">
        <v>65</v>
      </c>
      <c r="F18" t="s">
        <v>57</v>
      </c>
      <c r="G18" t="s">
        <v>121</v>
      </c>
      <c r="H18" t="s">
        <v>68</v>
      </c>
      <c r="I18" s="2">
        <v>45966</v>
      </c>
      <c r="J18" t="s">
        <v>122</v>
      </c>
      <c r="K18" t="s">
        <v>24</v>
      </c>
      <c r="L18" t="s">
        <v>87</v>
      </c>
      <c r="M18" t="s">
        <v>88</v>
      </c>
      <c r="N18" s="3">
        <v>8179.28</v>
      </c>
      <c r="O18">
        <v>27</v>
      </c>
      <c r="P18" s="3">
        <v>220840.56</v>
      </c>
    </row>
    <row r="19" spans="1:16" x14ac:dyDescent="0.3">
      <c r="A19" t="s">
        <v>123</v>
      </c>
      <c r="B19" s="2">
        <v>45070</v>
      </c>
      <c r="C19" t="s">
        <v>124</v>
      </c>
      <c r="D19" t="s">
        <v>18</v>
      </c>
      <c r="E19" t="s">
        <v>49</v>
      </c>
      <c r="F19" t="s">
        <v>57</v>
      </c>
      <c r="G19" t="s">
        <v>125</v>
      </c>
      <c r="H19" t="s">
        <v>33</v>
      </c>
      <c r="I19" s="2">
        <v>45077</v>
      </c>
      <c r="J19" t="s">
        <v>122</v>
      </c>
      <c r="K19" t="s">
        <v>24</v>
      </c>
      <c r="L19" t="s">
        <v>110</v>
      </c>
      <c r="M19" t="s">
        <v>111</v>
      </c>
      <c r="N19" s="3">
        <v>7093.88</v>
      </c>
      <c r="O19">
        <v>10</v>
      </c>
      <c r="P19" s="3">
        <v>70938.8</v>
      </c>
    </row>
    <row r="20" spans="1:16" x14ac:dyDescent="0.3">
      <c r="A20" t="s">
        <v>126</v>
      </c>
      <c r="B20" s="2">
        <v>44781</v>
      </c>
      <c r="C20" t="s">
        <v>127</v>
      </c>
      <c r="D20" t="s">
        <v>74</v>
      </c>
      <c r="E20" t="s">
        <v>85</v>
      </c>
      <c r="F20" t="s">
        <v>50</v>
      </c>
      <c r="G20" t="s">
        <v>128</v>
      </c>
      <c r="H20" t="s">
        <v>33</v>
      </c>
      <c r="I20" s="2">
        <v>44789</v>
      </c>
      <c r="J20" t="s">
        <v>34</v>
      </c>
      <c r="K20" t="s">
        <v>44</v>
      </c>
      <c r="L20" t="s">
        <v>129</v>
      </c>
      <c r="M20" t="s">
        <v>88</v>
      </c>
      <c r="N20" s="3">
        <v>4938.1000000000004</v>
      </c>
      <c r="O20">
        <v>13</v>
      </c>
      <c r="P20" s="3">
        <v>64195.3</v>
      </c>
    </row>
    <row r="21" spans="1:16" x14ac:dyDescent="0.3">
      <c r="A21" t="s">
        <v>130</v>
      </c>
      <c r="B21" s="2">
        <v>44588</v>
      </c>
      <c r="C21" t="s">
        <v>131</v>
      </c>
      <c r="D21" t="s">
        <v>74</v>
      </c>
      <c r="E21" t="s">
        <v>107</v>
      </c>
      <c r="F21" t="s">
        <v>20</v>
      </c>
      <c r="G21" t="s">
        <v>132</v>
      </c>
      <c r="H21" t="s">
        <v>43</v>
      </c>
      <c r="I21" s="2">
        <v>44596</v>
      </c>
      <c r="J21" t="s">
        <v>23</v>
      </c>
      <c r="K21" t="s">
        <v>69</v>
      </c>
      <c r="L21" t="s">
        <v>61</v>
      </c>
      <c r="M21" t="s">
        <v>62</v>
      </c>
      <c r="N21" s="3">
        <v>5120.16</v>
      </c>
      <c r="O21">
        <v>21</v>
      </c>
      <c r="P21" s="3">
        <v>107523.36</v>
      </c>
    </row>
    <row r="22" spans="1:16" x14ac:dyDescent="0.3">
      <c r="A22" t="s">
        <v>133</v>
      </c>
      <c r="B22" s="2">
        <v>45338</v>
      </c>
      <c r="C22" t="s">
        <v>134</v>
      </c>
      <c r="D22" t="s">
        <v>39</v>
      </c>
      <c r="E22" t="s">
        <v>114</v>
      </c>
      <c r="F22" t="s">
        <v>41</v>
      </c>
      <c r="G22" t="s">
        <v>135</v>
      </c>
      <c r="H22" t="s">
        <v>43</v>
      </c>
      <c r="I22" s="2">
        <v>45346</v>
      </c>
      <c r="J22" t="s">
        <v>122</v>
      </c>
      <c r="K22" t="s">
        <v>44</v>
      </c>
      <c r="L22" t="s">
        <v>35</v>
      </c>
      <c r="M22" t="s">
        <v>36</v>
      </c>
      <c r="N22" s="3">
        <v>18881.22</v>
      </c>
      <c r="O22">
        <v>20</v>
      </c>
      <c r="P22" s="3">
        <v>377624.4</v>
      </c>
    </row>
    <row r="23" spans="1:16" x14ac:dyDescent="0.3">
      <c r="A23" t="s">
        <v>136</v>
      </c>
      <c r="B23" s="2">
        <v>45873</v>
      </c>
      <c r="C23" t="s">
        <v>137</v>
      </c>
      <c r="D23" t="s">
        <v>91</v>
      </c>
      <c r="E23" t="s">
        <v>85</v>
      </c>
      <c r="F23" t="s">
        <v>41</v>
      </c>
      <c r="G23" t="s">
        <v>138</v>
      </c>
      <c r="H23" t="s">
        <v>22</v>
      </c>
      <c r="I23" s="2">
        <v>45877</v>
      </c>
      <c r="J23" t="s">
        <v>34</v>
      </c>
      <c r="K23" t="s">
        <v>44</v>
      </c>
      <c r="L23" t="s">
        <v>139</v>
      </c>
      <c r="M23" t="s">
        <v>140</v>
      </c>
      <c r="N23" s="3">
        <v>19359.150000000001</v>
      </c>
      <c r="O23">
        <v>33</v>
      </c>
      <c r="P23" s="3">
        <v>638851.95000000007</v>
      </c>
    </row>
    <row r="24" spans="1:16" x14ac:dyDescent="0.3">
      <c r="A24" t="s">
        <v>141</v>
      </c>
      <c r="B24" s="2">
        <v>45591</v>
      </c>
      <c r="C24" t="s">
        <v>142</v>
      </c>
      <c r="D24" t="s">
        <v>56</v>
      </c>
      <c r="E24" t="s">
        <v>97</v>
      </c>
      <c r="F24" t="s">
        <v>75</v>
      </c>
      <c r="G24" t="s">
        <v>143</v>
      </c>
      <c r="H24" t="s">
        <v>68</v>
      </c>
      <c r="I24" s="2">
        <v>45596</v>
      </c>
      <c r="J24" t="s">
        <v>59</v>
      </c>
      <c r="K24" t="s">
        <v>60</v>
      </c>
      <c r="L24" t="s">
        <v>25</v>
      </c>
      <c r="M24" t="s">
        <v>26</v>
      </c>
      <c r="N24" s="3">
        <v>19441.8</v>
      </c>
      <c r="O24">
        <v>41</v>
      </c>
      <c r="P24" s="3">
        <v>797113.79999999993</v>
      </c>
    </row>
    <row r="25" spans="1:16" x14ac:dyDescent="0.3">
      <c r="A25" t="s">
        <v>144</v>
      </c>
      <c r="B25" s="2">
        <v>45003</v>
      </c>
      <c r="C25" t="s">
        <v>145</v>
      </c>
      <c r="D25" t="s">
        <v>74</v>
      </c>
      <c r="E25" t="s">
        <v>49</v>
      </c>
      <c r="F25" t="s">
        <v>66</v>
      </c>
      <c r="G25" t="s">
        <v>146</v>
      </c>
      <c r="H25" t="s">
        <v>43</v>
      </c>
      <c r="I25" s="2">
        <v>45006</v>
      </c>
      <c r="J25" t="s">
        <v>59</v>
      </c>
      <c r="K25" t="s">
        <v>60</v>
      </c>
      <c r="L25" t="s">
        <v>147</v>
      </c>
      <c r="M25" t="s">
        <v>71</v>
      </c>
      <c r="N25" s="3">
        <v>12489.26</v>
      </c>
      <c r="O25">
        <v>27</v>
      </c>
      <c r="P25" s="3">
        <v>337210.02</v>
      </c>
    </row>
    <row r="26" spans="1:16" x14ac:dyDescent="0.3">
      <c r="A26" t="s">
        <v>148</v>
      </c>
      <c r="B26" s="2">
        <v>45295</v>
      </c>
      <c r="C26" t="s">
        <v>149</v>
      </c>
      <c r="D26" t="s">
        <v>29</v>
      </c>
      <c r="E26" t="s">
        <v>40</v>
      </c>
      <c r="F26" t="s">
        <v>150</v>
      </c>
      <c r="G26" t="s">
        <v>151</v>
      </c>
      <c r="H26" t="s">
        <v>43</v>
      </c>
      <c r="I26" s="2">
        <v>45297</v>
      </c>
      <c r="J26" t="s">
        <v>59</v>
      </c>
      <c r="K26" t="s">
        <v>60</v>
      </c>
      <c r="L26" t="s">
        <v>93</v>
      </c>
      <c r="M26" t="s">
        <v>94</v>
      </c>
      <c r="N26" s="3">
        <v>6764</v>
      </c>
      <c r="O26">
        <v>9</v>
      </c>
      <c r="P26" s="3">
        <v>60876</v>
      </c>
    </row>
    <row r="27" spans="1:16" x14ac:dyDescent="0.3">
      <c r="A27" t="s">
        <v>152</v>
      </c>
      <c r="B27" s="2">
        <v>44963</v>
      </c>
      <c r="C27" t="s">
        <v>153</v>
      </c>
      <c r="D27" t="s">
        <v>91</v>
      </c>
      <c r="E27" t="s">
        <v>40</v>
      </c>
      <c r="F27" t="s">
        <v>41</v>
      </c>
      <c r="G27" t="s">
        <v>154</v>
      </c>
      <c r="H27" t="s">
        <v>33</v>
      </c>
      <c r="I27" s="2">
        <v>44966</v>
      </c>
      <c r="J27" t="s">
        <v>59</v>
      </c>
      <c r="K27" t="s">
        <v>44</v>
      </c>
      <c r="L27" t="s">
        <v>52</v>
      </c>
      <c r="M27" t="s">
        <v>53</v>
      </c>
      <c r="N27" s="3">
        <v>6678.12</v>
      </c>
      <c r="O27">
        <v>44</v>
      </c>
      <c r="P27" s="3">
        <v>293837.28000000003</v>
      </c>
    </row>
    <row r="28" spans="1:16" x14ac:dyDescent="0.3">
      <c r="A28" t="s">
        <v>155</v>
      </c>
      <c r="B28" s="2">
        <v>44753</v>
      </c>
      <c r="C28" t="s">
        <v>156</v>
      </c>
      <c r="D28" t="s">
        <v>157</v>
      </c>
      <c r="E28" t="s">
        <v>107</v>
      </c>
      <c r="F28" t="s">
        <v>57</v>
      </c>
      <c r="G28" t="s">
        <v>158</v>
      </c>
      <c r="H28" t="s">
        <v>68</v>
      </c>
      <c r="I28" s="2">
        <v>44756</v>
      </c>
      <c r="J28" t="s">
        <v>122</v>
      </c>
      <c r="K28" t="s">
        <v>69</v>
      </c>
      <c r="L28" t="s">
        <v>25</v>
      </c>
      <c r="M28" t="s">
        <v>26</v>
      </c>
      <c r="N28" s="3">
        <v>18910.03</v>
      </c>
      <c r="O28">
        <v>26</v>
      </c>
      <c r="P28" s="3">
        <v>491660.78</v>
      </c>
    </row>
    <row r="29" spans="1:16" x14ac:dyDescent="0.3">
      <c r="A29" t="s">
        <v>159</v>
      </c>
      <c r="B29" s="2">
        <v>44911</v>
      </c>
      <c r="C29" t="s">
        <v>160</v>
      </c>
      <c r="D29" t="s">
        <v>74</v>
      </c>
      <c r="E29" t="s">
        <v>65</v>
      </c>
      <c r="F29" t="s">
        <v>150</v>
      </c>
      <c r="G29" t="s">
        <v>161</v>
      </c>
      <c r="H29" t="s">
        <v>68</v>
      </c>
      <c r="I29" s="2">
        <v>44912</v>
      </c>
      <c r="J29" t="s">
        <v>77</v>
      </c>
      <c r="K29" t="s">
        <v>60</v>
      </c>
      <c r="L29" t="s">
        <v>147</v>
      </c>
      <c r="M29" t="s">
        <v>71</v>
      </c>
      <c r="N29" s="3">
        <v>8797.69</v>
      </c>
      <c r="O29">
        <v>6</v>
      </c>
      <c r="P29" s="3">
        <v>52786.14</v>
      </c>
    </row>
    <row r="30" spans="1:16" x14ac:dyDescent="0.3">
      <c r="A30" t="s">
        <v>162</v>
      </c>
      <c r="B30" s="2">
        <v>45863</v>
      </c>
      <c r="C30" t="s">
        <v>163</v>
      </c>
      <c r="D30" t="s">
        <v>164</v>
      </c>
      <c r="E30" t="s">
        <v>85</v>
      </c>
      <c r="F30" t="s">
        <v>66</v>
      </c>
      <c r="G30" t="s">
        <v>165</v>
      </c>
      <c r="H30" t="s">
        <v>33</v>
      </c>
      <c r="I30" s="2">
        <v>45867</v>
      </c>
      <c r="J30" t="s">
        <v>23</v>
      </c>
      <c r="K30" t="s">
        <v>24</v>
      </c>
      <c r="L30" t="s">
        <v>70</v>
      </c>
      <c r="M30" t="s">
        <v>71</v>
      </c>
      <c r="N30" s="3">
        <v>15124.53</v>
      </c>
      <c r="O30">
        <v>46</v>
      </c>
      <c r="P30" s="3">
        <v>695728.38</v>
      </c>
    </row>
    <row r="31" spans="1:16" x14ac:dyDescent="0.3">
      <c r="A31" t="s">
        <v>166</v>
      </c>
      <c r="B31" s="2">
        <v>44776</v>
      </c>
      <c r="C31" t="s">
        <v>167</v>
      </c>
      <c r="D31" t="s">
        <v>74</v>
      </c>
      <c r="E31" t="s">
        <v>49</v>
      </c>
      <c r="F31" t="s">
        <v>168</v>
      </c>
      <c r="G31" t="s">
        <v>169</v>
      </c>
      <c r="H31" t="s">
        <v>43</v>
      </c>
      <c r="I31" s="2">
        <v>44780</v>
      </c>
      <c r="J31" t="s">
        <v>77</v>
      </c>
      <c r="K31" t="s">
        <v>69</v>
      </c>
      <c r="L31" t="s">
        <v>25</v>
      </c>
      <c r="M31" t="s">
        <v>26</v>
      </c>
      <c r="N31" s="3">
        <v>16128.3</v>
      </c>
      <c r="O31">
        <v>22</v>
      </c>
      <c r="P31" s="3">
        <v>354822.6</v>
      </c>
    </row>
    <row r="32" spans="1:16" x14ac:dyDescent="0.3">
      <c r="A32" t="s">
        <v>170</v>
      </c>
      <c r="B32" s="2">
        <v>45048</v>
      </c>
      <c r="C32" t="s">
        <v>171</v>
      </c>
      <c r="D32" t="s">
        <v>18</v>
      </c>
      <c r="E32" t="s">
        <v>19</v>
      </c>
      <c r="F32" t="s">
        <v>50</v>
      </c>
      <c r="G32" t="s">
        <v>172</v>
      </c>
      <c r="H32" t="s">
        <v>22</v>
      </c>
      <c r="I32" s="2">
        <v>45050</v>
      </c>
      <c r="J32" t="s">
        <v>122</v>
      </c>
      <c r="K32" t="s">
        <v>44</v>
      </c>
      <c r="L32" t="s">
        <v>147</v>
      </c>
      <c r="M32" t="s">
        <v>71</v>
      </c>
      <c r="N32" s="3">
        <v>6294.74</v>
      </c>
      <c r="O32">
        <v>10</v>
      </c>
      <c r="P32" s="3">
        <v>62947.399999999987</v>
      </c>
    </row>
    <row r="33" spans="1:16" x14ac:dyDescent="0.3">
      <c r="A33" t="s">
        <v>173</v>
      </c>
      <c r="B33" s="2">
        <v>45676</v>
      </c>
      <c r="C33" t="s">
        <v>174</v>
      </c>
      <c r="D33" t="s">
        <v>29</v>
      </c>
      <c r="E33" t="s">
        <v>97</v>
      </c>
      <c r="F33" t="s">
        <v>50</v>
      </c>
      <c r="G33" t="s">
        <v>175</v>
      </c>
      <c r="H33" t="s">
        <v>43</v>
      </c>
      <c r="I33" s="2">
        <v>45678</v>
      </c>
      <c r="J33" t="s">
        <v>122</v>
      </c>
      <c r="K33" t="s">
        <v>69</v>
      </c>
      <c r="L33" t="s">
        <v>45</v>
      </c>
      <c r="M33" t="s">
        <v>46</v>
      </c>
      <c r="N33" s="3">
        <v>10490.09</v>
      </c>
      <c r="O33">
        <v>48</v>
      </c>
      <c r="P33" s="3">
        <v>503524.32</v>
      </c>
    </row>
    <row r="34" spans="1:16" x14ac:dyDescent="0.3">
      <c r="A34" t="s">
        <v>176</v>
      </c>
      <c r="B34" s="2">
        <v>44878</v>
      </c>
      <c r="C34" t="s">
        <v>177</v>
      </c>
      <c r="D34" t="s">
        <v>84</v>
      </c>
      <c r="E34" t="s">
        <v>65</v>
      </c>
      <c r="F34" t="s">
        <v>168</v>
      </c>
      <c r="G34" t="s">
        <v>178</v>
      </c>
      <c r="H34" t="s">
        <v>22</v>
      </c>
      <c r="I34" s="2">
        <v>44885</v>
      </c>
      <c r="J34" t="s">
        <v>59</v>
      </c>
      <c r="K34" t="s">
        <v>69</v>
      </c>
      <c r="L34" t="s">
        <v>129</v>
      </c>
      <c r="M34" t="s">
        <v>88</v>
      </c>
      <c r="N34" s="3">
        <v>3093.86</v>
      </c>
      <c r="O34">
        <v>38</v>
      </c>
      <c r="P34" s="3">
        <v>117566.68</v>
      </c>
    </row>
    <row r="35" spans="1:16" x14ac:dyDescent="0.3">
      <c r="A35" t="s">
        <v>179</v>
      </c>
      <c r="B35" s="2">
        <v>44816</v>
      </c>
      <c r="C35" t="s">
        <v>180</v>
      </c>
      <c r="D35" t="s">
        <v>29</v>
      </c>
      <c r="E35" t="s">
        <v>65</v>
      </c>
      <c r="F35" t="s">
        <v>57</v>
      </c>
      <c r="G35" t="s">
        <v>181</v>
      </c>
      <c r="H35" t="s">
        <v>43</v>
      </c>
      <c r="I35" s="2">
        <v>44825</v>
      </c>
      <c r="J35" t="s">
        <v>77</v>
      </c>
      <c r="K35" t="s">
        <v>60</v>
      </c>
      <c r="L35" t="s">
        <v>139</v>
      </c>
      <c r="M35" t="s">
        <v>140</v>
      </c>
      <c r="N35" s="3">
        <v>7177.01</v>
      </c>
      <c r="O35">
        <v>15</v>
      </c>
      <c r="P35" s="3">
        <v>107655.15</v>
      </c>
    </row>
    <row r="36" spans="1:16" x14ac:dyDescent="0.3">
      <c r="A36" t="s">
        <v>182</v>
      </c>
      <c r="B36" s="2">
        <v>45828</v>
      </c>
      <c r="C36" t="s">
        <v>183</v>
      </c>
      <c r="D36" t="s">
        <v>39</v>
      </c>
      <c r="E36" t="s">
        <v>107</v>
      </c>
      <c r="F36" t="s">
        <v>31</v>
      </c>
      <c r="G36" t="s">
        <v>184</v>
      </c>
      <c r="H36" t="s">
        <v>68</v>
      </c>
      <c r="I36" s="2">
        <v>45830</v>
      </c>
      <c r="J36" t="s">
        <v>77</v>
      </c>
      <c r="K36" t="s">
        <v>60</v>
      </c>
      <c r="L36" t="s">
        <v>87</v>
      </c>
      <c r="M36" t="s">
        <v>88</v>
      </c>
      <c r="N36" s="3">
        <v>4466.45</v>
      </c>
      <c r="O36">
        <v>38</v>
      </c>
      <c r="P36" s="3">
        <v>169725.1</v>
      </c>
    </row>
    <row r="37" spans="1:16" x14ac:dyDescent="0.3">
      <c r="A37" t="s">
        <v>185</v>
      </c>
      <c r="B37" s="2">
        <v>45063</v>
      </c>
      <c r="C37" t="s">
        <v>186</v>
      </c>
      <c r="D37" t="s">
        <v>18</v>
      </c>
      <c r="E37" t="s">
        <v>49</v>
      </c>
      <c r="F37" t="s">
        <v>75</v>
      </c>
      <c r="G37" t="s">
        <v>187</v>
      </c>
      <c r="H37" t="s">
        <v>43</v>
      </c>
      <c r="I37" s="2">
        <v>45072</v>
      </c>
      <c r="J37" t="s">
        <v>77</v>
      </c>
      <c r="K37" t="s">
        <v>60</v>
      </c>
      <c r="L37" t="s">
        <v>78</v>
      </c>
      <c r="M37" t="s">
        <v>71</v>
      </c>
      <c r="N37" s="3">
        <v>2983.46</v>
      </c>
      <c r="O37">
        <v>5</v>
      </c>
      <c r="P37" s="3">
        <v>14917.3</v>
      </c>
    </row>
    <row r="38" spans="1:16" x14ac:dyDescent="0.3">
      <c r="A38" t="s">
        <v>188</v>
      </c>
      <c r="B38" s="2">
        <v>45648</v>
      </c>
      <c r="C38" t="s">
        <v>189</v>
      </c>
      <c r="D38" t="s">
        <v>190</v>
      </c>
      <c r="E38" t="s">
        <v>49</v>
      </c>
      <c r="F38" t="s">
        <v>150</v>
      </c>
      <c r="G38" t="s">
        <v>191</v>
      </c>
      <c r="H38" t="s">
        <v>22</v>
      </c>
      <c r="I38" s="2">
        <v>45652</v>
      </c>
      <c r="J38" t="s">
        <v>122</v>
      </c>
      <c r="K38" t="s">
        <v>60</v>
      </c>
      <c r="L38" t="s">
        <v>52</v>
      </c>
      <c r="M38" t="s">
        <v>53</v>
      </c>
      <c r="N38" s="3">
        <v>10015.6</v>
      </c>
      <c r="O38">
        <v>40</v>
      </c>
      <c r="P38" s="3">
        <v>400624</v>
      </c>
    </row>
    <row r="39" spans="1:16" x14ac:dyDescent="0.3">
      <c r="A39" t="s">
        <v>192</v>
      </c>
      <c r="B39" s="2">
        <v>45242</v>
      </c>
      <c r="C39" t="s">
        <v>193</v>
      </c>
      <c r="D39" t="s">
        <v>18</v>
      </c>
      <c r="E39" t="s">
        <v>49</v>
      </c>
      <c r="F39" t="s">
        <v>50</v>
      </c>
      <c r="G39" t="s">
        <v>194</v>
      </c>
      <c r="H39" t="s">
        <v>68</v>
      </c>
      <c r="I39" s="2">
        <v>45248</v>
      </c>
      <c r="J39" t="s">
        <v>23</v>
      </c>
      <c r="K39" t="s">
        <v>69</v>
      </c>
      <c r="L39" t="s">
        <v>52</v>
      </c>
      <c r="M39" t="s">
        <v>53</v>
      </c>
      <c r="N39" s="3">
        <v>16986.41</v>
      </c>
      <c r="O39">
        <v>48</v>
      </c>
      <c r="P39" s="3">
        <v>815347.67999999993</v>
      </c>
    </row>
    <row r="40" spans="1:16" x14ac:dyDescent="0.3">
      <c r="A40" t="s">
        <v>195</v>
      </c>
      <c r="B40" s="2">
        <v>44919</v>
      </c>
      <c r="C40" t="s">
        <v>196</v>
      </c>
      <c r="D40" t="s">
        <v>164</v>
      </c>
      <c r="E40" t="s">
        <v>197</v>
      </c>
      <c r="F40" t="s">
        <v>66</v>
      </c>
      <c r="G40" t="s">
        <v>198</v>
      </c>
      <c r="H40" t="s">
        <v>22</v>
      </c>
      <c r="I40" s="2">
        <v>44926</v>
      </c>
      <c r="J40" t="s">
        <v>122</v>
      </c>
      <c r="K40" t="s">
        <v>69</v>
      </c>
      <c r="L40" t="s">
        <v>25</v>
      </c>
      <c r="M40" t="s">
        <v>26</v>
      </c>
      <c r="N40" s="3">
        <v>16967.28</v>
      </c>
      <c r="O40">
        <v>40</v>
      </c>
      <c r="P40" s="3">
        <v>678691.2</v>
      </c>
    </row>
    <row r="41" spans="1:16" x14ac:dyDescent="0.3">
      <c r="A41" t="s">
        <v>199</v>
      </c>
      <c r="B41" s="2">
        <v>44825</v>
      </c>
      <c r="C41" t="s">
        <v>200</v>
      </c>
      <c r="D41" t="s">
        <v>18</v>
      </c>
      <c r="E41" t="s">
        <v>114</v>
      </c>
      <c r="F41" t="s">
        <v>66</v>
      </c>
      <c r="G41" t="s">
        <v>201</v>
      </c>
      <c r="H41" t="s">
        <v>68</v>
      </c>
      <c r="I41" s="2">
        <v>44833</v>
      </c>
      <c r="J41" t="s">
        <v>59</v>
      </c>
      <c r="K41" t="s">
        <v>44</v>
      </c>
      <c r="L41" t="s">
        <v>35</v>
      </c>
      <c r="M41" t="s">
        <v>36</v>
      </c>
      <c r="N41" s="3">
        <v>10840.97</v>
      </c>
      <c r="O41">
        <v>48</v>
      </c>
      <c r="P41" s="3">
        <v>520366.55999999988</v>
      </c>
    </row>
    <row r="42" spans="1:16" x14ac:dyDescent="0.3">
      <c r="A42" t="s">
        <v>202</v>
      </c>
      <c r="B42" s="2">
        <v>45341</v>
      </c>
      <c r="C42" t="s">
        <v>203</v>
      </c>
      <c r="D42" t="s">
        <v>29</v>
      </c>
      <c r="E42" t="s">
        <v>40</v>
      </c>
      <c r="F42" t="s">
        <v>108</v>
      </c>
      <c r="G42" t="s">
        <v>181</v>
      </c>
      <c r="H42" t="s">
        <v>68</v>
      </c>
      <c r="I42" s="2">
        <v>45343</v>
      </c>
      <c r="J42" t="s">
        <v>23</v>
      </c>
      <c r="K42" t="s">
        <v>24</v>
      </c>
      <c r="L42" t="s">
        <v>93</v>
      </c>
      <c r="M42" t="s">
        <v>94</v>
      </c>
      <c r="N42" s="3">
        <v>8328.7000000000007</v>
      </c>
      <c r="O42">
        <v>21</v>
      </c>
      <c r="P42" s="3">
        <v>174902.7</v>
      </c>
    </row>
    <row r="43" spans="1:16" x14ac:dyDescent="0.3">
      <c r="A43" t="s">
        <v>204</v>
      </c>
      <c r="B43" s="2">
        <v>45717</v>
      </c>
      <c r="C43" t="s">
        <v>205</v>
      </c>
      <c r="D43" t="s">
        <v>29</v>
      </c>
      <c r="E43" t="s">
        <v>30</v>
      </c>
      <c r="F43" t="s">
        <v>50</v>
      </c>
      <c r="G43" t="s">
        <v>206</v>
      </c>
      <c r="H43" t="s">
        <v>43</v>
      </c>
      <c r="I43" s="2">
        <v>45725</v>
      </c>
      <c r="J43" t="s">
        <v>59</v>
      </c>
      <c r="K43" t="s">
        <v>69</v>
      </c>
      <c r="L43" t="s">
        <v>45</v>
      </c>
      <c r="M43" t="s">
        <v>46</v>
      </c>
      <c r="N43" s="3">
        <v>4344.8599999999997</v>
      </c>
      <c r="O43">
        <v>5</v>
      </c>
      <c r="P43" s="3">
        <v>21724.3</v>
      </c>
    </row>
    <row r="44" spans="1:16" x14ac:dyDescent="0.3">
      <c r="A44" t="s">
        <v>207</v>
      </c>
      <c r="B44" s="2">
        <v>45585</v>
      </c>
      <c r="C44" t="s">
        <v>208</v>
      </c>
      <c r="D44" t="s">
        <v>190</v>
      </c>
      <c r="E44" t="s">
        <v>49</v>
      </c>
      <c r="F44" t="s">
        <v>150</v>
      </c>
      <c r="G44" t="s">
        <v>209</v>
      </c>
      <c r="H44" t="s">
        <v>33</v>
      </c>
      <c r="I44" s="2">
        <v>45587</v>
      </c>
      <c r="J44" t="s">
        <v>59</v>
      </c>
      <c r="K44" t="s">
        <v>44</v>
      </c>
      <c r="L44" t="s">
        <v>210</v>
      </c>
      <c r="M44" t="s">
        <v>140</v>
      </c>
      <c r="N44" s="3">
        <v>7181.97</v>
      </c>
      <c r="O44">
        <v>16</v>
      </c>
      <c r="P44" s="3">
        <v>114911.52</v>
      </c>
    </row>
    <row r="45" spans="1:16" x14ac:dyDescent="0.3">
      <c r="A45" t="s">
        <v>211</v>
      </c>
      <c r="B45" s="2">
        <v>44707</v>
      </c>
      <c r="C45" t="s">
        <v>212</v>
      </c>
      <c r="D45" t="s">
        <v>164</v>
      </c>
      <c r="E45" t="s">
        <v>114</v>
      </c>
      <c r="F45" t="s">
        <v>31</v>
      </c>
      <c r="G45" t="s">
        <v>213</v>
      </c>
      <c r="H45" t="s">
        <v>33</v>
      </c>
      <c r="I45" s="2">
        <v>44714</v>
      </c>
      <c r="J45" t="s">
        <v>122</v>
      </c>
      <c r="K45" t="s">
        <v>60</v>
      </c>
      <c r="L45" t="s">
        <v>25</v>
      </c>
      <c r="M45" t="s">
        <v>26</v>
      </c>
      <c r="N45" s="3">
        <v>8855.4599999999991</v>
      </c>
      <c r="O45">
        <v>29</v>
      </c>
      <c r="P45" s="3">
        <v>256808.34</v>
      </c>
    </row>
    <row r="46" spans="1:16" x14ac:dyDescent="0.3">
      <c r="A46" t="s">
        <v>214</v>
      </c>
      <c r="B46" s="2">
        <v>45815</v>
      </c>
      <c r="C46" t="s">
        <v>215</v>
      </c>
      <c r="D46" t="s">
        <v>84</v>
      </c>
      <c r="E46" t="s">
        <v>65</v>
      </c>
      <c r="F46" t="s">
        <v>41</v>
      </c>
      <c r="G46" t="s">
        <v>216</v>
      </c>
      <c r="H46" t="s">
        <v>33</v>
      </c>
      <c r="I46" s="2">
        <v>45819</v>
      </c>
      <c r="J46" t="s">
        <v>77</v>
      </c>
      <c r="K46" t="s">
        <v>69</v>
      </c>
      <c r="L46" t="s">
        <v>35</v>
      </c>
      <c r="M46" t="s">
        <v>36</v>
      </c>
      <c r="N46" s="3">
        <v>15629.33</v>
      </c>
      <c r="O46">
        <v>46</v>
      </c>
      <c r="P46" s="3">
        <v>718949.18</v>
      </c>
    </row>
    <row r="47" spans="1:16" x14ac:dyDescent="0.3">
      <c r="A47" t="s">
        <v>217</v>
      </c>
      <c r="B47" s="2">
        <v>45337</v>
      </c>
      <c r="C47" t="s">
        <v>218</v>
      </c>
      <c r="D47" t="s">
        <v>164</v>
      </c>
      <c r="E47" t="s">
        <v>197</v>
      </c>
      <c r="F47" t="s">
        <v>50</v>
      </c>
      <c r="G47" t="s">
        <v>219</v>
      </c>
      <c r="H47" t="s">
        <v>33</v>
      </c>
      <c r="I47" s="2">
        <v>45347</v>
      </c>
      <c r="J47" t="s">
        <v>122</v>
      </c>
      <c r="K47" t="s">
        <v>60</v>
      </c>
      <c r="L47" t="s">
        <v>70</v>
      </c>
      <c r="M47" t="s">
        <v>71</v>
      </c>
      <c r="N47" s="3">
        <v>19215.39</v>
      </c>
      <c r="O47">
        <v>48</v>
      </c>
      <c r="P47" s="3">
        <v>922338.72</v>
      </c>
    </row>
    <row r="48" spans="1:16" x14ac:dyDescent="0.3">
      <c r="A48" t="s">
        <v>220</v>
      </c>
      <c r="B48" s="2">
        <v>45258</v>
      </c>
      <c r="C48" t="s">
        <v>221</v>
      </c>
      <c r="D48" t="s">
        <v>18</v>
      </c>
      <c r="E48" t="s">
        <v>30</v>
      </c>
      <c r="F48" t="s">
        <v>41</v>
      </c>
      <c r="G48" t="s">
        <v>222</v>
      </c>
      <c r="H48" t="s">
        <v>22</v>
      </c>
      <c r="I48" s="2">
        <v>45262</v>
      </c>
      <c r="J48" t="s">
        <v>122</v>
      </c>
      <c r="K48" t="s">
        <v>69</v>
      </c>
      <c r="L48" t="s">
        <v>78</v>
      </c>
      <c r="M48" t="s">
        <v>71</v>
      </c>
      <c r="N48" s="3">
        <v>9500.77</v>
      </c>
      <c r="O48">
        <v>7</v>
      </c>
      <c r="P48" s="3">
        <v>66505.39</v>
      </c>
    </row>
    <row r="49" spans="1:16" x14ac:dyDescent="0.3">
      <c r="A49" t="s">
        <v>223</v>
      </c>
      <c r="B49" s="2">
        <v>45226</v>
      </c>
      <c r="C49" t="s">
        <v>224</v>
      </c>
      <c r="D49" t="s">
        <v>74</v>
      </c>
      <c r="E49" t="s">
        <v>19</v>
      </c>
      <c r="F49" t="s">
        <v>168</v>
      </c>
      <c r="G49" t="s">
        <v>225</v>
      </c>
      <c r="H49" t="s">
        <v>33</v>
      </c>
      <c r="I49" s="2">
        <v>45227</v>
      </c>
      <c r="J49" t="s">
        <v>34</v>
      </c>
      <c r="K49" t="s">
        <v>69</v>
      </c>
      <c r="L49" t="s">
        <v>70</v>
      </c>
      <c r="M49" t="s">
        <v>71</v>
      </c>
      <c r="N49" s="3">
        <v>18024.189999999999</v>
      </c>
      <c r="O49">
        <v>31</v>
      </c>
      <c r="P49" s="3">
        <v>558749.89</v>
      </c>
    </row>
    <row r="50" spans="1:16" x14ac:dyDescent="0.3">
      <c r="A50" t="s">
        <v>226</v>
      </c>
      <c r="B50" s="2">
        <v>44966</v>
      </c>
      <c r="C50" t="s">
        <v>227</v>
      </c>
      <c r="D50" t="s">
        <v>164</v>
      </c>
      <c r="E50" t="s">
        <v>114</v>
      </c>
      <c r="F50" t="s">
        <v>66</v>
      </c>
      <c r="G50" t="s">
        <v>228</v>
      </c>
      <c r="H50" t="s">
        <v>68</v>
      </c>
      <c r="I50" s="2">
        <v>44970</v>
      </c>
      <c r="J50" t="s">
        <v>77</v>
      </c>
      <c r="K50" t="s">
        <v>44</v>
      </c>
      <c r="L50" t="s">
        <v>87</v>
      </c>
      <c r="M50" t="s">
        <v>88</v>
      </c>
      <c r="N50" s="3">
        <v>18674.91</v>
      </c>
      <c r="O50">
        <v>33</v>
      </c>
      <c r="P50" s="3">
        <v>616272.03</v>
      </c>
    </row>
    <row r="51" spans="1:16" x14ac:dyDescent="0.3">
      <c r="A51" t="s">
        <v>229</v>
      </c>
      <c r="B51" s="2">
        <v>45782</v>
      </c>
      <c r="C51" t="s">
        <v>230</v>
      </c>
      <c r="D51" t="s">
        <v>190</v>
      </c>
      <c r="E51" t="s">
        <v>19</v>
      </c>
      <c r="F51" t="s">
        <v>108</v>
      </c>
      <c r="G51" t="s">
        <v>231</v>
      </c>
      <c r="H51" t="s">
        <v>43</v>
      </c>
      <c r="I51" s="2">
        <v>45785</v>
      </c>
      <c r="J51" t="s">
        <v>122</v>
      </c>
      <c r="K51" t="s">
        <v>60</v>
      </c>
      <c r="L51" t="s">
        <v>78</v>
      </c>
      <c r="M51" t="s">
        <v>71</v>
      </c>
      <c r="N51" s="3">
        <v>9925.01</v>
      </c>
      <c r="O51">
        <v>2</v>
      </c>
      <c r="P51" s="3">
        <v>19850.02</v>
      </c>
    </row>
    <row r="52" spans="1:16" x14ac:dyDescent="0.3">
      <c r="A52" t="s">
        <v>232</v>
      </c>
      <c r="B52" s="2">
        <v>44811</v>
      </c>
      <c r="C52" t="s">
        <v>233</v>
      </c>
      <c r="D52" t="s">
        <v>56</v>
      </c>
      <c r="E52" t="s">
        <v>114</v>
      </c>
      <c r="F52" t="s">
        <v>150</v>
      </c>
      <c r="G52" t="s">
        <v>234</v>
      </c>
      <c r="H52" t="s">
        <v>68</v>
      </c>
      <c r="I52" s="2">
        <v>44817</v>
      </c>
      <c r="J52" t="s">
        <v>122</v>
      </c>
      <c r="K52" t="s">
        <v>60</v>
      </c>
      <c r="L52" t="s">
        <v>129</v>
      </c>
      <c r="M52" t="s">
        <v>88</v>
      </c>
      <c r="N52" s="3">
        <v>10263.5</v>
      </c>
      <c r="O52">
        <v>49</v>
      </c>
      <c r="P52" s="3">
        <v>502911.5</v>
      </c>
    </row>
    <row r="53" spans="1:16" x14ac:dyDescent="0.3">
      <c r="A53" t="s">
        <v>235</v>
      </c>
      <c r="B53" s="2">
        <v>45766</v>
      </c>
      <c r="C53" t="s">
        <v>236</v>
      </c>
      <c r="D53" t="s">
        <v>29</v>
      </c>
      <c r="E53" t="s">
        <v>65</v>
      </c>
      <c r="F53" t="s">
        <v>168</v>
      </c>
      <c r="G53" t="s">
        <v>237</v>
      </c>
      <c r="H53" t="s">
        <v>68</v>
      </c>
      <c r="I53" s="2">
        <v>45770</v>
      </c>
      <c r="J53" t="s">
        <v>34</v>
      </c>
      <c r="K53" t="s">
        <v>60</v>
      </c>
      <c r="L53" t="s">
        <v>61</v>
      </c>
      <c r="M53" t="s">
        <v>62</v>
      </c>
      <c r="N53" s="3">
        <v>12510.14</v>
      </c>
      <c r="O53">
        <v>18</v>
      </c>
      <c r="P53" s="3">
        <v>225182.52</v>
      </c>
    </row>
    <row r="54" spans="1:16" x14ac:dyDescent="0.3">
      <c r="A54" t="s">
        <v>238</v>
      </c>
      <c r="B54" s="2">
        <v>45835</v>
      </c>
      <c r="C54" t="s">
        <v>239</v>
      </c>
      <c r="D54" t="s">
        <v>84</v>
      </c>
      <c r="E54" t="s">
        <v>107</v>
      </c>
      <c r="F54" t="s">
        <v>41</v>
      </c>
      <c r="G54" t="s">
        <v>240</v>
      </c>
      <c r="H54" t="s">
        <v>33</v>
      </c>
      <c r="I54" s="2">
        <v>45840</v>
      </c>
      <c r="J54" t="s">
        <v>34</v>
      </c>
      <c r="K54" t="s">
        <v>44</v>
      </c>
      <c r="L54" t="s">
        <v>70</v>
      </c>
      <c r="M54" t="s">
        <v>71</v>
      </c>
      <c r="N54" s="3">
        <v>7463.72</v>
      </c>
      <c r="O54">
        <v>21</v>
      </c>
      <c r="P54" s="3">
        <v>156738.12</v>
      </c>
    </row>
    <row r="55" spans="1:16" x14ac:dyDescent="0.3">
      <c r="A55" t="s">
        <v>241</v>
      </c>
      <c r="B55" s="2">
        <v>44638</v>
      </c>
      <c r="C55" t="s">
        <v>242</v>
      </c>
      <c r="D55" t="s">
        <v>157</v>
      </c>
      <c r="E55" t="s">
        <v>85</v>
      </c>
      <c r="F55" t="s">
        <v>57</v>
      </c>
      <c r="G55" t="s">
        <v>243</v>
      </c>
      <c r="H55" t="s">
        <v>33</v>
      </c>
      <c r="I55" s="2">
        <v>44640</v>
      </c>
      <c r="J55" t="s">
        <v>59</v>
      </c>
      <c r="K55" t="s">
        <v>69</v>
      </c>
      <c r="L55" t="s">
        <v>52</v>
      </c>
      <c r="M55" t="s">
        <v>53</v>
      </c>
      <c r="N55" s="3">
        <v>18839.189999999999</v>
      </c>
      <c r="O55">
        <v>26</v>
      </c>
      <c r="P55" s="3">
        <v>489818.93999999989</v>
      </c>
    </row>
    <row r="56" spans="1:16" x14ac:dyDescent="0.3">
      <c r="A56" t="s">
        <v>244</v>
      </c>
      <c r="B56" s="2">
        <v>45818</v>
      </c>
      <c r="C56" t="s">
        <v>245</v>
      </c>
      <c r="D56" t="s">
        <v>56</v>
      </c>
      <c r="E56" t="s">
        <v>107</v>
      </c>
      <c r="F56" t="s">
        <v>150</v>
      </c>
      <c r="G56" t="s">
        <v>246</v>
      </c>
      <c r="H56" t="s">
        <v>33</v>
      </c>
      <c r="I56" s="2">
        <v>45827</v>
      </c>
      <c r="J56" t="s">
        <v>122</v>
      </c>
      <c r="K56" t="s">
        <v>69</v>
      </c>
      <c r="L56" t="s">
        <v>78</v>
      </c>
      <c r="M56" t="s">
        <v>71</v>
      </c>
      <c r="N56" s="3">
        <v>9761.14</v>
      </c>
      <c r="O56">
        <v>21</v>
      </c>
      <c r="P56" s="3">
        <v>204983.94</v>
      </c>
    </row>
    <row r="57" spans="1:16" x14ac:dyDescent="0.3">
      <c r="A57" t="s">
        <v>247</v>
      </c>
      <c r="B57" s="2">
        <v>45923</v>
      </c>
      <c r="C57" t="s">
        <v>248</v>
      </c>
      <c r="D57" t="s">
        <v>74</v>
      </c>
      <c r="E57" t="s">
        <v>49</v>
      </c>
      <c r="F57" t="s">
        <v>57</v>
      </c>
      <c r="G57" t="s">
        <v>249</v>
      </c>
      <c r="H57" t="s">
        <v>43</v>
      </c>
      <c r="I57" s="2">
        <v>45933</v>
      </c>
      <c r="J57" t="s">
        <v>23</v>
      </c>
      <c r="K57" t="s">
        <v>69</v>
      </c>
      <c r="L57" t="s">
        <v>250</v>
      </c>
      <c r="M57" t="s">
        <v>36</v>
      </c>
      <c r="N57" s="3">
        <v>5112.34</v>
      </c>
      <c r="O57">
        <v>38</v>
      </c>
      <c r="P57" s="3">
        <v>194268.92</v>
      </c>
    </row>
    <row r="58" spans="1:16" x14ac:dyDescent="0.3">
      <c r="A58" t="s">
        <v>251</v>
      </c>
      <c r="B58" s="2">
        <v>44980</v>
      </c>
      <c r="C58" t="s">
        <v>252</v>
      </c>
      <c r="D58" t="s">
        <v>74</v>
      </c>
      <c r="E58" t="s">
        <v>107</v>
      </c>
      <c r="F58" t="s">
        <v>66</v>
      </c>
      <c r="G58" t="s">
        <v>253</v>
      </c>
      <c r="H58" t="s">
        <v>43</v>
      </c>
      <c r="I58" s="2">
        <v>44987</v>
      </c>
      <c r="J58" t="s">
        <v>23</v>
      </c>
      <c r="K58" t="s">
        <v>24</v>
      </c>
      <c r="L58" t="s">
        <v>210</v>
      </c>
      <c r="M58" t="s">
        <v>140</v>
      </c>
      <c r="N58" s="3">
        <v>6503.29</v>
      </c>
      <c r="O58">
        <v>20</v>
      </c>
      <c r="P58" s="3">
        <v>130065.8</v>
      </c>
    </row>
    <row r="59" spans="1:16" x14ac:dyDescent="0.3">
      <c r="A59" t="s">
        <v>254</v>
      </c>
      <c r="B59" s="2">
        <v>45853</v>
      </c>
      <c r="C59" t="s">
        <v>255</v>
      </c>
      <c r="D59" t="s">
        <v>29</v>
      </c>
      <c r="E59" t="s">
        <v>107</v>
      </c>
      <c r="F59" t="s">
        <v>108</v>
      </c>
      <c r="G59" t="s">
        <v>256</v>
      </c>
      <c r="H59" t="s">
        <v>43</v>
      </c>
      <c r="I59" s="2">
        <v>45855</v>
      </c>
      <c r="J59" t="s">
        <v>77</v>
      </c>
      <c r="K59" t="s">
        <v>44</v>
      </c>
      <c r="L59" t="s">
        <v>129</v>
      </c>
      <c r="M59" t="s">
        <v>88</v>
      </c>
      <c r="N59" s="3">
        <v>7586.63</v>
      </c>
      <c r="O59">
        <v>3</v>
      </c>
      <c r="P59" s="3">
        <v>22759.89</v>
      </c>
    </row>
    <row r="60" spans="1:16" x14ac:dyDescent="0.3">
      <c r="A60" t="s">
        <v>257</v>
      </c>
      <c r="B60" s="2">
        <v>44616</v>
      </c>
      <c r="C60" t="s">
        <v>258</v>
      </c>
      <c r="D60" t="s">
        <v>29</v>
      </c>
      <c r="E60" t="s">
        <v>49</v>
      </c>
      <c r="F60" t="s">
        <v>66</v>
      </c>
      <c r="G60" t="s">
        <v>259</v>
      </c>
      <c r="H60" t="s">
        <v>68</v>
      </c>
      <c r="I60" s="2">
        <v>44625</v>
      </c>
      <c r="J60" t="s">
        <v>77</v>
      </c>
      <c r="K60" t="s">
        <v>44</v>
      </c>
      <c r="L60" t="s">
        <v>147</v>
      </c>
      <c r="M60" t="s">
        <v>71</v>
      </c>
      <c r="N60" s="3">
        <v>16655.61</v>
      </c>
      <c r="O60">
        <v>48</v>
      </c>
      <c r="P60" s="3">
        <v>799469.28</v>
      </c>
    </row>
    <row r="61" spans="1:16" x14ac:dyDescent="0.3">
      <c r="A61" t="s">
        <v>260</v>
      </c>
      <c r="B61" s="2">
        <v>45343</v>
      </c>
      <c r="C61" t="s">
        <v>261</v>
      </c>
      <c r="D61" t="s">
        <v>164</v>
      </c>
      <c r="E61" t="s">
        <v>19</v>
      </c>
      <c r="F61" t="s">
        <v>57</v>
      </c>
      <c r="G61" t="s">
        <v>262</v>
      </c>
      <c r="H61" t="s">
        <v>33</v>
      </c>
      <c r="I61" s="2">
        <v>45348</v>
      </c>
      <c r="J61" t="s">
        <v>77</v>
      </c>
      <c r="K61" t="s">
        <v>44</v>
      </c>
      <c r="L61" t="s">
        <v>139</v>
      </c>
      <c r="M61" t="s">
        <v>140</v>
      </c>
      <c r="N61" s="3">
        <v>15558.17</v>
      </c>
      <c r="O61">
        <v>32</v>
      </c>
      <c r="P61" s="3">
        <v>497861.44</v>
      </c>
    </row>
    <row r="62" spans="1:16" x14ac:dyDescent="0.3">
      <c r="A62" t="s">
        <v>263</v>
      </c>
      <c r="B62" s="2">
        <v>44689</v>
      </c>
      <c r="C62" t="s">
        <v>264</v>
      </c>
      <c r="D62" t="s">
        <v>56</v>
      </c>
      <c r="E62" t="s">
        <v>197</v>
      </c>
      <c r="F62" t="s">
        <v>50</v>
      </c>
      <c r="G62" t="s">
        <v>265</v>
      </c>
      <c r="H62" t="s">
        <v>22</v>
      </c>
      <c r="I62" s="2">
        <v>44693</v>
      </c>
      <c r="J62" t="s">
        <v>59</v>
      </c>
      <c r="K62" t="s">
        <v>24</v>
      </c>
      <c r="L62" t="s">
        <v>210</v>
      </c>
      <c r="M62" t="s">
        <v>140</v>
      </c>
      <c r="N62" s="3">
        <v>14452.41</v>
      </c>
      <c r="O62">
        <v>6</v>
      </c>
      <c r="P62" s="3">
        <v>86714.459999999992</v>
      </c>
    </row>
    <row r="63" spans="1:16" x14ac:dyDescent="0.3">
      <c r="A63" t="s">
        <v>266</v>
      </c>
      <c r="B63" s="2">
        <v>45884</v>
      </c>
      <c r="C63" t="s">
        <v>267</v>
      </c>
      <c r="D63" t="s">
        <v>56</v>
      </c>
      <c r="E63" t="s">
        <v>85</v>
      </c>
      <c r="F63" t="s">
        <v>150</v>
      </c>
      <c r="G63" t="s">
        <v>268</v>
      </c>
      <c r="H63" t="s">
        <v>68</v>
      </c>
      <c r="I63" s="2">
        <v>45887</v>
      </c>
      <c r="J63" t="s">
        <v>77</v>
      </c>
      <c r="K63" t="s">
        <v>60</v>
      </c>
      <c r="L63" t="s">
        <v>70</v>
      </c>
      <c r="M63" t="s">
        <v>71</v>
      </c>
      <c r="N63" s="3">
        <v>14316.28</v>
      </c>
      <c r="O63">
        <v>23</v>
      </c>
      <c r="P63" s="3">
        <v>329274.44</v>
      </c>
    </row>
    <row r="64" spans="1:16" x14ac:dyDescent="0.3">
      <c r="A64" t="s">
        <v>269</v>
      </c>
      <c r="B64" s="2">
        <v>45093</v>
      </c>
      <c r="C64" t="s">
        <v>270</v>
      </c>
      <c r="D64" t="s">
        <v>39</v>
      </c>
      <c r="E64" t="s">
        <v>49</v>
      </c>
      <c r="F64" t="s">
        <v>75</v>
      </c>
      <c r="G64" t="s">
        <v>234</v>
      </c>
      <c r="H64" t="s">
        <v>33</v>
      </c>
      <c r="I64" s="2">
        <v>45097</v>
      </c>
      <c r="J64" t="s">
        <v>122</v>
      </c>
      <c r="K64" t="s">
        <v>60</v>
      </c>
      <c r="L64" t="s">
        <v>129</v>
      </c>
      <c r="M64" t="s">
        <v>88</v>
      </c>
      <c r="N64" s="3">
        <v>6733.26</v>
      </c>
      <c r="O64">
        <v>15</v>
      </c>
      <c r="P64" s="3">
        <v>100998.9</v>
      </c>
    </row>
    <row r="65" spans="1:16" x14ac:dyDescent="0.3">
      <c r="A65" t="s">
        <v>271</v>
      </c>
      <c r="B65" s="2">
        <v>45603</v>
      </c>
      <c r="C65" t="s">
        <v>272</v>
      </c>
      <c r="D65" t="s">
        <v>91</v>
      </c>
      <c r="E65" t="s">
        <v>30</v>
      </c>
      <c r="F65" t="s">
        <v>150</v>
      </c>
      <c r="G65" t="s">
        <v>273</v>
      </c>
      <c r="H65" t="s">
        <v>33</v>
      </c>
      <c r="I65" s="2">
        <v>45607</v>
      </c>
      <c r="J65" t="s">
        <v>34</v>
      </c>
      <c r="K65" t="s">
        <v>60</v>
      </c>
      <c r="L65" t="s">
        <v>25</v>
      </c>
      <c r="M65" t="s">
        <v>26</v>
      </c>
      <c r="N65" s="3">
        <v>12613.1</v>
      </c>
      <c r="O65">
        <v>17</v>
      </c>
      <c r="P65" s="3">
        <v>214422.7</v>
      </c>
    </row>
    <row r="66" spans="1:16" x14ac:dyDescent="0.3">
      <c r="A66" t="s">
        <v>274</v>
      </c>
      <c r="B66" s="2">
        <v>44936</v>
      </c>
      <c r="C66" t="s">
        <v>275</v>
      </c>
      <c r="D66" t="s">
        <v>190</v>
      </c>
      <c r="E66" t="s">
        <v>97</v>
      </c>
      <c r="F66" t="s">
        <v>75</v>
      </c>
      <c r="G66" t="s">
        <v>276</v>
      </c>
      <c r="H66" t="s">
        <v>68</v>
      </c>
      <c r="I66" s="2">
        <v>44939</v>
      </c>
      <c r="J66" t="s">
        <v>59</v>
      </c>
      <c r="K66" t="s">
        <v>60</v>
      </c>
      <c r="L66" t="s">
        <v>52</v>
      </c>
      <c r="M66" t="s">
        <v>53</v>
      </c>
      <c r="N66" s="3">
        <v>3087.66</v>
      </c>
      <c r="O66">
        <v>10</v>
      </c>
      <c r="P66" s="3">
        <v>30876.6</v>
      </c>
    </row>
    <row r="67" spans="1:16" x14ac:dyDescent="0.3">
      <c r="A67" t="s">
        <v>277</v>
      </c>
      <c r="B67" s="2">
        <v>45634</v>
      </c>
      <c r="C67" t="s">
        <v>278</v>
      </c>
      <c r="D67" t="s">
        <v>84</v>
      </c>
      <c r="E67" t="s">
        <v>40</v>
      </c>
      <c r="F67" t="s">
        <v>50</v>
      </c>
      <c r="G67" t="s">
        <v>279</v>
      </c>
      <c r="H67" t="s">
        <v>33</v>
      </c>
      <c r="I67" s="2">
        <v>45641</v>
      </c>
      <c r="J67" t="s">
        <v>59</v>
      </c>
      <c r="K67" t="s">
        <v>44</v>
      </c>
      <c r="L67" t="s">
        <v>78</v>
      </c>
      <c r="M67" t="s">
        <v>71</v>
      </c>
      <c r="N67" s="3">
        <v>9728.93</v>
      </c>
      <c r="O67">
        <v>17</v>
      </c>
      <c r="P67" s="3">
        <v>165391.81</v>
      </c>
    </row>
    <row r="68" spans="1:16" x14ac:dyDescent="0.3">
      <c r="A68" t="s">
        <v>280</v>
      </c>
      <c r="B68" s="2">
        <v>44798</v>
      </c>
      <c r="C68" t="s">
        <v>281</v>
      </c>
      <c r="D68" t="s">
        <v>91</v>
      </c>
      <c r="E68" t="s">
        <v>97</v>
      </c>
      <c r="F68" t="s">
        <v>150</v>
      </c>
      <c r="G68" t="s">
        <v>282</v>
      </c>
      <c r="H68" t="s">
        <v>43</v>
      </c>
      <c r="I68" s="2">
        <v>44806</v>
      </c>
      <c r="J68" t="s">
        <v>59</v>
      </c>
      <c r="K68" t="s">
        <v>24</v>
      </c>
      <c r="L68" t="s">
        <v>110</v>
      </c>
      <c r="M68" t="s">
        <v>111</v>
      </c>
      <c r="N68" s="3">
        <v>4549.07</v>
      </c>
      <c r="O68">
        <v>20</v>
      </c>
      <c r="P68" s="3">
        <v>90981.4</v>
      </c>
    </row>
    <row r="69" spans="1:16" x14ac:dyDescent="0.3">
      <c r="A69" t="s">
        <v>283</v>
      </c>
      <c r="B69" s="2">
        <v>44970</v>
      </c>
      <c r="C69" t="s">
        <v>284</v>
      </c>
      <c r="D69" t="s">
        <v>39</v>
      </c>
      <c r="E69" t="s">
        <v>65</v>
      </c>
      <c r="F69" t="s">
        <v>66</v>
      </c>
      <c r="G69" t="s">
        <v>285</v>
      </c>
      <c r="H69" t="s">
        <v>22</v>
      </c>
      <c r="I69" s="2">
        <v>44980</v>
      </c>
      <c r="J69" t="s">
        <v>59</v>
      </c>
      <c r="K69" t="s">
        <v>60</v>
      </c>
      <c r="L69" t="s">
        <v>129</v>
      </c>
      <c r="M69" t="s">
        <v>88</v>
      </c>
      <c r="N69" s="3">
        <v>7986.61</v>
      </c>
      <c r="O69">
        <v>20</v>
      </c>
      <c r="P69" s="3">
        <v>159732.20000000001</v>
      </c>
    </row>
    <row r="70" spans="1:16" x14ac:dyDescent="0.3">
      <c r="A70" t="s">
        <v>286</v>
      </c>
      <c r="B70" s="2">
        <v>45592</v>
      </c>
      <c r="C70" t="s">
        <v>287</v>
      </c>
      <c r="D70" t="s">
        <v>157</v>
      </c>
      <c r="E70" t="s">
        <v>19</v>
      </c>
      <c r="F70" t="s">
        <v>20</v>
      </c>
      <c r="G70" t="s">
        <v>288</v>
      </c>
      <c r="H70" t="s">
        <v>68</v>
      </c>
      <c r="I70" s="2">
        <v>45599</v>
      </c>
      <c r="J70" t="s">
        <v>34</v>
      </c>
      <c r="K70" t="s">
        <v>60</v>
      </c>
      <c r="L70" t="s">
        <v>139</v>
      </c>
      <c r="M70" t="s">
        <v>140</v>
      </c>
      <c r="N70" s="3">
        <v>16719.87</v>
      </c>
      <c r="O70">
        <v>5</v>
      </c>
      <c r="P70" s="3">
        <v>83599.349999999991</v>
      </c>
    </row>
    <row r="71" spans="1:16" x14ac:dyDescent="0.3">
      <c r="A71" t="s">
        <v>289</v>
      </c>
      <c r="B71" s="2">
        <v>45906</v>
      </c>
      <c r="C71" t="s">
        <v>290</v>
      </c>
      <c r="D71" t="s">
        <v>29</v>
      </c>
      <c r="E71" t="s">
        <v>114</v>
      </c>
      <c r="F71" t="s">
        <v>150</v>
      </c>
      <c r="G71" t="s">
        <v>291</v>
      </c>
      <c r="H71" t="s">
        <v>33</v>
      </c>
      <c r="I71" s="2">
        <v>45912</v>
      </c>
      <c r="J71" t="s">
        <v>59</v>
      </c>
      <c r="K71" t="s">
        <v>24</v>
      </c>
      <c r="L71" t="s">
        <v>147</v>
      </c>
      <c r="M71" t="s">
        <v>71</v>
      </c>
      <c r="N71" s="3">
        <v>14206.88</v>
      </c>
      <c r="O71">
        <v>9</v>
      </c>
      <c r="P71" s="3">
        <v>127861.92</v>
      </c>
    </row>
    <row r="72" spans="1:16" x14ac:dyDescent="0.3">
      <c r="A72" t="s">
        <v>292</v>
      </c>
      <c r="B72" s="2">
        <v>45601</v>
      </c>
      <c r="C72" t="s">
        <v>293</v>
      </c>
      <c r="D72" t="s">
        <v>29</v>
      </c>
      <c r="E72" t="s">
        <v>40</v>
      </c>
      <c r="F72" t="s">
        <v>75</v>
      </c>
      <c r="G72" t="s">
        <v>294</v>
      </c>
      <c r="H72" t="s">
        <v>43</v>
      </c>
      <c r="I72" s="2">
        <v>45603</v>
      </c>
      <c r="J72" t="s">
        <v>59</v>
      </c>
      <c r="K72" t="s">
        <v>44</v>
      </c>
      <c r="L72" t="s">
        <v>139</v>
      </c>
      <c r="M72" t="s">
        <v>140</v>
      </c>
      <c r="N72" s="3">
        <v>15093.62</v>
      </c>
      <c r="O72">
        <v>6</v>
      </c>
      <c r="P72" s="3">
        <v>90561.72</v>
      </c>
    </row>
    <row r="73" spans="1:16" x14ac:dyDescent="0.3">
      <c r="A73" t="s">
        <v>295</v>
      </c>
      <c r="B73" s="2">
        <v>45152</v>
      </c>
      <c r="C73" t="s">
        <v>296</v>
      </c>
      <c r="D73" t="s">
        <v>74</v>
      </c>
      <c r="E73" t="s">
        <v>85</v>
      </c>
      <c r="F73" t="s">
        <v>66</v>
      </c>
      <c r="G73" t="s">
        <v>297</v>
      </c>
      <c r="H73" t="s">
        <v>43</v>
      </c>
      <c r="I73" s="2">
        <v>45154</v>
      </c>
      <c r="J73" t="s">
        <v>122</v>
      </c>
      <c r="K73" t="s">
        <v>44</v>
      </c>
      <c r="L73" t="s">
        <v>93</v>
      </c>
      <c r="M73" t="s">
        <v>94</v>
      </c>
      <c r="N73" s="3">
        <v>4386.51</v>
      </c>
      <c r="O73">
        <v>38</v>
      </c>
      <c r="P73" s="3">
        <v>166687.38</v>
      </c>
    </row>
    <row r="74" spans="1:16" x14ac:dyDescent="0.3">
      <c r="A74" t="s">
        <v>298</v>
      </c>
      <c r="B74" s="2">
        <v>45872</v>
      </c>
      <c r="C74" t="s">
        <v>299</v>
      </c>
      <c r="D74" t="s">
        <v>29</v>
      </c>
      <c r="E74" t="s">
        <v>197</v>
      </c>
      <c r="F74" t="s">
        <v>57</v>
      </c>
      <c r="G74" t="s">
        <v>300</v>
      </c>
      <c r="H74" t="s">
        <v>43</v>
      </c>
      <c r="I74" s="2">
        <v>45881</v>
      </c>
      <c r="J74" t="s">
        <v>59</v>
      </c>
      <c r="K74" t="s">
        <v>69</v>
      </c>
      <c r="L74" t="s">
        <v>129</v>
      </c>
      <c r="M74" t="s">
        <v>88</v>
      </c>
      <c r="N74" s="3">
        <v>8726.19</v>
      </c>
      <c r="O74">
        <v>38</v>
      </c>
      <c r="P74" s="3">
        <v>331595.21999999997</v>
      </c>
    </row>
    <row r="75" spans="1:16" x14ac:dyDescent="0.3">
      <c r="A75" t="s">
        <v>301</v>
      </c>
      <c r="B75" s="2">
        <v>45350</v>
      </c>
      <c r="C75" t="s">
        <v>302</v>
      </c>
      <c r="D75" t="s">
        <v>18</v>
      </c>
      <c r="E75" t="s">
        <v>30</v>
      </c>
      <c r="F75" t="s">
        <v>66</v>
      </c>
      <c r="G75" t="s">
        <v>303</v>
      </c>
      <c r="H75" t="s">
        <v>68</v>
      </c>
      <c r="I75" s="2">
        <v>45352</v>
      </c>
      <c r="J75" t="s">
        <v>23</v>
      </c>
      <c r="K75" t="s">
        <v>44</v>
      </c>
      <c r="L75" t="s">
        <v>129</v>
      </c>
      <c r="M75" t="s">
        <v>88</v>
      </c>
      <c r="N75" s="3">
        <v>13555.97</v>
      </c>
      <c r="O75">
        <v>37</v>
      </c>
      <c r="P75" s="3">
        <v>501570.89</v>
      </c>
    </row>
    <row r="76" spans="1:16" x14ac:dyDescent="0.3">
      <c r="A76" t="s">
        <v>304</v>
      </c>
      <c r="B76" s="2">
        <v>45737</v>
      </c>
      <c r="C76" t="s">
        <v>305</v>
      </c>
      <c r="D76" t="s">
        <v>29</v>
      </c>
      <c r="E76" t="s">
        <v>40</v>
      </c>
      <c r="F76" t="s">
        <v>41</v>
      </c>
      <c r="G76" t="s">
        <v>306</v>
      </c>
      <c r="H76" t="s">
        <v>43</v>
      </c>
      <c r="I76" s="2">
        <v>45742</v>
      </c>
      <c r="J76" t="s">
        <v>77</v>
      </c>
      <c r="K76" t="s">
        <v>44</v>
      </c>
      <c r="L76" t="s">
        <v>110</v>
      </c>
      <c r="M76" t="s">
        <v>111</v>
      </c>
      <c r="N76" s="3">
        <v>8538.67</v>
      </c>
      <c r="O76">
        <v>32</v>
      </c>
      <c r="P76" s="3">
        <v>273237.44</v>
      </c>
    </row>
    <row r="77" spans="1:16" x14ac:dyDescent="0.3">
      <c r="A77" t="s">
        <v>307</v>
      </c>
      <c r="B77" s="2">
        <v>45070</v>
      </c>
      <c r="C77" t="s">
        <v>308</v>
      </c>
      <c r="D77" t="s">
        <v>39</v>
      </c>
      <c r="E77" t="s">
        <v>107</v>
      </c>
      <c r="F77" t="s">
        <v>108</v>
      </c>
      <c r="G77" t="s">
        <v>309</v>
      </c>
      <c r="H77" t="s">
        <v>33</v>
      </c>
      <c r="I77" s="2">
        <v>45077</v>
      </c>
      <c r="J77" t="s">
        <v>77</v>
      </c>
      <c r="K77" t="s">
        <v>44</v>
      </c>
      <c r="L77" t="s">
        <v>35</v>
      </c>
      <c r="M77" t="s">
        <v>36</v>
      </c>
      <c r="N77" s="3">
        <v>5314.86</v>
      </c>
      <c r="O77">
        <v>16</v>
      </c>
      <c r="P77" s="3">
        <v>85037.759999999995</v>
      </c>
    </row>
    <row r="78" spans="1:16" x14ac:dyDescent="0.3">
      <c r="A78" t="s">
        <v>310</v>
      </c>
      <c r="B78" s="2">
        <v>44975</v>
      </c>
      <c r="C78" t="s">
        <v>311</v>
      </c>
      <c r="D78" t="s">
        <v>84</v>
      </c>
      <c r="E78" t="s">
        <v>197</v>
      </c>
      <c r="F78" t="s">
        <v>75</v>
      </c>
      <c r="G78" t="s">
        <v>312</v>
      </c>
      <c r="H78" t="s">
        <v>22</v>
      </c>
      <c r="I78" s="2">
        <v>44980</v>
      </c>
      <c r="J78" t="s">
        <v>59</v>
      </c>
      <c r="K78" t="s">
        <v>44</v>
      </c>
      <c r="L78" t="s">
        <v>210</v>
      </c>
      <c r="M78" t="s">
        <v>140</v>
      </c>
      <c r="N78" s="3">
        <v>14472.59</v>
      </c>
      <c r="O78">
        <v>10</v>
      </c>
      <c r="P78" s="3">
        <v>144725.9</v>
      </c>
    </row>
    <row r="79" spans="1:16" x14ac:dyDescent="0.3">
      <c r="A79" t="s">
        <v>313</v>
      </c>
      <c r="B79" s="2">
        <v>45277</v>
      </c>
      <c r="C79" t="s">
        <v>314</v>
      </c>
      <c r="D79" t="s">
        <v>56</v>
      </c>
      <c r="E79" t="s">
        <v>85</v>
      </c>
      <c r="F79" t="s">
        <v>41</v>
      </c>
      <c r="G79" t="s">
        <v>315</v>
      </c>
      <c r="H79" t="s">
        <v>68</v>
      </c>
      <c r="I79" s="2">
        <v>45278</v>
      </c>
      <c r="J79" t="s">
        <v>59</v>
      </c>
      <c r="K79" t="s">
        <v>24</v>
      </c>
      <c r="L79" t="s">
        <v>35</v>
      </c>
      <c r="M79" t="s">
        <v>36</v>
      </c>
      <c r="N79" s="3">
        <v>2545.31</v>
      </c>
      <c r="O79">
        <v>15</v>
      </c>
      <c r="P79" s="3">
        <v>38179.65</v>
      </c>
    </row>
    <row r="80" spans="1:16" x14ac:dyDescent="0.3">
      <c r="A80" t="s">
        <v>316</v>
      </c>
      <c r="B80" s="2">
        <v>44845</v>
      </c>
      <c r="C80" t="s">
        <v>317</v>
      </c>
      <c r="D80" t="s">
        <v>74</v>
      </c>
      <c r="E80" t="s">
        <v>19</v>
      </c>
      <c r="F80" t="s">
        <v>150</v>
      </c>
      <c r="G80" t="s">
        <v>318</v>
      </c>
      <c r="H80" t="s">
        <v>43</v>
      </c>
      <c r="I80" s="2">
        <v>44851</v>
      </c>
      <c r="J80" t="s">
        <v>34</v>
      </c>
      <c r="K80" t="s">
        <v>69</v>
      </c>
      <c r="L80" t="s">
        <v>52</v>
      </c>
      <c r="M80" t="s">
        <v>53</v>
      </c>
      <c r="N80" s="3">
        <v>10928.5</v>
      </c>
      <c r="O80">
        <v>20</v>
      </c>
      <c r="P80" s="3">
        <v>218570</v>
      </c>
    </row>
    <row r="81" spans="1:16" x14ac:dyDescent="0.3">
      <c r="A81" t="s">
        <v>319</v>
      </c>
      <c r="B81" s="2">
        <v>45871</v>
      </c>
      <c r="C81" t="s">
        <v>320</v>
      </c>
      <c r="D81" t="s">
        <v>39</v>
      </c>
      <c r="E81" t="s">
        <v>197</v>
      </c>
      <c r="F81" t="s">
        <v>108</v>
      </c>
      <c r="G81" t="s">
        <v>321</v>
      </c>
      <c r="H81" t="s">
        <v>22</v>
      </c>
      <c r="I81" s="2">
        <v>45872</v>
      </c>
      <c r="J81" t="s">
        <v>34</v>
      </c>
      <c r="K81" t="s">
        <v>69</v>
      </c>
      <c r="L81" t="s">
        <v>25</v>
      </c>
      <c r="M81" t="s">
        <v>26</v>
      </c>
      <c r="N81" s="3">
        <v>3298.04</v>
      </c>
      <c r="O81">
        <v>18</v>
      </c>
      <c r="P81" s="3">
        <v>59364.72</v>
      </c>
    </row>
    <row r="82" spans="1:16" x14ac:dyDescent="0.3">
      <c r="A82" t="s">
        <v>322</v>
      </c>
      <c r="B82" s="2">
        <v>44687</v>
      </c>
      <c r="C82" t="s">
        <v>323</v>
      </c>
      <c r="D82" t="s">
        <v>29</v>
      </c>
      <c r="E82" t="s">
        <v>40</v>
      </c>
      <c r="F82" t="s">
        <v>57</v>
      </c>
      <c r="G82" t="s">
        <v>288</v>
      </c>
      <c r="H82" t="s">
        <v>43</v>
      </c>
      <c r="I82" s="2">
        <v>44694</v>
      </c>
      <c r="J82" t="s">
        <v>122</v>
      </c>
      <c r="K82" t="s">
        <v>60</v>
      </c>
      <c r="L82" t="s">
        <v>35</v>
      </c>
      <c r="M82" t="s">
        <v>36</v>
      </c>
      <c r="N82" s="3">
        <v>14825.86</v>
      </c>
      <c r="O82">
        <v>10</v>
      </c>
      <c r="P82" s="3">
        <v>148258.6</v>
      </c>
    </row>
    <row r="83" spans="1:16" x14ac:dyDescent="0.3">
      <c r="A83" t="s">
        <v>324</v>
      </c>
      <c r="B83" s="2">
        <v>44944</v>
      </c>
      <c r="C83" t="s">
        <v>325</v>
      </c>
      <c r="D83" t="s">
        <v>164</v>
      </c>
      <c r="E83" t="s">
        <v>197</v>
      </c>
      <c r="F83" t="s">
        <v>31</v>
      </c>
      <c r="G83" t="s">
        <v>326</v>
      </c>
      <c r="H83" t="s">
        <v>22</v>
      </c>
      <c r="I83" s="2">
        <v>44953</v>
      </c>
      <c r="J83" t="s">
        <v>34</v>
      </c>
      <c r="K83" t="s">
        <v>69</v>
      </c>
      <c r="L83" t="s">
        <v>35</v>
      </c>
      <c r="M83" t="s">
        <v>36</v>
      </c>
      <c r="N83" s="3">
        <v>10324.280000000001</v>
      </c>
      <c r="O83">
        <v>27</v>
      </c>
      <c r="P83" s="3">
        <v>278755.56</v>
      </c>
    </row>
    <row r="84" spans="1:16" x14ac:dyDescent="0.3">
      <c r="A84" t="s">
        <v>327</v>
      </c>
      <c r="B84" s="2">
        <v>45093</v>
      </c>
      <c r="C84" t="s">
        <v>328</v>
      </c>
      <c r="D84" t="s">
        <v>91</v>
      </c>
      <c r="E84" t="s">
        <v>107</v>
      </c>
      <c r="F84" t="s">
        <v>50</v>
      </c>
      <c r="G84" t="s">
        <v>329</v>
      </c>
      <c r="H84" t="s">
        <v>22</v>
      </c>
      <c r="I84" s="2">
        <v>45102</v>
      </c>
      <c r="J84" t="s">
        <v>77</v>
      </c>
      <c r="K84" t="s">
        <v>44</v>
      </c>
      <c r="L84" t="s">
        <v>210</v>
      </c>
      <c r="M84" t="s">
        <v>140</v>
      </c>
      <c r="N84" s="3">
        <v>3285.64</v>
      </c>
      <c r="O84">
        <v>38</v>
      </c>
      <c r="P84" s="3">
        <v>124854.32</v>
      </c>
    </row>
    <row r="85" spans="1:16" x14ac:dyDescent="0.3">
      <c r="A85" t="s">
        <v>330</v>
      </c>
      <c r="B85" s="2">
        <v>44735</v>
      </c>
      <c r="C85" t="s">
        <v>331</v>
      </c>
      <c r="D85" t="s">
        <v>91</v>
      </c>
      <c r="E85" t="s">
        <v>85</v>
      </c>
      <c r="F85" t="s">
        <v>31</v>
      </c>
      <c r="G85" t="s">
        <v>332</v>
      </c>
      <c r="H85" t="s">
        <v>33</v>
      </c>
      <c r="I85" s="2">
        <v>44745</v>
      </c>
      <c r="J85" t="s">
        <v>34</v>
      </c>
      <c r="K85" t="s">
        <v>24</v>
      </c>
      <c r="L85" t="s">
        <v>250</v>
      </c>
      <c r="M85" t="s">
        <v>36</v>
      </c>
      <c r="N85" s="3">
        <v>16967.97</v>
      </c>
      <c r="O85">
        <v>7</v>
      </c>
      <c r="P85" s="3">
        <v>118775.79</v>
      </c>
    </row>
    <row r="86" spans="1:16" x14ac:dyDescent="0.3">
      <c r="A86" t="s">
        <v>333</v>
      </c>
      <c r="B86" s="2">
        <v>45287</v>
      </c>
      <c r="C86" t="s">
        <v>334</v>
      </c>
      <c r="D86" t="s">
        <v>157</v>
      </c>
      <c r="E86" t="s">
        <v>40</v>
      </c>
      <c r="F86" t="s">
        <v>31</v>
      </c>
      <c r="G86" t="s">
        <v>335</v>
      </c>
      <c r="H86" t="s">
        <v>68</v>
      </c>
      <c r="I86" s="2">
        <v>45291</v>
      </c>
      <c r="J86" t="s">
        <v>23</v>
      </c>
      <c r="K86" t="s">
        <v>69</v>
      </c>
      <c r="L86" t="s">
        <v>78</v>
      </c>
      <c r="M86" t="s">
        <v>71</v>
      </c>
      <c r="N86" s="3">
        <v>10436.530000000001</v>
      </c>
      <c r="O86">
        <v>45</v>
      </c>
      <c r="P86" s="3">
        <v>469643.85</v>
      </c>
    </row>
    <row r="87" spans="1:16" x14ac:dyDescent="0.3">
      <c r="A87" t="s">
        <v>336</v>
      </c>
      <c r="B87" s="2">
        <v>44906</v>
      </c>
      <c r="C87" t="s">
        <v>337</v>
      </c>
      <c r="D87" t="s">
        <v>164</v>
      </c>
      <c r="E87" t="s">
        <v>19</v>
      </c>
      <c r="F87" t="s">
        <v>41</v>
      </c>
      <c r="G87" t="s">
        <v>300</v>
      </c>
      <c r="H87" t="s">
        <v>22</v>
      </c>
      <c r="I87" s="2">
        <v>44911</v>
      </c>
      <c r="J87" t="s">
        <v>59</v>
      </c>
      <c r="K87" t="s">
        <v>60</v>
      </c>
      <c r="L87" t="s">
        <v>35</v>
      </c>
      <c r="M87" t="s">
        <v>36</v>
      </c>
      <c r="N87" s="3">
        <v>5586.87</v>
      </c>
      <c r="O87">
        <v>5</v>
      </c>
      <c r="P87" s="3">
        <v>27934.35</v>
      </c>
    </row>
    <row r="88" spans="1:16" x14ac:dyDescent="0.3">
      <c r="A88" t="s">
        <v>338</v>
      </c>
      <c r="B88" s="2">
        <v>45344</v>
      </c>
      <c r="C88" t="s">
        <v>339</v>
      </c>
      <c r="D88" t="s">
        <v>190</v>
      </c>
      <c r="E88" t="s">
        <v>197</v>
      </c>
      <c r="F88" t="s">
        <v>108</v>
      </c>
      <c r="G88" t="s">
        <v>340</v>
      </c>
      <c r="H88" t="s">
        <v>68</v>
      </c>
      <c r="I88" s="2">
        <v>45354</v>
      </c>
      <c r="J88" t="s">
        <v>77</v>
      </c>
      <c r="K88" t="s">
        <v>44</v>
      </c>
      <c r="L88" t="s">
        <v>87</v>
      </c>
      <c r="M88" t="s">
        <v>88</v>
      </c>
      <c r="N88" s="3">
        <v>15815.38</v>
      </c>
      <c r="O88">
        <v>46</v>
      </c>
      <c r="P88" s="3">
        <v>727507.48</v>
      </c>
    </row>
    <row r="89" spans="1:16" x14ac:dyDescent="0.3">
      <c r="A89" t="s">
        <v>341</v>
      </c>
      <c r="B89" s="2">
        <v>44879</v>
      </c>
      <c r="C89" t="s">
        <v>342</v>
      </c>
      <c r="D89" t="s">
        <v>29</v>
      </c>
      <c r="E89" t="s">
        <v>85</v>
      </c>
      <c r="F89" t="s">
        <v>108</v>
      </c>
      <c r="G89" t="s">
        <v>343</v>
      </c>
      <c r="H89" t="s">
        <v>68</v>
      </c>
      <c r="I89" s="2">
        <v>44881</v>
      </c>
      <c r="J89" t="s">
        <v>23</v>
      </c>
      <c r="K89" t="s">
        <v>69</v>
      </c>
      <c r="L89" t="s">
        <v>147</v>
      </c>
      <c r="M89" t="s">
        <v>71</v>
      </c>
      <c r="N89" s="3">
        <v>16624.5</v>
      </c>
      <c r="O89">
        <v>5</v>
      </c>
      <c r="P89" s="3">
        <v>83122.5</v>
      </c>
    </row>
    <row r="90" spans="1:16" x14ac:dyDescent="0.3">
      <c r="A90" t="s">
        <v>344</v>
      </c>
      <c r="B90" s="2">
        <v>46002</v>
      </c>
      <c r="C90" t="s">
        <v>345</v>
      </c>
      <c r="D90" t="s">
        <v>39</v>
      </c>
      <c r="E90" t="s">
        <v>40</v>
      </c>
      <c r="F90" t="s">
        <v>168</v>
      </c>
      <c r="G90" t="s">
        <v>346</v>
      </c>
      <c r="H90" t="s">
        <v>68</v>
      </c>
      <c r="I90" s="2">
        <v>46004</v>
      </c>
      <c r="J90" t="s">
        <v>122</v>
      </c>
      <c r="K90" t="s">
        <v>44</v>
      </c>
      <c r="L90" t="s">
        <v>139</v>
      </c>
      <c r="M90" t="s">
        <v>140</v>
      </c>
      <c r="N90" s="3">
        <v>11664.65</v>
      </c>
      <c r="O90">
        <v>21</v>
      </c>
      <c r="P90" s="3">
        <v>244957.65</v>
      </c>
    </row>
    <row r="91" spans="1:16" x14ac:dyDescent="0.3">
      <c r="A91" t="s">
        <v>347</v>
      </c>
      <c r="B91" s="2">
        <v>45444</v>
      </c>
      <c r="C91" t="s">
        <v>348</v>
      </c>
      <c r="D91" t="s">
        <v>29</v>
      </c>
      <c r="E91" t="s">
        <v>19</v>
      </c>
      <c r="F91" t="s">
        <v>20</v>
      </c>
      <c r="G91" t="s">
        <v>349</v>
      </c>
      <c r="H91" t="s">
        <v>43</v>
      </c>
      <c r="I91" s="2">
        <v>45448</v>
      </c>
      <c r="J91" t="s">
        <v>34</v>
      </c>
      <c r="K91" t="s">
        <v>24</v>
      </c>
      <c r="L91" t="s">
        <v>61</v>
      </c>
      <c r="M91" t="s">
        <v>62</v>
      </c>
      <c r="N91" s="3">
        <v>17893.64</v>
      </c>
      <c r="O91">
        <v>13</v>
      </c>
      <c r="P91" s="3">
        <v>232617.32</v>
      </c>
    </row>
    <row r="92" spans="1:16" x14ac:dyDescent="0.3">
      <c r="A92" t="s">
        <v>350</v>
      </c>
      <c r="B92" s="2">
        <v>45374</v>
      </c>
      <c r="C92" t="s">
        <v>351</v>
      </c>
      <c r="D92" t="s">
        <v>157</v>
      </c>
      <c r="E92" t="s">
        <v>85</v>
      </c>
      <c r="F92" t="s">
        <v>50</v>
      </c>
      <c r="G92" t="s">
        <v>352</v>
      </c>
      <c r="H92" t="s">
        <v>22</v>
      </c>
      <c r="I92" s="2">
        <v>45381</v>
      </c>
      <c r="J92" t="s">
        <v>59</v>
      </c>
      <c r="K92" t="s">
        <v>44</v>
      </c>
      <c r="L92" t="s">
        <v>45</v>
      </c>
      <c r="M92" t="s">
        <v>46</v>
      </c>
      <c r="N92" s="3">
        <v>6372.13</v>
      </c>
      <c r="O92">
        <v>6</v>
      </c>
      <c r="P92" s="3">
        <v>38232.78</v>
      </c>
    </row>
    <row r="93" spans="1:16" x14ac:dyDescent="0.3">
      <c r="A93" t="s">
        <v>353</v>
      </c>
      <c r="B93" s="2">
        <v>45489</v>
      </c>
      <c r="C93" t="s">
        <v>354</v>
      </c>
      <c r="D93" t="s">
        <v>91</v>
      </c>
      <c r="E93" t="s">
        <v>19</v>
      </c>
      <c r="F93" t="s">
        <v>66</v>
      </c>
      <c r="G93" t="s">
        <v>355</v>
      </c>
      <c r="H93" t="s">
        <v>68</v>
      </c>
      <c r="I93" s="2">
        <v>45499</v>
      </c>
      <c r="J93" t="s">
        <v>122</v>
      </c>
      <c r="K93" t="s">
        <v>44</v>
      </c>
      <c r="L93" t="s">
        <v>61</v>
      </c>
      <c r="M93" t="s">
        <v>62</v>
      </c>
      <c r="N93" s="3">
        <v>17597.72</v>
      </c>
      <c r="O93">
        <v>26</v>
      </c>
      <c r="P93" s="3">
        <v>457540.72</v>
      </c>
    </row>
    <row r="94" spans="1:16" x14ac:dyDescent="0.3">
      <c r="A94" t="s">
        <v>356</v>
      </c>
      <c r="B94" s="2">
        <v>44991</v>
      </c>
      <c r="C94" t="s">
        <v>357</v>
      </c>
      <c r="D94" t="s">
        <v>164</v>
      </c>
      <c r="E94" t="s">
        <v>30</v>
      </c>
      <c r="F94" t="s">
        <v>50</v>
      </c>
      <c r="G94" t="s">
        <v>358</v>
      </c>
      <c r="H94" t="s">
        <v>33</v>
      </c>
      <c r="I94" s="2">
        <v>44997</v>
      </c>
      <c r="J94" t="s">
        <v>34</v>
      </c>
      <c r="K94" t="s">
        <v>69</v>
      </c>
      <c r="L94" t="s">
        <v>70</v>
      </c>
      <c r="M94" t="s">
        <v>71</v>
      </c>
      <c r="N94" s="3">
        <v>10091.33</v>
      </c>
      <c r="O94">
        <v>39</v>
      </c>
      <c r="P94" s="3">
        <v>393561.87</v>
      </c>
    </row>
    <row r="95" spans="1:16" x14ac:dyDescent="0.3">
      <c r="A95" t="s">
        <v>359</v>
      </c>
      <c r="B95" s="2">
        <v>45347</v>
      </c>
      <c r="C95" t="s">
        <v>360</v>
      </c>
      <c r="D95" t="s">
        <v>84</v>
      </c>
      <c r="E95" t="s">
        <v>114</v>
      </c>
      <c r="F95" t="s">
        <v>168</v>
      </c>
      <c r="G95" t="s">
        <v>361</v>
      </c>
      <c r="H95" t="s">
        <v>68</v>
      </c>
      <c r="I95" s="2">
        <v>45352</v>
      </c>
      <c r="J95" t="s">
        <v>77</v>
      </c>
      <c r="K95" t="s">
        <v>60</v>
      </c>
      <c r="L95" t="s">
        <v>147</v>
      </c>
      <c r="M95" t="s">
        <v>71</v>
      </c>
      <c r="N95" s="3">
        <v>14476.39</v>
      </c>
      <c r="O95">
        <v>10</v>
      </c>
      <c r="P95" s="3">
        <v>144763.9</v>
      </c>
    </row>
    <row r="96" spans="1:16" x14ac:dyDescent="0.3">
      <c r="A96" t="s">
        <v>362</v>
      </c>
      <c r="B96" s="2">
        <v>45755</v>
      </c>
      <c r="C96" t="s">
        <v>363</v>
      </c>
      <c r="D96" t="s">
        <v>74</v>
      </c>
      <c r="E96" t="s">
        <v>114</v>
      </c>
      <c r="F96" t="s">
        <v>20</v>
      </c>
      <c r="G96" t="s">
        <v>364</v>
      </c>
      <c r="H96" t="s">
        <v>68</v>
      </c>
      <c r="I96" s="2">
        <v>45756</v>
      </c>
      <c r="J96" t="s">
        <v>122</v>
      </c>
      <c r="K96" t="s">
        <v>60</v>
      </c>
      <c r="L96" t="s">
        <v>70</v>
      </c>
      <c r="M96" t="s">
        <v>71</v>
      </c>
      <c r="N96" s="3">
        <v>10422.370000000001</v>
      </c>
      <c r="O96">
        <v>40</v>
      </c>
      <c r="P96" s="3">
        <v>416894.8</v>
      </c>
    </row>
    <row r="97" spans="1:16" x14ac:dyDescent="0.3">
      <c r="A97" t="s">
        <v>365</v>
      </c>
      <c r="B97" s="2">
        <v>45410</v>
      </c>
      <c r="C97" t="s">
        <v>366</v>
      </c>
      <c r="D97" t="s">
        <v>190</v>
      </c>
      <c r="E97" t="s">
        <v>97</v>
      </c>
      <c r="F97" t="s">
        <v>31</v>
      </c>
      <c r="G97" t="s">
        <v>367</v>
      </c>
      <c r="H97" t="s">
        <v>22</v>
      </c>
      <c r="I97" s="2">
        <v>45420</v>
      </c>
      <c r="J97" t="s">
        <v>122</v>
      </c>
      <c r="K97" t="s">
        <v>69</v>
      </c>
      <c r="L97" t="s">
        <v>210</v>
      </c>
      <c r="M97" t="s">
        <v>140</v>
      </c>
      <c r="N97" s="3">
        <v>7219.42</v>
      </c>
      <c r="O97">
        <v>8</v>
      </c>
      <c r="P97" s="3">
        <v>57755.360000000001</v>
      </c>
    </row>
    <row r="98" spans="1:16" x14ac:dyDescent="0.3">
      <c r="A98" t="s">
        <v>368</v>
      </c>
      <c r="B98" s="2">
        <v>45241</v>
      </c>
      <c r="C98" t="s">
        <v>369</v>
      </c>
      <c r="D98" t="s">
        <v>157</v>
      </c>
      <c r="E98" t="s">
        <v>197</v>
      </c>
      <c r="F98" t="s">
        <v>41</v>
      </c>
      <c r="G98" t="s">
        <v>370</v>
      </c>
      <c r="H98" t="s">
        <v>43</v>
      </c>
      <c r="I98" s="2">
        <v>45251</v>
      </c>
      <c r="J98" t="s">
        <v>77</v>
      </c>
      <c r="K98" t="s">
        <v>24</v>
      </c>
      <c r="L98" t="s">
        <v>70</v>
      </c>
      <c r="M98" t="s">
        <v>71</v>
      </c>
      <c r="N98" s="3">
        <v>16735.27</v>
      </c>
      <c r="O98">
        <v>34</v>
      </c>
      <c r="P98" s="3">
        <v>568999.18000000005</v>
      </c>
    </row>
    <row r="99" spans="1:16" x14ac:dyDescent="0.3">
      <c r="A99" t="s">
        <v>371</v>
      </c>
      <c r="B99" s="2">
        <v>44780</v>
      </c>
      <c r="C99" t="s">
        <v>372</v>
      </c>
      <c r="D99" t="s">
        <v>74</v>
      </c>
      <c r="E99" t="s">
        <v>40</v>
      </c>
      <c r="F99" t="s">
        <v>168</v>
      </c>
      <c r="G99" t="s">
        <v>373</v>
      </c>
      <c r="H99" t="s">
        <v>68</v>
      </c>
      <c r="I99" s="2">
        <v>44786</v>
      </c>
      <c r="J99" t="s">
        <v>122</v>
      </c>
      <c r="K99" t="s">
        <v>44</v>
      </c>
      <c r="L99" t="s">
        <v>147</v>
      </c>
      <c r="M99" t="s">
        <v>71</v>
      </c>
      <c r="N99" s="3">
        <v>6943.03</v>
      </c>
      <c r="O99">
        <v>43</v>
      </c>
      <c r="P99" s="3">
        <v>298550.28999999998</v>
      </c>
    </row>
    <row r="100" spans="1:16" x14ac:dyDescent="0.3">
      <c r="A100" t="s">
        <v>374</v>
      </c>
      <c r="B100" s="2">
        <v>45170</v>
      </c>
      <c r="C100" t="s">
        <v>375</v>
      </c>
      <c r="D100" t="s">
        <v>56</v>
      </c>
      <c r="E100" t="s">
        <v>40</v>
      </c>
      <c r="F100" t="s">
        <v>168</v>
      </c>
      <c r="G100" t="s">
        <v>376</v>
      </c>
      <c r="H100" t="s">
        <v>22</v>
      </c>
      <c r="I100" s="2">
        <v>45175</v>
      </c>
      <c r="J100" t="s">
        <v>59</v>
      </c>
      <c r="K100" t="s">
        <v>44</v>
      </c>
      <c r="L100" t="s">
        <v>35</v>
      </c>
      <c r="M100" t="s">
        <v>36</v>
      </c>
      <c r="N100" s="3">
        <v>19135.68</v>
      </c>
      <c r="O100">
        <v>36</v>
      </c>
      <c r="P100" s="3">
        <v>688884.48</v>
      </c>
    </row>
    <row r="101" spans="1:16" x14ac:dyDescent="0.3">
      <c r="A101" t="s">
        <v>377</v>
      </c>
      <c r="B101" s="2">
        <v>44563</v>
      </c>
      <c r="C101" t="s">
        <v>378</v>
      </c>
      <c r="D101" t="s">
        <v>74</v>
      </c>
      <c r="E101" t="s">
        <v>97</v>
      </c>
      <c r="F101" t="s">
        <v>57</v>
      </c>
      <c r="G101" t="s">
        <v>379</v>
      </c>
      <c r="H101" t="s">
        <v>22</v>
      </c>
      <c r="I101" s="2">
        <v>44569</v>
      </c>
      <c r="J101" t="s">
        <v>23</v>
      </c>
      <c r="K101" t="s">
        <v>60</v>
      </c>
      <c r="L101" t="s">
        <v>25</v>
      </c>
      <c r="M101" t="s">
        <v>26</v>
      </c>
      <c r="N101" s="3">
        <v>8080</v>
      </c>
      <c r="O101">
        <v>28</v>
      </c>
      <c r="P101" s="3">
        <v>226240</v>
      </c>
    </row>
    <row r="102" spans="1:16" x14ac:dyDescent="0.3">
      <c r="A102" t="s">
        <v>380</v>
      </c>
      <c r="B102" s="2">
        <v>45538</v>
      </c>
      <c r="C102" t="s">
        <v>381</v>
      </c>
      <c r="D102" t="s">
        <v>91</v>
      </c>
      <c r="E102" t="s">
        <v>65</v>
      </c>
      <c r="F102" t="s">
        <v>31</v>
      </c>
      <c r="G102" t="s">
        <v>382</v>
      </c>
      <c r="H102" t="s">
        <v>68</v>
      </c>
      <c r="I102" s="2">
        <v>45540</v>
      </c>
      <c r="J102" t="s">
        <v>122</v>
      </c>
      <c r="K102" t="s">
        <v>69</v>
      </c>
      <c r="L102" t="s">
        <v>25</v>
      </c>
      <c r="M102" t="s">
        <v>26</v>
      </c>
      <c r="N102" s="3">
        <v>12906.77</v>
      </c>
      <c r="O102">
        <v>16</v>
      </c>
      <c r="P102" s="3">
        <v>206508.32</v>
      </c>
    </row>
    <row r="103" spans="1:16" x14ac:dyDescent="0.3">
      <c r="A103" t="s">
        <v>383</v>
      </c>
      <c r="B103" s="2">
        <v>45480</v>
      </c>
      <c r="C103" t="s">
        <v>384</v>
      </c>
      <c r="D103" t="s">
        <v>190</v>
      </c>
      <c r="E103" t="s">
        <v>114</v>
      </c>
      <c r="F103" t="s">
        <v>57</v>
      </c>
      <c r="G103" t="s">
        <v>385</v>
      </c>
      <c r="H103" t="s">
        <v>33</v>
      </c>
      <c r="I103" s="2">
        <v>45481</v>
      </c>
      <c r="J103" t="s">
        <v>34</v>
      </c>
      <c r="K103" t="s">
        <v>24</v>
      </c>
      <c r="L103" t="s">
        <v>93</v>
      </c>
      <c r="M103" t="s">
        <v>94</v>
      </c>
      <c r="N103" s="3">
        <v>14159.17</v>
      </c>
      <c r="O103">
        <v>4</v>
      </c>
      <c r="P103" s="3">
        <v>56636.68</v>
      </c>
    </row>
    <row r="104" spans="1:16" x14ac:dyDescent="0.3">
      <c r="A104" t="s">
        <v>386</v>
      </c>
      <c r="B104" s="2">
        <v>45197</v>
      </c>
      <c r="C104" t="s">
        <v>387</v>
      </c>
      <c r="D104" t="s">
        <v>18</v>
      </c>
      <c r="E104" t="s">
        <v>85</v>
      </c>
      <c r="F104" t="s">
        <v>150</v>
      </c>
      <c r="G104" t="s">
        <v>388</v>
      </c>
      <c r="H104" t="s">
        <v>22</v>
      </c>
      <c r="I104" s="2">
        <v>45199</v>
      </c>
      <c r="J104" t="s">
        <v>23</v>
      </c>
      <c r="K104" t="s">
        <v>60</v>
      </c>
      <c r="L104" t="s">
        <v>147</v>
      </c>
      <c r="M104" t="s">
        <v>71</v>
      </c>
      <c r="N104" s="3">
        <v>8682.4699999999993</v>
      </c>
      <c r="O104">
        <v>20</v>
      </c>
      <c r="P104" s="3">
        <v>173649.4</v>
      </c>
    </row>
    <row r="105" spans="1:16" x14ac:dyDescent="0.3">
      <c r="A105" t="s">
        <v>389</v>
      </c>
      <c r="B105" s="2">
        <v>44823</v>
      </c>
      <c r="C105" t="s">
        <v>390</v>
      </c>
      <c r="D105" t="s">
        <v>29</v>
      </c>
      <c r="E105" t="s">
        <v>49</v>
      </c>
      <c r="F105" t="s">
        <v>108</v>
      </c>
      <c r="G105" t="s">
        <v>391</v>
      </c>
      <c r="H105" t="s">
        <v>68</v>
      </c>
      <c r="I105" s="2">
        <v>44831</v>
      </c>
      <c r="J105" t="s">
        <v>77</v>
      </c>
      <c r="K105" t="s">
        <v>69</v>
      </c>
      <c r="L105" t="s">
        <v>35</v>
      </c>
      <c r="M105" t="s">
        <v>36</v>
      </c>
      <c r="N105" s="3">
        <v>3130.18</v>
      </c>
      <c r="O105">
        <v>22</v>
      </c>
      <c r="P105" s="3">
        <v>68863.959999999992</v>
      </c>
    </row>
    <row r="106" spans="1:16" x14ac:dyDescent="0.3">
      <c r="A106" t="s">
        <v>392</v>
      </c>
      <c r="B106" s="2">
        <v>45234</v>
      </c>
      <c r="C106" t="s">
        <v>393</v>
      </c>
      <c r="D106" t="s">
        <v>84</v>
      </c>
      <c r="E106" t="s">
        <v>40</v>
      </c>
      <c r="F106" t="s">
        <v>41</v>
      </c>
      <c r="G106" t="s">
        <v>394</v>
      </c>
      <c r="H106" t="s">
        <v>22</v>
      </c>
      <c r="I106" s="2">
        <v>45237</v>
      </c>
      <c r="J106" t="s">
        <v>23</v>
      </c>
      <c r="K106" t="s">
        <v>24</v>
      </c>
      <c r="L106" t="s">
        <v>78</v>
      </c>
      <c r="M106" t="s">
        <v>71</v>
      </c>
      <c r="N106" s="3">
        <v>8720.82</v>
      </c>
      <c r="O106">
        <v>32</v>
      </c>
      <c r="P106" s="3">
        <v>279066.23999999999</v>
      </c>
    </row>
    <row r="107" spans="1:16" x14ac:dyDescent="0.3">
      <c r="A107" t="s">
        <v>395</v>
      </c>
      <c r="B107" s="2">
        <v>45851</v>
      </c>
      <c r="C107" t="s">
        <v>396</v>
      </c>
      <c r="D107" t="s">
        <v>18</v>
      </c>
      <c r="E107" t="s">
        <v>30</v>
      </c>
      <c r="F107" t="s">
        <v>75</v>
      </c>
      <c r="G107" t="s">
        <v>291</v>
      </c>
      <c r="H107" t="s">
        <v>68</v>
      </c>
      <c r="I107" s="2">
        <v>45855</v>
      </c>
      <c r="J107" t="s">
        <v>34</v>
      </c>
      <c r="K107" t="s">
        <v>44</v>
      </c>
      <c r="L107" t="s">
        <v>139</v>
      </c>
      <c r="M107" t="s">
        <v>140</v>
      </c>
      <c r="N107" s="3">
        <v>17375.43</v>
      </c>
      <c r="O107">
        <v>7</v>
      </c>
      <c r="P107" s="3">
        <v>121628.01</v>
      </c>
    </row>
    <row r="108" spans="1:16" x14ac:dyDescent="0.3">
      <c r="A108" t="s">
        <v>397</v>
      </c>
      <c r="B108" s="2">
        <v>45349</v>
      </c>
      <c r="C108" t="s">
        <v>398</v>
      </c>
      <c r="D108" t="s">
        <v>39</v>
      </c>
      <c r="E108" t="s">
        <v>30</v>
      </c>
      <c r="F108" t="s">
        <v>150</v>
      </c>
      <c r="G108" t="s">
        <v>399</v>
      </c>
      <c r="H108" t="s">
        <v>43</v>
      </c>
      <c r="I108" s="2">
        <v>45352</v>
      </c>
      <c r="J108" t="s">
        <v>34</v>
      </c>
      <c r="K108" t="s">
        <v>44</v>
      </c>
      <c r="L108" t="s">
        <v>25</v>
      </c>
      <c r="M108" t="s">
        <v>26</v>
      </c>
      <c r="N108" s="3">
        <v>18808.580000000002</v>
      </c>
      <c r="O108">
        <v>23</v>
      </c>
      <c r="P108" s="3">
        <v>432597.34</v>
      </c>
    </row>
    <row r="109" spans="1:16" x14ac:dyDescent="0.3">
      <c r="A109" t="s">
        <v>400</v>
      </c>
      <c r="B109" s="2">
        <v>45053</v>
      </c>
      <c r="C109" t="s">
        <v>401</v>
      </c>
      <c r="D109" t="s">
        <v>190</v>
      </c>
      <c r="E109" t="s">
        <v>65</v>
      </c>
      <c r="F109" t="s">
        <v>75</v>
      </c>
      <c r="G109" t="s">
        <v>402</v>
      </c>
      <c r="H109" t="s">
        <v>43</v>
      </c>
      <c r="I109" s="2">
        <v>45059</v>
      </c>
      <c r="J109" t="s">
        <v>77</v>
      </c>
      <c r="K109" t="s">
        <v>44</v>
      </c>
      <c r="L109" t="s">
        <v>147</v>
      </c>
      <c r="M109" t="s">
        <v>71</v>
      </c>
      <c r="N109" s="3">
        <v>15887.08</v>
      </c>
      <c r="O109">
        <v>17</v>
      </c>
      <c r="P109" s="3">
        <v>270080.36</v>
      </c>
    </row>
    <row r="110" spans="1:16" x14ac:dyDescent="0.3">
      <c r="A110" t="s">
        <v>403</v>
      </c>
      <c r="B110" s="2">
        <v>45750</v>
      </c>
      <c r="C110" t="s">
        <v>404</v>
      </c>
      <c r="D110" t="s">
        <v>56</v>
      </c>
      <c r="E110" t="s">
        <v>40</v>
      </c>
      <c r="F110" t="s">
        <v>41</v>
      </c>
      <c r="G110" t="s">
        <v>405</v>
      </c>
      <c r="H110" t="s">
        <v>68</v>
      </c>
      <c r="I110" s="2">
        <v>45751</v>
      </c>
      <c r="J110" t="s">
        <v>34</v>
      </c>
      <c r="K110" t="s">
        <v>44</v>
      </c>
      <c r="L110" t="s">
        <v>35</v>
      </c>
      <c r="M110" t="s">
        <v>36</v>
      </c>
      <c r="N110" s="3">
        <v>4360.93</v>
      </c>
      <c r="O110">
        <v>35</v>
      </c>
      <c r="P110" s="3">
        <v>152632.54999999999</v>
      </c>
    </row>
    <row r="111" spans="1:16" x14ac:dyDescent="0.3">
      <c r="A111" t="s">
        <v>406</v>
      </c>
      <c r="B111" s="2">
        <v>45932</v>
      </c>
      <c r="C111" t="s">
        <v>407</v>
      </c>
      <c r="D111" t="s">
        <v>18</v>
      </c>
      <c r="E111" t="s">
        <v>19</v>
      </c>
      <c r="F111" t="s">
        <v>20</v>
      </c>
      <c r="G111" t="s">
        <v>408</v>
      </c>
      <c r="H111" t="s">
        <v>68</v>
      </c>
      <c r="I111" s="2">
        <v>45942</v>
      </c>
      <c r="J111" t="s">
        <v>59</v>
      </c>
      <c r="K111" t="s">
        <v>60</v>
      </c>
      <c r="L111" t="s">
        <v>250</v>
      </c>
      <c r="M111" t="s">
        <v>36</v>
      </c>
      <c r="N111" s="3">
        <v>4137.63</v>
      </c>
      <c r="O111">
        <v>11</v>
      </c>
      <c r="P111" s="3">
        <v>45513.93</v>
      </c>
    </row>
    <row r="112" spans="1:16" x14ac:dyDescent="0.3">
      <c r="A112" t="s">
        <v>409</v>
      </c>
      <c r="B112" s="2">
        <v>45345</v>
      </c>
      <c r="C112" t="s">
        <v>410</v>
      </c>
      <c r="D112" t="s">
        <v>18</v>
      </c>
      <c r="E112" t="s">
        <v>97</v>
      </c>
      <c r="F112" t="s">
        <v>50</v>
      </c>
      <c r="G112" t="s">
        <v>154</v>
      </c>
      <c r="H112" t="s">
        <v>22</v>
      </c>
      <c r="I112" s="2">
        <v>45348</v>
      </c>
      <c r="J112" t="s">
        <v>77</v>
      </c>
      <c r="K112" t="s">
        <v>69</v>
      </c>
      <c r="L112" t="s">
        <v>78</v>
      </c>
      <c r="M112" t="s">
        <v>71</v>
      </c>
      <c r="N112" s="3">
        <v>16407.38</v>
      </c>
      <c r="O112">
        <v>1</v>
      </c>
      <c r="P112" s="3">
        <v>16407.38</v>
      </c>
    </row>
    <row r="113" spans="1:16" x14ac:dyDescent="0.3">
      <c r="A113" t="s">
        <v>411</v>
      </c>
      <c r="B113" s="2">
        <v>45122</v>
      </c>
      <c r="C113" t="s">
        <v>412</v>
      </c>
      <c r="D113" t="s">
        <v>29</v>
      </c>
      <c r="E113" t="s">
        <v>49</v>
      </c>
      <c r="F113" t="s">
        <v>20</v>
      </c>
      <c r="G113" t="s">
        <v>413</v>
      </c>
      <c r="H113" t="s">
        <v>43</v>
      </c>
      <c r="I113" s="2">
        <v>45132</v>
      </c>
      <c r="J113" t="s">
        <v>34</v>
      </c>
      <c r="K113" t="s">
        <v>24</v>
      </c>
      <c r="L113" t="s">
        <v>61</v>
      </c>
      <c r="M113" t="s">
        <v>62</v>
      </c>
      <c r="N113" s="3">
        <v>5151.41</v>
      </c>
      <c r="O113">
        <v>41</v>
      </c>
      <c r="P113" s="3">
        <v>211207.81</v>
      </c>
    </row>
    <row r="114" spans="1:16" x14ac:dyDescent="0.3">
      <c r="A114" t="s">
        <v>414</v>
      </c>
      <c r="B114" s="2">
        <v>45103</v>
      </c>
      <c r="C114" t="s">
        <v>415</v>
      </c>
      <c r="D114" t="s">
        <v>29</v>
      </c>
      <c r="E114" t="s">
        <v>40</v>
      </c>
      <c r="F114" t="s">
        <v>66</v>
      </c>
      <c r="G114" t="s">
        <v>416</v>
      </c>
      <c r="H114" t="s">
        <v>68</v>
      </c>
      <c r="I114" s="2">
        <v>45105</v>
      </c>
      <c r="J114" t="s">
        <v>77</v>
      </c>
      <c r="K114" t="s">
        <v>69</v>
      </c>
      <c r="L114" t="s">
        <v>129</v>
      </c>
      <c r="M114" t="s">
        <v>88</v>
      </c>
      <c r="N114" s="3">
        <v>12275.43</v>
      </c>
      <c r="O114">
        <v>20</v>
      </c>
      <c r="P114" s="3">
        <v>245508.6</v>
      </c>
    </row>
    <row r="115" spans="1:16" x14ac:dyDescent="0.3">
      <c r="A115" t="s">
        <v>417</v>
      </c>
      <c r="B115" s="2">
        <v>45630</v>
      </c>
      <c r="C115" t="s">
        <v>418</v>
      </c>
      <c r="D115" t="s">
        <v>39</v>
      </c>
      <c r="E115" t="s">
        <v>107</v>
      </c>
      <c r="F115" t="s">
        <v>50</v>
      </c>
      <c r="G115" t="s">
        <v>419</v>
      </c>
      <c r="H115" t="s">
        <v>43</v>
      </c>
      <c r="I115" s="2">
        <v>45635</v>
      </c>
      <c r="J115" t="s">
        <v>23</v>
      </c>
      <c r="K115" t="s">
        <v>60</v>
      </c>
      <c r="L115" t="s">
        <v>250</v>
      </c>
      <c r="M115" t="s">
        <v>36</v>
      </c>
      <c r="N115" s="3">
        <v>5684.64</v>
      </c>
      <c r="O115">
        <v>31</v>
      </c>
      <c r="P115" s="3">
        <v>176223.84</v>
      </c>
    </row>
    <row r="116" spans="1:16" x14ac:dyDescent="0.3">
      <c r="A116" t="s">
        <v>420</v>
      </c>
      <c r="B116" s="2">
        <v>45999</v>
      </c>
      <c r="C116" t="s">
        <v>421</v>
      </c>
      <c r="D116" t="s">
        <v>190</v>
      </c>
      <c r="E116" t="s">
        <v>19</v>
      </c>
      <c r="F116" t="s">
        <v>168</v>
      </c>
      <c r="G116" t="s">
        <v>422</v>
      </c>
      <c r="H116" t="s">
        <v>33</v>
      </c>
      <c r="I116" s="2">
        <v>46007</v>
      </c>
      <c r="J116" t="s">
        <v>122</v>
      </c>
      <c r="K116" t="s">
        <v>69</v>
      </c>
      <c r="L116" t="s">
        <v>93</v>
      </c>
      <c r="M116" t="s">
        <v>94</v>
      </c>
      <c r="N116" s="3">
        <v>3858.03</v>
      </c>
      <c r="O116">
        <v>20</v>
      </c>
      <c r="P116" s="3">
        <v>77160.600000000006</v>
      </c>
    </row>
    <row r="117" spans="1:16" x14ac:dyDescent="0.3">
      <c r="A117" t="s">
        <v>423</v>
      </c>
      <c r="B117" s="2">
        <v>44705</v>
      </c>
      <c r="C117" t="s">
        <v>424</v>
      </c>
      <c r="D117" t="s">
        <v>164</v>
      </c>
      <c r="E117" t="s">
        <v>40</v>
      </c>
      <c r="F117" t="s">
        <v>20</v>
      </c>
      <c r="G117" t="s">
        <v>425</v>
      </c>
      <c r="H117" t="s">
        <v>68</v>
      </c>
      <c r="I117" s="2">
        <v>44709</v>
      </c>
      <c r="J117" t="s">
        <v>23</v>
      </c>
      <c r="K117" t="s">
        <v>60</v>
      </c>
      <c r="L117" t="s">
        <v>93</v>
      </c>
      <c r="M117" t="s">
        <v>94</v>
      </c>
      <c r="N117" s="3">
        <v>16013.88</v>
      </c>
      <c r="O117">
        <v>29</v>
      </c>
      <c r="P117" s="3">
        <v>464402.52</v>
      </c>
    </row>
    <row r="118" spans="1:16" x14ac:dyDescent="0.3">
      <c r="A118" t="s">
        <v>426</v>
      </c>
      <c r="B118" s="2">
        <v>45677</v>
      </c>
      <c r="C118" t="s">
        <v>427</v>
      </c>
      <c r="D118" t="s">
        <v>74</v>
      </c>
      <c r="E118" t="s">
        <v>197</v>
      </c>
      <c r="F118" t="s">
        <v>20</v>
      </c>
      <c r="G118" t="s">
        <v>428</v>
      </c>
      <c r="H118" t="s">
        <v>43</v>
      </c>
      <c r="I118" s="2">
        <v>45683</v>
      </c>
      <c r="J118" t="s">
        <v>34</v>
      </c>
      <c r="K118" t="s">
        <v>69</v>
      </c>
      <c r="L118" t="s">
        <v>210</v>
      </c>
      <c r="M118" t="s">
        <v>140</v>
      </c>
      <c r="N118" s="3">
        <v>8303.4500000000007</v>
      </c>
      <c r="O118">
        <v>33</v>
      </c>
      <c r="P118" s="3">
        <v>274013.84999999998</v>
      </c>
    </row>
    <row r="119" spans="1:16" x14ac:dyDescent="0.3">
      <c r="A119" t="s">
        <v>429</v>
      </c>
      <c r="B119" s="2">
        <v>44970</v>
      </c>
      <c r="C119" t="s">
        <v>430</v>
      </c>
      <c r="D119" t="s">
        <v>91</v>
      </c>
      <c r="E119" t="s">
        <v>97</v>
      </c>
      <c r="F119" t="s">
        <v>75</v>
      </c>
      <c r="G119" t="s">
        <v>431</v>
      </c>
      <c r="H119" t="s">
        <v>43</v>
      </c>
      <c r="I119" s="2">
        <v>44971</v>
      </c>
      <c r="J119" t="s">
        <v>77</v>
      </c>
      <c r="K119" t="s">
        <v>69</v>
      </c>
      <c r="L119" t="s">
        <v>129</v>
      </c>
      <c r="M119" t="s">
        <v>88</v>
      </c>
      <c r="N119" s="3">
        <v>11974.48</v>
      </c>
      <c r="O119">
        <v>30</v>
      </c>
      <c r="P119" s="3">
        <v>359234.4</v>
      </c>
    </row>
    <row r="120" spans="1:16" x14ac:dyDescent="0.3">
      <c r="A120" t="s">
        <v>432</v>
      </c>
      <c r="B120" s="2">
        <v>45191</v>
      </c>
      <c r="C120" t="s">
        <v>433</v>
      </c>
      <c r="D120" t="s">
        <v>29</v>
      </c>
      <c r="E120" t="s">
        <v>19</v>
      </c>
      <c r="F120" t="s">
        <v>31</v>
      </c>
      <c r="G120" t="s">
        <v>434</v>
      </c>
      <c r="H120" t="s">
        <v>68</v>
      </c>
      <c r="I120" s="2">
        <v>45196</v>
      </c>
      <c r="J120" t="s">
        <v>77</v>
      </c>
      <c r="K120" t="s">
        <v>24</v>
      </c>
      <c r="L120" t="s">
        <v>35</v>
      </c>
      <c r="M120" t="s">
        <v>36</v>
      </c>
      <c r="N120" s="3">
        <v>8685.1200000000008</v>
      </c>
      <c r="O120">
        <v>42</v>
      </c>
      <c r="P120" s="3">
        <v>364775.04</v>
      </c>
    </row>
    <row r="121" spans="1:16" x14ac:dyDescent="0.3">
      <c r="A121" t="s">
        <v>435</v>
      </c>
      <c r="B121" s="2">
        <v>45005</v>
      </c>
      <c r="C121" t="s">
        <v>436</v>
      </c>
      <c r="D121" t="s">
        <v>91</v>
      </c>
      <c r="E121" t="s">
        <v>97</v>
      </c>
      <c r="F121" t="s">
        <v>57</v>
      </c>
      <c r="G121" t="s">
        <v>437</v>
      </c>
      <c r="H121" t="s">
        <v>33</v>
      </c>
      <c r="I121" s="2">
        <v>45007</v>
      </c>
      <c r="J121" t="s">
        <v>59</v>
      </c>
      <c r="K121" t="s">
        <v>60</v>
      </c>
      <c r="L121" t="s">
        <v>78</v>
      </c>
      <c r="M121" t="s">
        <v>71</v>
      </c>
      <c r="N121" s="3">
        <v>16894.07</v>
      </c>
      <c r="O121">
        <v>39</v>
      </c>
      <c r="P121" s="3">
        <v>658868.73</v>
      </c>
    </row>
    <row r="122" spans="1:16" x14ac:dyDescent="0.3">
      <c r="A122" t="s">
        <v>438</v>
      </c>
      <c r="B122" s="2">
        <v>45679</v>
      </c>
      <c r="C122" t="s">
        <v>439</v>
      </c>
      <c r="D122" t="s">
        <v>91</v>
      </c>
      <c r="E122" t="s">
        <v>65</v>
      </c>
      <c r="F122" t="s">
        <v>150</v>
      </c>
      <c r="G122" t="s">
        <v>440</v>
      </c>
      <c r="H122" t="s">
        <v>68</v>
      </c>
      <c r="I122" s="2">
        <v>45683</v>
      </c>
      <c r="J122" t="s">
        <v>59</v>
      </c>
      <c r="K122" t="s">
        <v>60</v>
      </c>
      <c r="L122" t="s">
        <v>110</v>
      </c>
      <c r="M122" t="s">
        <v>111</v>
      </c>
      <c r="N122" s="3">
        <v>5422.77</v>
      </c>
      <c r="O122">
        <v>24</v>
      </c>
      <c r="P122" s="3">
        <v>130146.48</v>
      </c>
    </row>
    <row r="123" spans="1:16" x14ac:dyDescent="0.3">
      <c r="A123" t="s">
        <v>441</v>
      </c>
      <c r="B123" s="2">
        <v>45842</v>
      </c>
      <c r="C123" t="s">
        <v>442</v>
      </c>
      <c r="D123" t="s">
        <v>84</v>
      </c>
      <c r="E123" t="s">
        <v>97</v>
      </c>
      <c r="F123" t="s">
        <v>31</v>
      </c>
      <c r="G123" t="s">
        <v>443</v>
      </c>
      <c r="H123" t="s">
        <v>22</v>
      </c>
      <c r="I123" s="2">
        <v>45845</v>
      </c>
      <c r="J123" t="s">
        <v>34</v>
      </c>
      <c r="K123" t="s">
        <v>69</v>
      </c>
      <c r="L123" t="s">
        <v>52</v>
      </c>
      <c r="M123" t="s">
        <v>53</v>
      </c>
      <c r="N123" s="3">
        <v>5609.21</v>
      </c>
      <c r="O123">
        <v>6</v>
      </c>
      <c r="P123" s="3">
        <v>33655.26</v>
      </c>
    </row>
    <row r="124" spans="1:16" x14ac:dyDescent="0.3">
      <c r="A124" t="s">
        <v>444</v>
      </c>
      <c r="B124" s="2">
        <v>45104</v>
      </c>
      <c r="C124" t="s">
        <v>445</v>
      </c>
      <c r="D124" t="s">
        <v>164</v>
      </c>
      <c r="E124" t="s">
        <v>197</v>
      </c>
      <c r="F124" t="s">
        <v>57</v>
      </c>
      <c r="G124" t="s">
        <v>446</v>
      </c>
      <c r="H124" t="s">
        <v>33</v>
      </c>
      <c r="I124" s="2">
        <v>45105</v>
      </c>
      <c r="J124" t="s">
        <v>23</v>
      </c>
      <c r="K124" t="s">
        <v>44</v>
      </c>
      <c r="L124" t="s">
        <v>35</v>
      </c>
      <c r="M124" t="s">
        <v>36</v>
      </c>
      <c r="N124" s="3">
        <v>5233.1099999999997</v>
      </c>
      <c r="O124">
        <v>9</v>
      </c>
      <c r="P124" s="3">
        <v>47097.99</v>
      </c>
    </row>
    <row r="125" spans="1:16" x14ac:dyDescent="0.3">
      <c r="A125" t="s">
        <v>447</v>
      </c>
      <c r="B125" s="2">
        <v>45934</v>
      </c>
      <c r="C125" t="s">
        <v>448</v>
      </c>
      <c r="D125" t="s">
        <v>74</v>
      </c>
      <c r="E125" t="s">
        <v>19</v>
      </c>
      <c r="F125" t="s">
        <v>75</v>
      </c>
      <c r="G125" t="s">
        <v>449</v>
      </c>
      <c r="H125" t="s">
        <v>43</v>
      </c>
      <c r="I125" s="2">
        <v>45935</v>
      </c>
      <c r="J125" t="s">
        <v>59</v>
      </c>
      <c r="K125" t="s">
        <v>69</v>
      </c>
      <c r="L125" t="s">
        <v>139</v>
      </c>
      <c r="M125" t="s">
        <v>140</v>
      </c>
      <c r="N125" s="3">
        <v>3398.27</v>
      </c>
      <c r="O125">
        <v>37</v>
      </c>
      <c r="P125" s="3">
        <v>125735.99</v>
      </c>
    </row>
    <row r="126" spans="1:16" x14ac:dyDescent="0.3">
      <c r="A126" t="s">
        <v>450</v>
      </c>
      <c r="B126" s="2">
        <v>44714</v>
      </c>
      <c r="C126" t="s">
        <v>451</v>
      </c>
      <c r="D126" t="s">
        <v>164</v>
      </c>
      <c r="E126" t="s">
        <v>114</v>
      </c>
      <c r="F126" t="s">
        <v>41</v>
      </c>
      <c r="G126" t="s">
        <v>367</v>
      </c>
      <c r="H126" t="s">
        <v>68</v>
      </c>
      <c r="I126" s="2">
        <v>44716</v>
      </c>
      <c r="J126" t="s">
        <v>23</v>
      </c>
      <c r="K126" t="s">
        <v>44</v>
      </c>
      <c r="L126" t="s">
        <v>147</v>
      </c>
      <c r="M126" t="s">
        <v>71</v>
      </c>
      <c r="N126" s="3">
        <v>16385.87</v>
      </c>
      <c r="O126">
        <v>2</v>
      </c>
      <c r="P126" s="3">
        <v>32771.74</v>
      </c>
    </row>
    <row r="127" spans="1:16" x14ac:dyDescent="0.3">
      <c r="A127" t="s">
        <v>452</v>
      </c>
      <c r="B127" s="2">
        <v>45943</v>
      </c>
      <c r="C127" t="s">
        <v>453</v>
      </c>
      <c r="D127" t="s">
        <v>56</v>
      </c>
      <c r="E127" t="s">
        <v>65</v>
      </c>
      <c r="F127" t="s">
        <v>41</v>
      </c>
      <c r="G127" t="s">
        <v>454</v>
      </c>
      <c r="H127" t="s">
        <v>68</v>
      </c>
      <c r="I127" s="2">
        <v>45944</v>
      </c>
      <c r="J127" t="s">
        <v>77</v>
      </c>
      <c r="K127" t="s">
        <v>24</v>
      </c>
      <c r="L127" t="s">
        <v>52</v>
      </c>
      <c r="M127" t="s">
        <v>53</v>
      </c>
      <c r="N127" s="3">
        <v>12098.85</v>
      </c>
      <c r="O127">
        <v>20</v>
      </c>
      <c r="P127" s="3">
        <v>241977</v>
      </c>
    </row>
    <row r="128" spans="1:16" x14ac:dyDescent="0.3">
      <c r="A128" t="s">
        <v>455</v>
      </c>
      <c r="B128" s="2">
        <v>45327</v>
      </c>
      <c r="C128" t="s">
        <v>456</v>
      </c>
      <c r="D128" t="s">
        <v>84</v>
      </c>
      <c r="E128" t="s">
        <v>107</v>
      </c>
      <c r="F128" t="s">
        <v>41</v>
      </c>
      <c r="G128" t="s">
        <v>457</v>
      </c>
      <c r="H128" t="s">
        <v>33</v>
      </c>
      <c r="I128" s="2">
        <v>45334</v>
      </c>
      <c r="J128" t="s">
        <v>23</v>
      </c>
      <c r="K128" t="s">
        <v>60</v>
      </c>
      <c r="L128" t="s">
        <v>93</v>
      </c>
      <c r="M128" t="s">
        <v>94</v>
      </c>
      <c r="N128" s="3">
        <v>10294.43</v>
      </c>
      <c r="O128">
        <v>48</v>
      </c>
      <c r="P128" s="3">
        <v>494132.64</v>
      </c>
    </row>
    <row r="129" spans="1:16" x14ac:dyDescent="0.3">
      <c r="A129" t="s">
        <v>458</v>
      </c>
      <c r="B129" s="2">
        <v>44824</v>
      </c>
      <c r="C129" t="s">
        <v>459</v>
      </c>
      <c r="D129" t="s">
        <v>39</v>
      </c>
      <c r="E129" t="s">
        <v>107</v>
      </c>
      <c r="F129" t="s">
        <v>75</v>
      </c>
      <c r="G129" t="s">
        <v>460</v>
      </c>
      <c r="H129" t="s">
        <v>22</v>
      </c>
      <c r="I129" s="2">
        <v>44832</v>
      </c>
      <c r="J129" t="s">
        <v>77</v>
      </c>
      <c r="K129" t="s">
        <v>60</v>
      </c>
      <c r="L129" t="s">
        <v>93</v>
      </c>
      <c r="M129" t="s">
        <v>94</v>
      </c>
      <c r="N129" s="3">
        <v>3237.42</v>
      </c>
      <c r="O129">
        <v>4</v>
      </c>
      <c r="P129" s="3">
        <v>12949.68</v>
      </c>
    </row>
    <row r="130" spans="1:16" x14ac:dyDescent="0.3">
      <c r="A130" t="s">
        <v>461</v>
      </c>
      <c r="B130" s="2">
        <v>45249</v>
      </c>
      <c r="C130" t="s">
        <v>462</v>
      </c>
      <c r="D130" t="s">
        <v>56</v>
      </c>
      <c r="E130" t="s">
        <v>97</v>
      </c>
      <c r="F130" t="s">
        <v>168</v>
      </c>
      <c r="G130" t="s">
        <v>463</v>
      </c>
      <c r="H130" t="s">
        <v>68</v>
      </c>
      <c r="I130" s="2">
        <v>45250</v>
      </c>
      <c r="J130" t="s">
        <v>122</v>
      </c>
      <c r="K130" t="s">
        <v>24</v>
      </c>
      <c r="L130" t="s">
        <v>250</v>
      </c>
      <c r="M130" t="s">
        <v>36</v>
      </c>
      <c r="N130" s="3">
        <v>12804.01</v>
      </c>
      <c r="O130">
        <v>32</v>
      </c>
      <c r="P130" s="3">
        <v>409728.32</v>
      </c>
    </row>
    <row r="131" spans="1:16" x14ac:dyDescent="0.3">
      <c r="A131" t="s">
        <v>464</v>
      </c>
      <c r="B131" s="2">
        <v>45631</v>
      </c>
      <c r="C131" t="s">
        <v>465</v>
      </c>
      <c r="D131" t="s">
        <v>39</v>
      </c>
      <c r="E131" t="s">
        <v>40</v>
      </c>
      <c r="F131" t="s">
        <v>168</v>
      </c>
      <c r="G131" t="s">
        <v>466</v>
      </c>
      <c r="H131" t="s">
        <v>68</v>
      </c>
      <c r="I131" s="2">
        <v>45638</v>
      </c>
      <c r="J131" t="s">
        <v>23</v>
      </c>
      <c r="K131" t="s">
        <v>69</v>
      </c>
      <c r="L131" t="s">
        <v>147</v>
      </c>
      <c r="M131" t="s">
        <v>71</v>
      </c>
      <c r="N131" s="3">
        <v>2789.23</v>
      </c>
      <c r="O131">
        <v>34</v>
      </c>
      <c r="P131" s="3">
        <v>94833.82</v>
      </c>
    </row>
    <row r="132" spans="1:16" x14ac:dyDescent="0.3">
      <c r="A132" t="s">
        <v>467</v>
      </c>
      <c r="B132" s="2">
        <v>45354</v>
      </c>
      <c r="C132" t="s">
        <v>468</v>
      </c>
      <c r="D132" t="s">
        <v>84</v>
      </c>
      <c r="E132" t="s">
        <v>197</v>
      </c>
      <c r="F132" t="s">
        <v>168</v>
      </c>
      <c r="G132" t="s">
        <v>469</v>
      </c>
      <c r="H132" t="s">
        <v>43</v>
      </c>
      <c r="I132" s="2">
        <v>45364</v>
      </c>
      <c r="J132" t="s">
        <v>122</v>
      </c>
      <c r="K132" t="s">
        <v>44</v>
      </c>
      <c r="L132" t="s">
        <v>70</v>
      </c>
      <c r="M132" t="s">
        <v>71</v>
      </c>
      <c r="N132" s="3">
        <v>2391.87</v>
      </c>
      <c r="O132">
        <v>15</v>
      </c>
      <c r="P132" s="3">
        <v>35878.050000000003</v>
      </c>
    </row>
    <row r="133" spans="1:16" x14ac:dyDescent="0.3">
      <c r="A133" t="s">
        <v>470</v>
      </c>
      <c r="B133" s="2">
        <v>45459</v>
      </c>
      <c r="C133" t="s">
        <v>471</v>
      </c>
      <c r="D133" t="s">
        <v>18</v>
      </c>
      <c r="E133" t="s">
        <v>85</v>
      </c>
      <c r="F133" t="s">
        <v>20</v>
      </c>
      <c r="G133" t="s">
        <v>472</v>
      </c>
      <c r="H133" t="s">
        <v>43</v>
      </c>
      <c r="I133" s="2">
        <v>45464</v>
      </c>
      <c r="J133" t="s">
        <v>77</v>
      </c>
      <c r="K133" t="s">
        <v>44</v>
      </c>
      <c r="L133" t="s">
        <v>78</v>
      </c>
      <c r="M133" t="s">
        <v>71</v>
      </c>
      <c r="N133" s="3">
        <v>13818.19</v>
      </c>
      <c r="O133">
        <v>14</v>
      </c>
      <c r="P133" s="3">
        <v>193454.66</v>
      </c>
    </row>
    <row r="134" spans="1:16" x14ac:dyDescent="0.3">
      <c r="A134" t="s">
        <v>473</v>
      </c>
      <c r="B134" s="2">
        <v>45340</v>
      </c>
      <c r="C134" t="s">
        <v>474</v>
      </c>
      <c r="D134" t="s">
        <v>39</v>
      </c>
      <c r="E134" t="s">
        <v>30</v>
      </c>
      <c r="F134" t="s">
        <v>57</v>
      </c>
      <c r="G134" t="s">
        <v>475</v>
      </c>
      <c r="H134" t="s">
        <v>43</v>
      </c>
      <c r="I134" s="2">
        <v>45343</v>
      </c>
      <c r="J134" t="s">
        <v>34</v>
      </c>
      <c r="K134" t="s">
        <v>44</v>
      </c>
      <c r="L134" t="s">
        <v>70</v>
      </c>
      <c r="M134" t="s">
        <v>71</v>
      </c>
      <c r="N134" s="3">
        <v>19835.64</v>
      </c>
      <c r="O134">
        <v>34</v>
      </c>
      <c r="P134" s="3">
        <v>674411.76</v>
      </c>
    </row>
    <row r="135" spans="1:16" x14ac:dyDescent="0.3">
      <c r="A135" t="s">
        <v>476</v>
      </c>
      <c r="B135" s="2">
        <v>45213</v>
      </c>
      <c r="C135" t="s">
        <v>477</v>
      </c>
      <c r="D135" t="s">
        <v>84</v>
      </c>
      <c r="E135" t="s">
        <v>40</v>
      </c>
      <c r="F135" t="s">
        <v>150</v>
      </c>
      <c r="G135" t="s">
        <v>478</v>
      </c>
      <c r="H135" t="s">
        <v>68</v>
      </c>
      <c r="I135" s="2">
        <v>45214</v>
      </c>
      <c r="J135" t="s">
        <v>34</v>
      </c>
      <c r="K135" t="s">
        <v>24</v>
      </c>
      <c r="L135" t="s">
        <v>45</v>
      </c>
      <c r="M135" t="s">
        <v>46</v>
      </c>
      <c r="N135" s="3">
        <v>9723.11</v>
      </c>
      <c r="O135">
        <v>8</v>
      </c>
      <c r="P135" s="3">
        <v>77784.88</v>
      </c>
    </row>
    <row r="136" spans="1:16" x14ac:dyDescent="0.3">
      <c r="A136" t="s">
        <v>479</v>
      </c>
      <c r="B136" s="2">
        <v>44589</v>
      </c>
      <c r="C136" t="s">
        <v>480</v>
      </c>
      <c r="D136" t="s">
        <v>91</v>
      </c>
      <c r="E136" t="s">
        <v>40</v>
      </c>
      <c r="F136" t="s">
        <v>150</v>
      </c>
      <c r="G136" t="s">
        <v>481</v>
      </c>
      <c r="H136" t="s">
        <v>68</v>
      </c>
      <c r="I136" s="2">
        <v>44597</v>
      </c>
      <c r="J136" t="s">
        <v>59</v>
      </c>
      <c r="K136" t="s">
        <v>69</v>
      </c>
      <c r="L136" t="s">
        <v>70</v>
      </c>
      <c r="M136" t="s">
        <v>71</v>
      </c>
      <c r="N136" s="3">
        <v>17681.97</v>
      </c>
      <c r="O136">
        <v>20</v>
      </c>
      <c r="P136" s="3">
        <v>353639.4</v>
      </c>
    </row>
    <row r="137" spans="1:16" x14ac:dyDescent="0.3">
      <c r="A137" t="s">
        <v>482</v>
      </c>
      <c r="B137" s="2">
        <v>45153</v>
      </c>
      <c r="C137" t="s">
        <v>483</v>
      </c>
      <c r="D137" t="s">
        <v>91</v>
      </c>
      <c r="E137" t="s">
        <v>40</v>
      </c>
      <c r="F137" t="s">
        <v>20</v>
      </c>
      <c r="G137" t="s">
        <v>394</v>
      </c>
      <c r="H137" t="s">
        <v>33</v>
      </c>
      <c r="I137" s="2">
        <v>45159</v>
      </c>
      <c r="J137" t="s">
        <v>23</v>
      </c>
      <c r="K137" t="s">
        <v>44</v>
      </c>
      <c r="L137" t="s">
        <v>61</v>
      </c>
      <c r="M137" t="s">
        <v>62</v>
      </c>
      <c r="N137" s="3">
        <v>19948.900000000001</v>
      </c>
      <c r="O137">
        <v>22</v>
      </c>
      <c r="P137" s="3">
        <v>438875.8</v>
      </c>
    </row>
    <row r="138" spans="1:16" x14ac:dyDescent="0.3">
      <c r="A138" t="s">
        <v>484</v>
      </c>
      <c r="B138" s="2">
        <v>44673</v>
      </c>
      <c r="C138" t="s">
        <v>485</v>
      </c>
      <c r="D138" t="s">
        <v>29</v>
      </c>
      <c r="E138" t="s">
        <v>49</v>
      </c>
      <c r="F138" t="s">
        <v>57</v>
      </c>
      <c r="G138" t="s">
        <v>486</v>
      </c>
      <c r="H138" t="s">
        <v>68</v>
      </c>
      <c r="I138" s="2">
        <v>44676</v>
      </c>
      <c r="J138" t="s">
        <v>23</v>
      </c>
      <c r="K138" t="s">
        <v>69</v>
      </c>
      <c r="L138" t="s">
        <v>25</v>
      </c>
      <c r="M138" t="s">
        <v>26</v>
      </c>
      <c r="N138" s="3">
        <v>8267.77</v>
      </c>
      <c r="O138">
        <v>7</v>
      </c>
      <c r="P138" s="3">
        <v>57874.39</v>
      </c>
    </row>
    <row r="139" spans="1:16" x14ac:dyDescent="0.3">
      <c r="A139" t="s">
        <v>487</v>
      </c>
      <c r="B139" s="2">
        <v>45691</v>
      </c>
      <c r="C139" t="s">
        <v>488</v>
      </c>
      <c r="D139" t="s">
        <v>164</v>
      </c>
      <c r="E139" t="s">
        <v>197</v>
      </c>
      <c r="F139" t="s">
        <v>20</v>
      </c>
      <c r="G139" t="s">
        <v>489</v>
      </c>
      <c r="H139" t="s">
        <v>43</v>
      </c>
      <c r="I139" s="2">
        <v>45698</v>
      </c>
      <c r="J139" t="s">
        <v>77</v>
      </c>
      <c r="K139" t="s">
        <v>44</v>
      </c>
      <c r="L139" t="s">
        <v>93</v>
      </c>
      <c r="M139" t="s">
        <v>94</v>
      </c>
      <c r="N139" s="3">
        <v>10242.26</v>
      </c>
      <c r="O139">
        <v>41</v>
      </c>
      <c r="P139" s="3">
        <v>419932.66</v>
      </c>
    </row>
    <row r="140" spans="1:16" x14ac:dyDescent="0.3">
      <c r="A140" t="s">
        <v>490</v>
      </c>
      <c r="B140" s="2">
        <v>44917</v>
      </c>
      <c r="C140" t="s">
        <v>491</v>
      </c>
      <c r="D140" t="s">
        <v>157</v>
      </c>
      <c r="E140" t="s">
        <v>65</v>
      </c>
      <c r="F140" t="s">
        <v>41</v>
      </c>
      <c r="G140" t="s">
        <v>492</v>
      </c>
      <c r="H140" t="s">
        <v>22</v>
      </c>
      <c r="I140" s="2">
        <v>44927</v>
      </c>
      <c r="J140" t="s">
        <v>77</v>
      </c>
      <c r="K140" t="s">
        <v>60</v>
      </c>
      <c r="L140" t="s">
        <v>70</v>
      </c>
      <c r="M140" t="s">
        <v>71</v>
      </c>
      <c r="N140" s="3">
        <v>9615.91</v>
      </c>
      <c r="O140">
        <v>5</v>
      </c>
      <c r="P140" s="3">
        <v>48079.55</v>
      </c>
    </row>
    <row r="141" spans="1:16" x14ac:dyDescent="0.3">
      <c r="A141" t="s">
        <v>493</v>
      </c>
      <c r="B141" s="2">
        <v>45141</v>
      </c>
      <c r="C141" t="s">
        <v>494</v>
      </c>
      <c r="D141" t="s">
        <v>91</v>
      </c>
      <c r="E141" t="s">
        <v>114</v>
      </c>
      <c r="F141" t="s">
        <v>108</v>
      </c>
      <c r="G141" t="s">
        <v>495</v>
      </c>
      <c r="H141" t="s">
        <v>43</v>
      </c>
      <c r="I141" s="2">
        <v>45149</v>
      </c>
      <c r="J141" t="s">
        <v>34</v>
      </c>
      <c r="K141" t="s">
        <v>60</v>
      </c>
      <c r="L141" t="s">
        <v>110</v>
      </c>
      <c r="M141" t="s">
        <v>111</v>
      </c>
      <c r="N141" s="3">
        <v>15750.95</v>
      </c>
      <c r="O141">
        <v>16</v>
      </c>
      <c r="P141" s="3">
        <v>252015.2</v>
      </c>
    </row>
    <row r="142" spans="1:16" x14ac:dyDescent="0.3">
      <c r="A142" t="s">
        <v>496</v>
      </c>
      <c r="B142" s="2">
        <v>45385</v>
      </c>
      <c r="C142" t="s">
        <v>497</v>
      </c>
      <c r="D142" t="s">
        <v>39</v>
      </c>
      <c r="E142" t="s">
        <v>40</v>
      </c>
      <c r="F142" t="s">
        <v>168</v>
      </c>
      <c r="G142" t="s">
        <v>498</v>
      </c>
      <c r="H142" t="s">
        <v>33</v>
      </c>
      <c r="I142" s="2">
        <v>45388</v>
      </c>
      <c r="J142" t="s">
        <v>77</v>
      </c>
      <c r="K142" t="s">
        <v>44</v>
      </c>
      <c r="L142" t="s">
        <v>129</v>
      </c>
      <c r="M142" t="s">
        <v>88</v>
      </c>
      <c r="N142" s="3">
        <v>9898.6299999999992</v>
      </c>
      <c r="O142">
        <v>48</v>
      </c>
      <c r="P142" s="3">
        <v>475134.24</v>
      </c>
    </row>
    <row r="143" spans="1:16" x14ac:dyDescent="0.3">
      <c r="A143" t="s">
        <v>499</v>
      </c>
      <c r="B143" s="2">
        <v>45478</v>
      </c>
      <c r="C143" t="s">
        <v>500</v>
      </c>
      <c r="D143" t="s">
        <v>29</v>
      </c>
      <c r="E143" t="s">
        <v>107</v>
      </c>
      <c r="F143" t="s">
        <v>20</v>
      </c>
      <c r="G143" t="s">
        <v>312</v>
      </c>
      <c r="H143" t="s">
        <v>43</v>
      </c>
      <c r="I143" s="2">
        <v>45479</v>
      </c>
      <c r="J143" t="s">
        <v>59</v>
      </c>
      <c r="K143" t="s">
        <v>44</v>
      </c>
      <c r="L143" t="s">
        <v>25</v>
      </c>
      <c r="M143" t="s">
        <v>26</v>
      </c>
      <c r="N143" s="3">
        <v>18615.759999999998</v>
      </c>
      <c r="O143">
        <v>39</v>
      </c>
      <c r="P143" s="3">
        <v>726014.6399999999</v>
      </c>
    </row>
    <row r="144" spans="1:16" x14ac:dyDescent="0.3">
      <c r="A144" t="s">
        <v>501</v>
      </c>
      <c r="B144" s="2">
        <v>44899</v>
      </c>
      <c r="C144" t="s">
        <v>502</v>
      </c>
      <c r="D144" t="s">
        <v>157</v>
      </c>
      <c r="E144" t="s">
        <v>19</v>
      </c>
      <c r="F144" t="s">
        <v>41</v>
      </c>
      <c r="G144" t="s">
        <v>503</v>
      </c>
      <c r="H144" t="s">
        <v>33</v>
      </c>
      <c r="I144" s="2">
        <v>44905</v>
      </c>
      <c r="J144" t="s">
        <v>122</v>
      </c>
      <c r="K144" t="s">
        <v>44</v>
      </c>
      <c r="L144" t="s">
        <v>110</v>
      </c>
      <c r="M144" t="s">
        <v>111</v>
      </c>
      <c r="N144" s="3">
        <v>10968.19</v>
      </c>
      <c r="O144">
        <v>12</v>
      </c>
      <c r="P144" s="3">
        <v>131618.28</v>
      </c>
    </row>
    <row r="145" spans="1:16" x14ac:dyDescent="0.3">
      <c r="A145" t="s">
        <v>504</v>
      </c>
      <c r="B145" s="2">
        <v>45821</v>
      </c>
      <c r="C145" t="s">
        <v>505</v>
      </c>
      <c r="D145" t="s">
        <v>84</v>
      </c>
      <c r="E145" t="s">
        <v>114</v>
      </c>
      <c r="F145" t="s">
        <v>31</v>
      </c>
      <c r="G145" t="s">
        <v>506</v>
      </c>
      <c r="H145" t="s">
        <v>68</v>
      </c>
      <c r="I145" s="2">
        <v>45829</v>
      </c>
      <c r="J145" t="s">
        <v>122</v>
      </c>
      <c r="K145" t="s">
        <v>44</v>
      </c>
      <c r="L145" t="s">
        <v>129</v>
      </c>
      <c r="M145" t="s">
        <v>88</v>
      </c>
      <c r="N145" s="3">
        <v>14518.33</v>
      </c>
      <c r="O145">
        <v>37</v>
      </c>
      <c r="P145" s="3">
        <v>537178.21</v>
      </c>
    </row>
    <row r="146" spans="1:16" x14ac:dyDescent="0.3">
      <c r="A146" t="s">
        <v>507</v>
      </c>
      <c r="B146" s="2">
        <v>45756</v>
      </c>
      <c r="C146" t="s">
        <v>508</v>
      </c>
      <c r="D146" t="s">
        <v>56</v>
      </c>
      <c r="E146" t="s">
        <v>85</v>
      </c>
      <c r="F146" t="s">
        <v>20</v>
      </c>
      <c r="G146" t="s">
        <v>509</v>
      </c>
      <c r="H146" t="s">
        <v>68</v>
      </c>
      <c r="I146" s="2">
        <v>45757</v>
      </c>
      <c r="J146" t="s">
        <v>122</v>
      </c>
      <c r="K146" t="s">
        <v>60</v>
      </c>
      <c r="L146" t="s">
        <v>147</v>
      </c>
      <c r="M146" t="s">
        <v>71</v>
      </c>
      <c r="N146" s="3">
        <v>8047.35</v>
      </c>
      <c r="O146">
        <v>4</v>
      </c>
      <c r="P146" s="3">
        <v>32189.4</v>
      </c>
    </row>
    <row r="147" spans="1:16" x14ac:dyDescent="0.3">
      <c r="A147" t="s">
        <v>510</v>
      </c>
      <c r="B147" s="2">
        <v>45814</v>
      </c>
      <c r="C147" t="s">
        <v>511</v>
      </c>
      <c r="D147" t="s">
        <v>74</v>
      </c>
      <c r="E147" t="s">
        <v>19</v>
      </c>
      <c r="F147" t="s">
        <v>31</v>
      </c>
      <c r="G147" t="s">
        <v>512</v>
      </c>
      <c r="H147" t="s">
        <v>43</v>
      </c>
      <c r="I147" s="2">
        <v>45818</v>
      </c>
      <c r="J147" t="s">
        <v>23</v>
      </c>
      <c r="K147" t="s">
        <v>24</v>
      </c>
      <c r="L147" t="s">
        <v>35</v>
      </c>
      <c r="M147" t="s">
        <v>36</v>
      </c>
      <c r="N147" s="3">
        <v>14205.91</v>
      </c>
      <c r="O147">
        <v>48</v>
      </c>
      <c r="P147" s="3">
        <v>681883.67999999993</v>
      </c>
    </row>
    <row r="148" spans="1:16" x14ac:dyDescent="0.3">
      <c r="A148" t="s">
        <v>513</v>
      </c>
      <c r="B148" s="2">
        <v>45942</v>
      </c>
      <c r="C148" t="s">
        <v>514</v>
      </c>
      <c r="D148" t="s">
        <v>56</v>
      </c>
      <c r="E148" t="s">
        <v>40</v>
      </c>
      <c r="F148" t="s">
        <v>50</v>
      </c>
      <c r="G148" t="s">
        <v>515</v>
      </c>
      <c r="H148" t="s">
        <v>22</v>
      </c>
      <c r="I148" s="2">
        <v>45948</v>
      </c>
      <c r="J148" t="s">
        <v>122</v>
      </c>
      <c r="K148" t="s">
        <v>24</v>
      </c>
      <c r="L148" t="s">
        <v>35</v>
      </c>
      <c r="M148" t="s">
        <v>36</v>
      </c>
      <c r="N148" s="3">
        <v>15251.38</v>
      </c>
      <c r="O148">
        <v>26</v>
      </c>
      <c r="P148" s="3">
        <v>396535.88</v>
      </c>
    </row>
    <row r="149" spans="1:16" x14ac:dyDescent="0.3">
      <c r="A149" t="s">
        <v>516</v>
      </c>
      <c r="B149" s="2">
        <v>44826</v>
      </c>
      <c r="C149" t="s">
        <v>517</v>
      </c>
      <c r="D149" t="s">
        <v>29</v>
      </c>
      <c r="E149" t="s">
        <v>65</v>
      </c>
      <c r="F149" t="s">
        <v>41</v>
      </c>
      <c r="G149" t="s">
        <v>518</v>
      </c>
      <c r="H149" t="s">
        <v>68</v>
      </c>
      <c r="I149" s="2">
        <v>44835</v>
      </c>
      <c r="J149" t="s">
        <v>77</v>
      </c>
      <c r="K149" t="s">
        <v>24</v>
      </c>
      <c r="L149" t="s">
        <v>147</v>
      </c>
      <c r="M149" t="s">
        <v>71</v>
      </c>
      <c r="N149" s="3">
        <v>17968.580000000002</v>
      </c>
      <c r="O149">
        <v>4</v>
      </c>
      <c r="P149" s="3">
        <v>71874.320000000007</v>
      </c>
    </row>
    <row r="150" spans="1:16" x14ac:dyDescent="0.3">
      <c r="A150" t="s">
        <v>519</v>
      </c>
      <c r="B150" s="2">
        <v>44584</v>
      </c>
      <c r="C150" t="s">
        <v>520</v>
      </c>
      <c r="D150" t="s">
        <v>164</v>
      </c>
      <c r="E150" t="s">
        <v>97</v>
      </c>
      <c r="F150" t="s">
        <v>20</v>
      </c>
      <c r="G150" t="s">
        <v>405</v>
      </c>
      <c r="H150" t="s">
        <v>22</v>
      </c>
      <c r="I150" s="2">
        <v>44587</v>
      </c>
      <c r="J150" t="s">
        <v>23</v>
      </c>
      <c r="K150" t="s">
        <v>44</v>
      </c>
      <c r="L150" t="s">
        <v>35</v>
      </c>
      <c r="M150" t="s">
        <v>36</v>
      </c>
      <c r="N150" s="3">
        <v>8701.34</v>
      </c>
      <c r="O150">
        <v>34</v>
      </c>
      <c r="P150" s="3">
        <v>295845.56</v>
      </c>
    </row>
    <row r="151" spans="1:16" x14ac:dyDescent="0.3">
      <c r="A151" t="s">
        <v>521</v>
      </c>
      <c r="B151" s="2">
        <v>44805</v>
      </c>
      <c r="C151" t="s">
        <v>522</v>
      </c>
      <c r="D151" t="s">
        <v>164</v>
      </c>
      <c r="E151" t="s">
        <v>65</v>
      </c>
      <c r="F151" t="s">
        <v>108</v>
      </c>
      <c r="G151" t="s">
        <v>523</v>
      </c>
      <c r="H151" t="s">
        <v>68</v>
      </c>
      <c r="I151" s="2">
        <v>44810</v>
      </c>
      <c r="J151" t="s">
        <v>77</v>
      </c>
      <c r="K151" t="s">
        <v>60</v>
      </c>
      <c r="L151" t="s">
        <v>93</v>
      </c>
      <c r="M151" t="s">
        <v>94</v>
      </c>
      <c r="N151" s="3">
        <v>14948.86</v>
      </c>
      <c r="O151">
        <v>36</v>
      </c>
      <c r="P151" s="3">
        <v>538158.96</v>
      </c>
    </row>
    <row r="152" spans="1:16" x14ac:dyDescent="0.3">
      <c r="A152" t="s">
        <v>524</v>
      </c>
      <c r="B152" s="2">
        <v>44936</v>
      </c>
      <c r="C152" t="s">
        <v>525</v>
      </c>
      <c r="D152" t="s">
        <v>84</v>
      </c>
      <c r="E152" t="s">
        <v>49</v>
      </c>
      <c r="F152" t="s">
        <v>31</v>
      </c>
      <c r="G152" t="s">
        <v>526</v>
      </c>
      <c r="H152" t="s">
        <v>33</v>
      </c>
      <c r="I152" s="2">
        <v>44937</v>
      </c>
      <c r="J152" t="s">
        <v>23</v>
      </c>
      <c r="K152" t="s">
        <v>24</v>
      </c>
      <c r="L152" t="s">
        <v>110</v>
      </c>
      <c r="M152" t="s">
        <v>111</v>
      </c>
      <c r="N152" s="3">
        <v>12108.67</v>
      </c>
      <c r="O152">
        <v>11</v>
      </c>
      <c r="P152" s="3">
        <v>133195.37</v>
      </c>
    </row>
    <row r="153" spans="1:16" x14ac:dyDescent="0.3">
      <c r="A153" t="s">
        <v>527</v>
      </c>
      <c r="B153" s="2">
        <v>44715</v>
      </c>
      <c r="C153" t="s">
        <v>528</v>
      </c>
      <c r="D153" t="s">
        <v>164</v>
      </c>
      <c r="E153" t="s">
        <v>114</v>
      </c>
      <c r="F153" t="s">
        <v>108</v>
      </c>
      <c r="G153" t="s">
        <v>529</v>
      </c>
      <c r="H153" t="s">
        <v>43</v>
      </c>
      <c r="I153" s="2">
        <v>44721</v>
      </c>
      <c r="J153" t="s">
        <v>23</v>
      </c>
      <c r="K153" t="s">
        <v>44</v>
      </c>
      <c r="L153" t="s">
        <v>250</v>
      </c>
      <c r="M153" t="s">
        <v>36</v>
      </c>
      <c r="N153" s="3">
        <v>8867.57</v>
      </c>
      <c r="O153">
        <v>35</v>
      </c>
      <c r="P153" s="3">
        <v>310364.95</v>
      </c>
    </row>
    <row r="154" spans="1:16" x14ac:dyDescent="0.3">
      <c r="A154" t="s">
        <v>530</v>
      </c>
      <c r="B154" s="2">
        <v>45177</v>
      </c>
      <c r="C154" t="s">
        <v>531</v>
      </c>
      <c r="D154" t="s">
        <v>29</v>
      </c>
      <c r="E154" t="s">
        <v>114</v>
      </c>
      <c r="F154" t="s">
        <v>31</v>
      </c>
      <c r="G154" t="s">
        <v>532</v>
      </c>
      <c r="H154" t="s">
        <v>43</v>
      </c>
      <c r="I154" s="2">
        <v>45184</v>
      </c>
      <c r="J154" t="s">
        <v>23</v>
      </c>
      <c r="K154" t="s">
        <v>69</v>
      </c>
      <c r="L154" t="s">
        <v>25</v>
      </c>
      <c r="M154" t="s">
        <v>26</v>
      </c>
      <c r="N154" s="3">
        <v>3333.47</v>
      </c>
      <c r="O154">
        <v>30</v>
      </c>
      <c r="P154" s="3">
        <v>100004.1</v>
      </c>
    </row>
    <row r="155" spans="1:16" x14ac:dyDescent="0.3">
      <c r="A155" t="s">
        <v>533</v>
      </c>
      <c r="B155" s="2">
        <v>45436</v>
      </c>
      <c r="C155" t="s">
        <v>534</v>
      </c>
      <c r="D155" t="s">
        <v>29</v>
      </c>
      <c r="E155" t="s">
        <v>49</v>
      </c>
      <c r="F155" t="s">
        <v>66</v>
      </c>
      <c r="G155" t="s">
        <v>535</v>
      </c>
      <c r="H155" t="s">
        <v>22</v>
      </c>
      <c r="I155" s="2">
        <v>45440</v>
      </c>
      <c r="J155" t="s">
        <v>34</v>
      </c>
      <c r="K155" t="s">
        <v>60</v>
      </c>
      <c r="L155" t="s">
        <v>78</v>
      </c>
      <c r="M155" t="s">
        <v>71</v>
      </c>
      <c r="N155" s="3">
        <v>14188.55</v>
      </c>
      <c r="O155">
        <v>49</v>
      </c>
      <c r="P155" s="3">
        <v>695238.95</v>
      </c>
    </row>
    <row r="156" spans="1:16" x14ac:dyDescent="0.3">
      <c r="A156" t="s">
        <v>536</v>
      </c>
      <c r="B156" s="2">
        <v>44725</v>
      </c>
      <c r="C156" t="s">
        <v>537</v>
      </c>
      <c r="D156" t="s">
        <v>91</v>
      </c>
      <c r="E156" t="s">
        <v>97</v>
      </c>
      <c r="F156" t="s">
        <v>108</v>
      </c>
      <c r="G156" t="s">
        <v>538</v>
      </c>
      <c r="H156" t="s">
        <v>33</v>
      </c>
      <c r="I156" s="2">
        <v>44728</v>
      </c>
      <c r="J156" t="s">
        <v>122</v>
      </c>
      <c r="K156" t="s">
        <v>24</v>
      </c>
      <c r="L156" t="s">
        <v>61</v>
      </c>
      <c r="M156" t="s">
        <v>62</v>
      </c>
      <c r="N156" s="3">
        <v>8913.9</v>
      </c>
      <c r="O156">
        <v>16</v>
      </c>
      <c r="P156" s="3">
        <v>142622.39999999999</v>
      </c>
    </row>
    <row r="157" spans="1:16" x14ac:dyDescent="0.3">
      <c r="A157" t="s">
        <v>539</v>
      </c>
      <c r="B157" s="2">
        <v>45593</v>
      </c>
      <c r="C157" t="s">
        <v>540</v>
      </c>
      <c r="D157" t="s">
        <v>56</v>
      </c>
      <c r="E157" t="s">
        <v>65</v>
      </c>
      <c r="F157" t="s">
        <v>57</v>
      </c>
      <c r="G157" t="s">
        <v>154</v>
      </c>
      <c r="H157" t="s">
        <v>68</v>
      </c>
      <c r="I157" s="2">
        <v>45601</v>
      </c>
      <c r="J157" t="s">
        <v>59</v>
      </c>
      <c r="K157" t="s">
        <v>69</v>
      </c>
      <c r="L157" t="s">
        <v>35</v>
      </c>
      <c r="M157" t="s">
        <v>36</v>
      </c>
      <c r="N157" s="3">
        <v>15977.82</v>
      </c>
      <c r="O157">
        <v>38</v>
      </c>
      <c r="P157" s="3">
        <v>607157.16</v>
      </c>
    </row>
    <row r="158" spans="1:16" x14ac:dyDescent="0.3">
      <c r="A158" t="s">
        <v>541</v>
      </c>
      <c r="B158" s="2">
        <v>45414</v>
      </c>
      <c r="C158" t="s">
        <v>542</v>
      </c>
      <c r="D158" t="s">
        <v>84</v>
      </c>
      <c r="E158" t="s">
        <v>85</v>
      </c>
      <c r="F158" t="s">
        <v>168</v>
      </c>
      <c r="G158" t="s">
        <v>543</v>
      </c>
      <c r="H158" t="s">
        <v>22</v>
      </c>
      <c r="I158" s="2">
        <v>45420</v>
      </c>
      <c r="J158" t="s">
        <v>122</v>
      </c>
      <c r="K158" t="s">
        <v>60</v>
      </c>
      <c r="L158" t="s">
        <v>210</v>
      </c>
      <c r="M158" t="s">
        <v>140</v>
      </c>
      <c r="N158" s="3">
        <v>13982.97</v>
      </c>
      <c r="O158">
        <v>41</v>
      </c>
      <c r="P158" s="3">
        <v>573301.77</v>
      </c>
    </row>
    <row r="159" spans="1:16" x14ac:dyDescent="0.3">
      <c r="A159" t="s">
        <v>544</v>
      </c>
      <c r="B159" s="2">
        <v>45364</v>
      </c>
      <c r="C159" t="s">
        <v>545</v>
      </c>
      <c r="D159" t="s">
        <v>157</v>
      </c>
      <c r="E159" t="s">
        <v>65</v>
      </c>
      <c r="F159" t="s">
        <v>31</v>
      </c>
      <c r="G159" t="s">
        <v>546</v>
      </c>
      <c r="H159" t="s">
        <v>22</v>
      </c>
      <c r="I159" s="2">
        <v>45372</v>
      </c>
      <c r="J159" t="s">
        <v>122</v>
      </c>
      <c r="K159" t="s">
        <v>44</v>
      </c>
      <c r="L159" t="s">
        <v>93</v>
      </c>
      <c r="M159" t="s">
        <v>94</v>
      </c>
      <c r="N159" s="3">
        <v>9026.42</v>
      </c>
      <c r="O159">
        <v>37</v>
      </c>
      <c r="P159" s="3">
        <v>333977.53999999998</v>
      </c>
    </row>
    <row r="160" spans="1:16" x14ac:dyDescent="0.3">
      <c r="A160" t="s">
        <v>547</v>
      </c>
      <c r="B160" s="2">
        <v>45435</v>
      </c>
      <c r="C160" t="s">
        <v>548</v>
      </c>
      <c r="D160" t="s">
        <v>157</v>
      </c>
      <c r="E160" t="s">
        <v>30</v>
      </c>
      <c r="F160" t="s">
        <v>168</v>
      </c>
      <c r="G160" t="s">
        <v>549</v>
      </c>
      <c r="H160" t="s">
        <v>43</v>
      </c>
      <c r="I160" s="2">
        <v>45445</v>
      </c>
      <c r="J160" t="s">
        <v>122</v>
      </c>
      <c r="K160" t="s">
        <v>69</v>
      </c>
      <c r="L160" t="s">
        <v>110</v>
      </c>
      <c r="M160" t="s">
        <v>111</v>
      </c>
      <c r="N160" s="3">
        <v>15503.64</v>
      </c>
      <c r="O160">
        <v>41</v>
      </c>
      <c r="P160" s="3">
        <v>635649.24</v>
      </c>
    </row>
    <row r="161" spans="1:16" x14ac:dyDescent="0.3">
      <c r="A161" t="s">
        <v>550</v>
      </c>
      <c r="B161" s="2">
        <v>45133</v>
      </c>
      <c r="C161" t="s">
        <v>551</v>
      </c>
      <c r="D161" t="s">
        <v>91</v>
      </c>
      <c r="E161" t="s">
        <v>19</v>
      </c>
      <c r="F161" t="s">
        <v>50</v>
      </c>
      <c r="G161" t="s">
        <v>552</v>
      </c>
      <c r="H161" t="s">
        <v>33</v>
      </c>
      <c r="I161" s="2">
        <v>45142</v>
      </c>
      <c r="J161" t="s">
        <v>23</v>
      </c>
      <c r="K161" t="s">
        <v>60</v>
      </c>
      <c r="L161" t="s">
        <v>139</v>
      </c>
      <c r="M161" t="s">
        <v>140</v>
      </c>
      <c r="N161" s="3">
        <v>9239.35</v>
      </c>
      <c r="O161">
        <v>19</v>
      </c>
      <c r="P161" s="3">
        <v>175547.65</v>
      </c>
    </row>
    <row r="162" spans="1:16" x14ac:dyDescent="0.3">
      <c r="A162" t="s">
        <v>553</v>
      </c>
      <c r="B162" s="2">
        <v>45274</v>
      </c>
      <c r="C162" t="s">
        <v>554</v>
      </c>
      <c r="D162" t="s">
        <v>91</v>
      </c>
      <c r="E162" t="s">
        <v>19</v>
      </c>
      <c r="F162" t="s">
        <v>75</v>
      </c>
      <c r="G162" t="s">
        <v>555</v>
      </c>
      <c r="H162" t="s">
        <v>33</v>
      </c>
      <c r="I162" s="2">
        <v>45276</v>
      </c>
      <c r="J162" t="s">
        <v>77</v>
      </c>
      <c r="K162" t="s">
        <v>44</v>
      </c>
      <c r="L162" t="s">
        <v>147</v>
      </c>
      <c r="M162" t="s">
        <v>71</v>
      </c>
      <c r="N162" s="3">
        <v>16938.37</v>
      </c>
      <c r="O162">
        <v>16</v>
      </c>
      <c r="P162" s="3">
        <v>271013.92</v>
      </c>
    </row>
    <row r="163" spans="1:16" x14ac:dyDescent="0.3">
      <c r="A163" t="s">
        <v>556</v>
      </c>
      <c r="B163" s="2">
        <v>44948</v>
      </c>
      <c r="C163" t="s">
        <v>557</v>
      </c>
      <c r="D163" t="s">
        <v>84</v>
      </c>
      <c r="E163" t="s">
        <v>30</v>
      </c>
      <c r="F163" t="s">
        <v>41</v>
      </c>
      <c r="G163" t="s">
        <v>558</v>
      </c>
      <c r="H163" t="s">
        <v>33</v>
      </c>
      <c r="I163" s="2">
        <v>44951</v>
      </c>
      <c r="J163" t="s">
        <v>23</v>
      </c>
      <c r="K163" t="s">
        <v>69</v>
      </c>
      <c r="L163" t="s">
        <v>129</v>
      </c>
      <c r="M163" t="s">
        <v>88</v>
      </c>
      <c r="N163" s="3">
        <v>4775.2700000000004</v>
      </c>
      <c r="O163">
        <v>42</v>
      </c>
      <c r="P163" s="3">
        <v>200561.34</v>
      </c>
    </row>
    <row r="164" spans="1:16" x14ac:dyDescent="0.3">
      <c r="A164" t="s">
        <v>559</v>
      </c>
      <c r="B164" s="2">
        <v>45545</v>
      </c>
      <c r="C164" t="s">
        <v>560</v>
      </c>
      <c r="D164" t="s">
        <v>56</v>
      </c>
      <c r="E164" t="s">
        <v>197</v>
      </c>
      <c r="F164" t="s">
        <v>41</v>
      </c>
      <c r="G164" t="s">
        <v>561</v>
      </c>
      <c r="H164" t="s">
        <v>43</v>
      </c>
      <c r="I164" s="2">
        <v>45554</v>
      </c>
      <c r="J164" t="s">
        <v>23</v>
      </c>
      <c r="K164" t="s">
        <v>44</v>
      </c>
      <c r="L164" t="s">
        <v>35</v>
      </c>
      <c r="M164" t="s">
        <v>36</v>
      </c>
      <c r="N164" s="3">
        <v>11842.77</v>
      </c>
      <c r="O164">
        <v>50</v>
      </c>
      <c r="P164" s="3">
        <v>592138.5</v>
      </c>
    </row>
    <row r="165" spans="1:16" x14ac:dyDescent="0.3">
      <c r="A165" t="s">
        <v>562</v>
      </c>
      <c r="B165" s="2">
        <v>45041</v>
      </c>
      <c r="C165" t="s">
        <v>563</v>
      </c>
      <c r="D165" t="s">
        <v>91</v>
      </c>
      <c r="E165" t="s">
        <v>114</v>
      </c>
      <c r="F165" t="s">
        <v>75</v>
      </c>
      <c r="G165" t="s">
        <v>564</v>
      </c>
      <c r="H165" t="s">
        <v>22</v>
      </c>
      <c r="I165" s="2">
        <v>45046</v>
      </c>
      <c r="J165" t="s">
        <v>122</v>
      </c>
      <c r="K165" t="s">
        <v>24</v>
      </c>
      <c r="L165" t="s">
        <v>110</v>
      </c>
      <c r="M165" t="s">
        <v>111</v>
      </c>
      <c r="N165" s="3">
        <v>16295.75</v>
      </c>
      <c r="O165">
        <v>5</v>
      </c>
      <c r="P165" s="3">
        <v>81478.75</v>
      </c>
    </row>
    <row r="166" spans="1:16" x14ac:dyDescent="0.3">
      <c r="A166" t="s">
        <v>565</v>
      </c>
      <c r="B166" s="2">
        <v>44941</v>
      </c>
      <c r="C166" t="s">
        <v>566</v>
      </c>
      <c r="D166" t="s">
        <v>18</v>
      </c>
      <c r="E166" t="s">
        <v>49</v>
      </c>
      <c r="F166" t="s">
        <v>108</v>
      </c>
      <c r="G166" t="s">
        <v>567</v>
      </c>
      <c r="H166" t="s">
        <v>33</v>
      </c>
      <c r="I166" s="2">
        <v>44950</v>
      </c>
      <c r="J166" t="s">
        <v>34</v>
      </c>
      <c r="K166" t="s">
        <v>69</v>
      </c>
      <c r="L166" t="s">
        <v>110</v>
      </c>
      <c r="M166" t="s">
        <v>111</v>
      </c>
      <c r="N166" s="3">
        <v>5457.05</v>
      </c>
      <c r="O166">
        <v>4</v>
      </c>
      <c r="P166" s="3">
        <v>21828.2</v>
      </c>
    </row>
    <row r="167" spans="1:16" x14ac:dyDescent="0.3">
      <c r="A167" t="s">
        <v>568</v>
      </c>
      <c r="B167" s="2">
        <v>45920</v>
      </c>
      <c r="C167" t="s">
        <v>569</v>
      </c>
      <c r="D167" t="s">
        <v>91</v>
      </c>
      <c r="E167" t="s">
        <v>114</v>
      </c>
      <c r="F167" t="s">
        <v>168</v>
      </c>
      <c r="G167" t="s">
        <v>385</v>
      </c>
      <c r="H167" t="s">
        <v>33</v>
      </c>
      <c r="I167" s="2">
        <v>45930</v>
      </c>
      <c r="J167" t="s">
        <v>59</v>
      </c>
      <c r="K167" t="s">
        <v>60</v>
      </c>
      <c r="L167" t="s">
        <v>147</v>
      </c>
      <c r="M167" t="s">
        <v>71</v>
      </c>
      <c r="N167" s="3">
        <v>2416.38</v>
      </c>
      <c r="O167">
        <v>15</v>
      </c>
      <c r="P167" s="3">
        <v>36245.699999999997</v>
      </c>
    </row>
    <row r="168" spans="1:16" x14ac:dyDescent="0.3">
      <c r="A168" t="s">
        <v>570</v>
      </c>
      <c r="B168" s="2">
        <v>45379</v>
      </c>
      <c r="C168" t="s">
        <v>571</v>
      </c>
      <c r="D168" t="s">
        <v>74</v>
      </c>
      <c r="E168" t="s">
        <v>85</v>
      </c>
      <c r="F168" t="s">
        <v>20</v>
      </c>
      <c r="G168" t="s">
        <v>572</v>
      </c>
      <c r="H168" t="s">
        <v>22</v>
      </c>
      <c r="I168" s="2">
        <v>45384</v>
      </c>
      <c r="J168" t="s">
        <v>122</v>
      </c>
      <c r="K168" t="s">
        <v>24</v>
      </c>
      <c r="L168" t="s">
        <v>93</v>
      </c>
      <c r="M168" t="s">
        <v>94</v>
      </c>
      <c r="N168" s="3">
        <v>9728.15</v>
      </c>
      <c r="O168">
        <v>42</v>
      </c>
      <c r="P168" s="3">
        <v>408582.3</v>
      </c>
    </row>
    <row r="169" spans="1:16" x14ac:dyDescent="0.3">
      <c r="A169" t="s">
        <v>573</v>
      </c>
      <c r="B169" s="2">
        <v>45263</v>
      </c>
      <c r="C169" t="s">
        <v>574</v>
      </c>
      <c r="D169" t="s">
        <v>29</v>
      </c>
      <c r="E169" t="s">
        <v>30</v>
      </c>
      <c r="F169" t="s">
        <v>31</v>
      </c>
      <c r="G169" t="s">
        <v>575</v>
      </c>
      <c r="H169" t="s">
        <v>68</v>
      </c>
      <c r="I169" s="2">
        <v>45270</v>
      </c>
      <c r="J169" t="s">
        <v>59</v>
      </c>
      <c r="K169" t="s">
        <v>69</v>
      </c>
      <c r="L169" t="s">
        <v>35</v>
      </c>
      <c r="M169" t="s">
        <v>36</v>
      </c>
      <c r="N169" s="3">
        <v>3728.81</v>
      </c>
      <c r="O169">
        <v>31</v>
      </c>
      <c r="P169" s="3">
        <v>115593.11</v>
      </c>
    </row>
    <row r="170" spans="1:16" x14ac:dyDescent="0.3">
      <c r="A170" t="s">
        <v>576</v>
      </c>
      <c r="B170" s="2">
        <v>45110</v>
      </c>
      <c r="C170" t="s">
        <v>577</v>
      </c>
      <c r="D170" t="s">
        <v>39</v>
      </c>
      <c r="E170" t="s">
        <v>40</v>
      </c>
      <c r="F170" t="s">
        <v>150</v>
      </c>
      <c r="G170" t="s">
        <v>578</v>
      </c>
      <c r="H170" t="s">
        <v>22</v>
      </c>
      <c r="I170" s="2">
        <v>45120</v>
      </c>
      <c r="J170" t="s">
        <v>34</v>
      </c>
      <c r="K170" t="s">
        <v>24</v>
      </c>
      <c r="L170" t="s">
        <v>35</v>
      </c>
      <c r="M170" t="s">
        <v>36</v>
      </c>
      <c r="N170" s="3">
        <v>19165.55</v>
      </c>
      <c r="O170">
        <v>43</v>
      </c>
      <c r="P170" s="3">
        <v>824118.65</v>
      </c>
    </row>
    <row r="171" spans="1:16" x14ac:dyDescent="0.3">
      <c r="A171" t="s">
        <v>579</v>
      </c>
      <c r="B171" s="2">
        <v>45393</v>
      </c>
      <c r="C171" t="s">
        <v>580</v>
      </c>
      <c r="D171" t="s">
        <v>56</v>
      </c>
      <c r="E171" t="s">
        <v>49</v>
      </c>
      <c r="F171" t="s">
        <v>31</v>
      </c>
      <c r="G171" t="s">
        <v>581</v>
      </c>
      <c r="H171" t="s">
        <v>68</v>
      </c>
      <c r="I171" s="2">
        <v>45399</v>
      </c>
      <c r="J171" t="s">
        <v>77</v>
      </c>
      <c r="K171" t="s">
        <v>44</v>
      </c>
      <c r="L171" t="s">
        <v>87</v>
      </c>
      <c r="M171" t="s">
        <v>88</v>
      </c>
      <c r="N171" s="3">
        <v>2284.7199999999998</v>
      </c>
      <c r="O171">
        <v>24</v>
      </c>
      <c r="P171" s="3">
        <v>54833.279999999999</v>
      </c>
    </row>
    <row r="172" spans="1:16" x14ac:dyDescent="0.3">
      <c r="A172" t="s">
        <v>582</v>
      </c>
      <c r="B172" s="2">
        <v>45276</v>
      </c>
      <c r="C172" t="s">
        <v>583</v>
      </c>
      <c r="D172" t="s">
        <v>190</v>
      </c>
      <c r="E172" t="s">
        <v>65</v>
      </c>
      <c r="F172" t="s">
        <v>75</v>
      </c>
      <c r="G172" t="s">
        <v>584</v>
      </c>
      <c r="H172" t="s">
        <v>43</v>
      </c>
      <c r="I172" s="2">
        <v>45277</v>
      </c>
      <c r="J172" t="s">
        <v>77</v>
      </c>
      <c r="K172" t="s">
        <v>44</v>
      </c>
      <c r="L172" t="s">
        <v>147</v>
      </c>
      <c r="M172" t="s">
        <v>71</v>
      </c>
      <c r="N172" s="3">
        <v>11474.03</v>
      </c>
      <c r="O172">
        <v>43</v>
      </c>
      <c r="P172" s="3">
        <v>493383.29</v>
      </c>
    </row>
    <row r="173" spans="1:16" x14ac:dyDescent="0.3">
      <c r="A173" t="s">
        <v>585</v>
      </c>
      <c r="B173" s="2">
        <v>45248</v>
      </c>
      <c r="C173" t="s">
        <v>586</v>
      </c>
      <c r="D173" t="s">
        <v>18</v>
      </c>
      <c r="E173" t="s">
        <v>85</v>
      </c>
      <c r="F173" t="s">
        <v>168</v>
      </c>
      <c r="G173" t="s">
        <v>587</v>
      </c>
      <c r="H173" t="s">
        <v>33</v>
      </c>
      <c r="I173" s="2">
        <v>45252</v>
      </c>
      <c r="J173" t="s">
        <v>59</v>
      </c>
      <c r="K173" t="s">
        <v>60</v>
      </c>
      <c r="L173" t="s">
        <v>87</v>
      </c>
      <c r="M173" t="s">
        <v>88</v>
      </c>
      <c r="N173" s="3">
        <v>2689.34</v>
      </c>
      <c r="O173">
        <v>23</v>
      </c>
      <c r="P173" s="3">
        <v>61854.820000000007</v>
      </c>
    </row>
    <row r="174" spans="1:16" x14ac:dyDescent="0.3">
      <c r="A174" t="s">
        <v>588</v>
      </c>
      <c r="B174" s="2">
        <v>44840</v>
      </c>
      <c r="C174" t="s">
        <v>589</v>
      </c>
      <c r="D174" t="s">
        <v>39</v>
      </c>
      <c r="E174" t="s">
        <v>19</v>
      </c>
      <c r="F174" t="s">
        <v>31</v>
      </c>
      <c r="G174" t="s">
        <v>590</v>
      </c>
      <c r="H174" t="s">
        <v>68</v>
      </c>
      <c r="I174" s="2">
        <v>44850</v>
      </c>
      <c r="J174" t="s">
        <v>34</v>
      </c>
      <c r="K174" t="s">
        <v>24</v>
      </c>
      <c r="L174" t="s">
        <v>110</v>
      </c>
      <c r="M174" t="s">
        <v>111</v>
      </c>
      <c r="N174" s="3">
        <v>8666.98</v>
      </c>
      <c r="O174">
        <v>12</v>
      </c>
      <c r="P174" s="3">
        <v>104003.76</v>
      </c>
    </row>
    <row r="175" spans="1:16" x14ac:dyDescent="0.3">
      <c r="A175" t="s">
        <v>591</v>
      </c>
      <c r="B175" s="2">
        <v>45237</v>
      </c>
      <c r="C175" t="s">
        <v>592</v>
      </c>
      <c r="D175" t="s">
        <v>84</v>
      </c>
      <c r="E175" t="s">
        <v>49</v>
      </c>
      <c r="F175" t="s">
        <v>108</v>
      </c>
      <c r="G175" t="s">
        <v>549</v>
      </c>
      <c r="H175" t="s">
        <v>43</v>
      </c>
      <c r="I175" s="2">
        <v>45238</v>
      </c>
      <c r="J175" t="s">
        <v>34</v>
      </c>
      <c r="K175" t="s">
        <v>44</v>
      </c>
      <c r="L175" t="s">
        <v>52</v>
      </c>
      <c r="M175" t="s">
        <v>53</v>
      </c>
      <c r="N175" s="3">
        <v>2029.81</v>
      </c>
      <c r="O175">
        <v>1</v>
      </c>
      <c r="P175" s="3">
        <v>2029.81</v>
      </c>
    </row>
    <row r="176" spans="1:16" x14ac:dyDescent="0.3">
      <c r="A176" t="s">
        <v>593</v>
      </c>
      <c r="B176" s="2">
        <v>44674</v>
      </c>
      <c r="C176" t="s">
        <v>594</v>
      </c>
      <c r="D176" t="s">
        <v>84</v>
      </c>
      <c r="E176" t="s">
        <v>107</v>
      </c>
      <c r="F176" t="s">
        <v>168</v>
      </c>
      <c r="G176" t="s">
        <v>595</v>
      </c>
      <c r="H176" t="s">
        <v>33</v>
      </c>
      <c r="I176" s="2">
        <v>44682</v>
      </c>
      <c r="J176" t="s">
        <v>23</v>
      </c>
      <c r="K176" t="s">
        <v>60</v>
      </c>
      <c r="L176" t="s">
        <v>70</v>
      </c>
      <c r="M176" t="s">
        <v>71</v>
      </c>
      <c r="N176" s="3">
        <v>13405.68</v>
      </c>
      <c r="O176">
        <v>17</v>
      </c>
      <c r="P176" s="3">
        <v>227896.56</v>
      </c>
    </row>
    <row r="177" spans="1:16" x14ac:dyDescent="0.3">
      <c r="A177" t="s">
        <v>596</v>
      </c>
      <c r="B177" s="2">
        <v>45032</v>
      </c>
      <c r="C177" t="s">
        <v>597</v>
      </c>
      <c r="D177" t="s">
        <v>29</v>
      </c>
      <c r="E177" t="s">
        <v>40</v>
      </c>
      <c r="F177" t="s">
        <v>31</v>
      </c>
      <c r="G177" t="s">
        <v>598</v>
      </c>
      <c r="H177" t="s">
        <v>33</v>
      </c>
      <c r="I177" s="2">
        <v>45041</v>
      </c>
      <c r="J177" t="s">
        <v>59</v>
      </c>
      <c r="K177" t="s">
        <v>24</v>
      </c>
      <c r="L177" t="s">
        <v>25</v>
      </c>
      <c r="M177" t="s">
        <v>26</v>
      </c>
      <c r="N177" s="3">
        <v>7296.1</v>
      </c>
      <c r="O177">
        <v>21</v>
      </c>
      <c r="P177" s="3">
        <v>153218.1</v>
      </c>
    </row>
    <row r="178" spans="1:16" x14ac:dyDescent="0.3">
      <c r="A178" t="s">
        <v>599</v>
      </c>
      <c r="B178" s="2">
        <v>45125</v>
      </c>
      <c r="C178" t="s">
        <v>600</v>
      </c>
      <c r="D178" t="s">
        <v>190</v>
      </c>
      <c r="E178" t="s">
        <v>30</v>
      </c>
      <c r="F178" t="s">
        <v>57</v>
      </c>
      <c r="G178" t="s">
        <v>601</v>
      </c>
      <c r="H178" t="s">
        <v>43</v>
      </c>
      <c r="I178" s="2">
        <v>45135</v>
      </c>
      <c r="J178" t="s">
        <v>122</v>
      </c>
      <c r="K178" t="s">
        <v>60</v>
      </c>
      <c r="L178" t="s">
        <v>52</v>
      </c>
      <c r="M178" t="s">
        <v>53</v>
      </c>
      <c r="N178" s="3">
        <v>12471.18</v>
      </c>
      <c r="O178">
        <v>17</v>
      </c>
      <c r="P178" s="3">
        <v>212010.06</v>
      </c>
    </row>
    <row r="179" spans="1:16" x14ac:dyDescent="0.3">
      <c r="A179" t="s">
        <v>602</v>
      </c>
      <c r="B179" s="2">
        <v>45220</v>
      </c>
      <c r="C179" t="s">
        <v>603</v>
      </c>
      <c r="D179" t="s">
        <v>29</v>
      </c>
      <c r="E179" t="s">
        <v>30</v>
      </c>
      <c r="F179" t="s">
        <v>57</v>
      </c>
      <c r="G179" t="s">
        <v>604</v>
      </c>
      <c r="H179" t="s">
        <v>33</v>
      </c>
      <c r="I179" s="2">
        <v>45229</v>
      </c>
      <c r="J179" t="s">
        <v>59</v>
      </c>
      <c r="K179" t="s">
        <v>69</v>
      </c>
      <c r="L179" t="s">
        <v>210</v>
      </c>
      <c r="M179" t="s">
        <v>140</v>
      </c>
      <c r="N179" s="3">
        <v>13030.37</v>
      </c>
      <c r="O179">
        <v>38</v>
      </c>
      <c r="P179" s="3">
        <v>495154.06000000011</v>
      </c>
    </row>
    <row r="180" spans="1:16" x14ac:dyDescent="0.3">
      <c r="A180" t="s">
        <v>605</v>
      </c>
      <c r="B180" s="2">
        <v>45325</v>
      </c>
      <c r="C180" t="s">
        <v>606</v>
      </c>
      <c r="D180" t="s">
        <v>164</v>
      </c>
      <c r="E180" t="s">
        <v>114</v>
      </c>
      <c r="F180" t="s">
        <v>75</v>
      </c>
      <c r="G180" t="s">
        <v>607</v>
      </c>
      <c r="H180" t="s">
        <v>43</v>
      </c>
      <c r="I180" s="2">
        <v>45334</v>
      </c>
      <c r="J180" t="s">
        <v>77</v>
      </c>
      <c r="K180" t="s">
        <v>60</v>
      </c>
      <c r="L180" t="s">
        <v>87</v>
      </c>
      <c r="M180" t="s">
        <v>88</v>
      </c>
      <c r="N180" s="3">
        <v>15647.92</v>
      </c>
      <c r="O180">
        <v>29</v>
      </c>
      <c r="P180" s="3">
        <v>453789.68</v>
      </c>
    </row>
    <row r="181" spans="1:16" x14ac:dyDescent="0.3">
      <c r="A181" t="s">
        <v>608</v>
      </c>
      <c r="B181" s="2">
        <v>45829</v>
      </c>
      <c r="C181" t="s">
        <v>609</v>
      </c>
      <c r="D181" t="s">
        <v>91</v>
      </c>
      <c r="E181" t="s">
        <v>65</v>
      </c>
      <c r="F181" t="s">
        <v>41</v>
      </c>
      <c r="G181" t="s">
        <v>590</v>
      </c>
      <c r="H181" t="s">
        <v>22</v>
      </c>
      <c r="I181" s="2">
        <v>45837</v>
      </c>
      <c r="J181" t="s">
        <v>77</v>
      </c>
      <c r="K181" t="s">
        <v>44</v>
      </c>
      <c r="L181" t="s">
        <v>250</v>
      </c>
      <c r="M181" t="s">
        <v>36</v>
      </c>
      <c r="N181" s="3">
        <v>13489.51</v>
      </c>
      <c r="O181">
        <v>23</v>
      </c>
      <c r="P181" s="3">
        <v>310258.73</v>
      </c>
    </row>
    <row r="182" spans="1:16" x14ac:dyDescent="0.3">
      <c r="A182" t="s">
        <v>610</v>
      </c>
      <c r="B182" s="2">
        <v>45831</v>
      </c>
      <c r="C182" t="s">
        <v>611</v>
      </c>
      <c r="D182" t="s">
        <v>74</v>
      </c>
      <c r="E182" t="s">
        <v>114</v>
      </c>
      <c r="F182" t="s">
        <v>108</v>
      </c>
      <c r="G182" t="s">
        <v>612</v>
      </c>
      <c r="H182" t="s">
        <v>33</v>
      </c>
      <c r="I182" s="2">
        <v>45833</v>
      </c>
      <c r="J182" t="s">
        <v>59</v>
      </c>
      <c r="K182" t="s">
        <v>69</v>
      </c>
      <c r="L182" t="s">
        <v>250</v>
      </c>
      <c r="M182" t="s">
        <v>36</v>
      </c>
      <c r="N182" s="3">
        <v>8945.0499999999993</v>
      </c>
      <c r="O182">
        <v>25</v>
      </c>
      <c r="P182" s="3">
        <v>223626.25</v>
      </c>
    </row>
    <row r="183" spans="1:16" x14ac:dyDescent="0.3">
      <c r="A183" t="s">
        <v>613</v>
      </c>
      <c r="B183" s="2">
        <v>45934</v>
      </c>
      <c r="C183" t="s">
        <v>614</v>
      </c>
      <c r="D183" t="s">
        <v>164</v>
      </c>
      <c r="E183" t="s">
        <v>197</v>
      </c>
      <c r="F183" t="s">
        <v>66</v>
      </c>
      <c r="G183" t="s">
        <v>216</v>
      </c>
      <c r="H183" t="s">
        <v>33</v>
      </c>
      <c r="I183" s="2">
        <v>45935</v>
      </c>
      <c r="J183" t="s">
        <v>122</v>
      </c>
      <c r="K183" t="s">
        <v>44</v>
      </c>
      <c r="L183" t="s">
        <v>93</v>
      </c>
      <c r="M183" t="s">
        <v>94</v>
      </c>
      <c r="N183" s="3">
        <v>11925.36</v>
      </c>
      <c r="O183">
        <v>20</v>
      </c>
      <c r="P183" s="3">
        <v>238507.2</v>
      </c>
    </row>
    <row r="184" spans="1:16" x14ac:dyDescent="0.3">
      <c r="A184" t="s">
        <v>615</v>
      </c>
      <c r="B184" s="2">
        <v>45420</v>
      </c>
      <c r="C184" t="s">
        <v>616</v>
      </c>
      <c r="D184" t="s">
        <v>29</v>
      </c>
      <c r="E184" t="s">
        <v>97</v>
      </c>
      <c r="F184" t="s">
        <v>150</v>
      </c>
      <c r="G184" t="s">
        <v>617</v>
      </c>
      <c r="H184" t="s">
        <v>33</v>
      </c>
      <c r="I184" s="2">
        <v>45421</v>
      </c>
      <c r="J184" t="s">
        <v>23</v>
      </c>
      <c r="K184" t="s">
        <v>69</v>
      </c>
      <c r="L184" t="s">
        <v>78</v>
      </c>
      <c r="M184" t="s">
        <v>71</v>
      </c>
      <c r="N184" s="3">
        <v>12098.69</v>
      </c>
      <c r="O184">
        <v>37</v>
      </c>
      <c r="P184" s="3">
        <v>447651.53</v>
      </c>
    </row>
    <row r="185" spans="1:16" x14ac:dyDescent="0.3">
      <c r="A185" t="s">
        <v>618</v>
      </c>
      <c r="B185" s="2">
        <v>45513</v>
      </c>
      <c r="C185" t="s">
        <v>619</v>
      </c>
      <c r="D185" t="s">
        <v>39</v>
      </c>
      <c r="E185" t="s">
        <v>85</v>
      </c>
      <c r="F185" t="s">
        <v>108</v>
      </c>
      <c r="G185" t="s">
        <v>620</v>
      </c>
      <c r="H185" t="s">
        <v>22</v>
      </c>
      <c r="I185" s="2">
        <v>45522</v>
      </c>
      <c r="J185" t="s">
        <v>122</v>
      </c>
      <c r="K185" t="s">
        <v>44</v>
      </c>
      <c r="L185" t="s">
        <v>61</v>
      </c>
      <c r="M185" t="s">
        <v>62</v>
      </c>
      <c r="N185" s="3">
        <v>12986.83</v>
      </c>
      <c r="O185">
        <v>24</v>
      </c>
      <c r="P185" s="3">
        <v>311683.92</v>
      </c>
    </row>
    <row r="186" spans="1:16" x14ac:dyDescent="0.3">
      <c r="A186" t="s">
        <v>621</v>
      </c>
      <c r="B186" s="2">
        <v>44615</v>
      </c>
      <c r="C186" t="s">
        <v>622</v>
      </c>
      <c r="D186" t="s">
        <v>74</v>
      </c>
      <c r="E186" t="s">
        <v>97</v>
      </c>
      <c r="F186" t="s">
        <v>50</v>
      </c>
      <c r="G186" t="s">
        <v>434</v>
      </c>
      <c r="H186" t="s">
        <v>33</v>
      </c>
      <c r="I186" s="2">
        <v>44617</v>
      </c>
      <c r="J186" t="s">
        <v>122</v>
      </c>
      <c r="K186" t="s">
        <v>60</v>
      </c>
      <c r="L186" t="s">
        <v>147</v>
      </c>
      <c r="M186" t="s">
        <v>71</v>
      </c>
      <c r="N186" s="3">
        <v>4040.33</v>
      </c>
      <c r="O186">
        <v>10</v>
      </c>
      <c r="P186" s="3">
        <v>40403.300000000003</v>
      </c>
    </row>
    <row r="187" spans="1:16" x14ac:dyDescent="0.3">
      <c r="A187" t="s">
        <v>623</v>
      </c>
      <c r="B187" s="2">
        <v>44889</v>
      </c>
      <c r="C187" t="s">
        <v>624</v>
      </c>
      <c r="D187" t="s">
        <v>18</v>
      </c>
      <c r="E187" t="s">
        <v>40</v>
      </c>
      <c r="F187" t="s">
        <v>66</v>
      </c>
      <c r="G187" t="s">
        <v>625</v>
      </c>
      <c r="H187" t="s">
        <v>22</v>
      </c>
      <c r="I187" s="2">
        <v>44890</v>
      </c>
      <c r="J187" t="s">
        <v>23</v>
      </c>
      <c r="K187" t="s">
        <v>44</v>
      </c>
      <c r="L187" t="s">
        <v>61</v>
      </c>
      <c r="M187" t="s">
        <v>62</v>
      </c>
      <c r="N187" s="3">
        <v>14532.57</v>
      </c>
      <c r="O187">
        <v>37</v>
      </c>
      <c r="P187" s="3">
        <v>537705.09</v>
      </c>
    </row>
    <row r="188" spans="1:16" x14ac:dyDescent="0.3">
      <c r="A188" t="s">
        <v>626</v>
      </c>
      <c r="B188" s="2">
        <v>45023</v>
      </c>
      <c r="C188" t="s">
        <v>627</v>
      </c>
      <c r="D188" t="s">
        <v>91</v>
      </c>
      <c r="E188" t="s">
        <v>197</v>
      </c>
      <c r="F188" t="s">
        <v>20</v>
      </c>
      <c r="G188" t="s">
        <v>628</v>
      </c>
      <c r="H188" t="s">
        <v>22</v>
      </c>
      <c r="I188" s="2">
        <v>45025</v>
      </c>
      <c r="J188" t="s">
        <v>77</v>
      </c>
      <c r="K188" t="s">
        <v>60</v>
      </c>
      <c r="L188" t="s">
        <v>129</v>
      </c>
      <c r="M188" t="s">
        <v>88</v>
      </c>
      <c r="N188" s="3">
        <v>16274.45</v>
      </c>
      <c r="O188">
        <v>31</v>
      </c>
      <c r="P188" s="3">
        <v>504507.95</v>
      </c>
    </row>
    <row r="189" spans="1:16" x14ac:dyDescent="0.3">
      <c r="A189" t="s">
        <v>629</v>
      </c>
      <c r="B189" s="2">
        <v>45872</v>
      </c>
      <c r="C189" t="s">
        <v>630</v>
      </c>
      <c r="D189" t="s">
        <v>157</v>
      </c>
      <c r="E189" t="s">
        <v>65</v>
      </c>
      <c r="F189" t="s">
        <v>57</v>
      </c>
      <c r="G189" t="s">
        <v>631</v>
      </c>
      <c r="H189" t="s">
        <v>43</v>
      </c>
      <c r="I189" s="2">
        <v>45876</v>
      </c>
      <c r="J189" t="s">
        <v>77</v>
      </c>
      <c r="K189" t="s">
        <v>60</v>
      </c>
      <c r="L189" t="s">
        <v>129</v>
      </c>
      <c r="M189" t="s">
        <v>88</v>
      </c>
      <c r="N189" s="3">
        <v>19385.150000000001</v>
      </c>
      <c r="O189">
        <v>20</v>
      </c>
      <c r="P189" s="3">
        <v>387703</v>
      </c>
    </row>
    <row r="190" spans="1:16" x14ac:dyDescent="0.3">
      <c r="A190" t="s">
        <v>632</v>
      </c>
      <c r="B190" s="2">
        <v>45540</v>
      </c>
      <c r="C190" t="s">
        <v>633</v>
      </c>
      <c r="D190" t="s">
        <v>84</v>
      </c>
      <c r="E190" t="s">
        <v>65</v>
      </c>
      <c r="F190" t="s">
        <v>66</v>
      </c>
      <c r="G190" t="s">
        <v>634</v>
      </c>
      <c r="H190" t="s">
        <v>43</v>
      </c>
      <c r="I190" s="2">
        <v>45550</v>
      </c>
      <c r="J190" t="s">
        <v>34</v>
      </c>
      <c r="K190" t="s">
        <v>69</v>
      </c>
      <c r="L190" t="s">
        <v>78</v>
      </c>
      <c r="M190" t="s">
        <v>71</v>
      </c>
      <c r="N190" s="3">
        <v>16050.39</v>
      </c>
      <c r="O190">
        <v>32</v>
      </c>
      <c r="P190" s="3">
        <v>513612.48</v>
      </c>
    </row>
    <row r="191" spans="1:16" x14ac:dyDescent="0.3">
      <c r="A191" t="s">
        <v>635</v>
      </c>
      <c r="B191" s="2">
        <v>45756</v>
      </c>
      <c r="C191" t="s">
        <v>636</v>
      </c>
      <c r="D191" t="s">
        <v>84</v>
      </c>
      <c r="E191" t="s">
        <v>97</v>
      </c>
      <c r="F191" t="s">
        <v>66</v>
      </c>
      <c r="G191" t="s">
        <v>637</v>
      </c>
      <c r="H191" t="s">
        <v>68</v>
      </c>
      <c r="I191" s="2">
        <v>45757</v>
      </c>
      <c r="J191" t="s">
        <v>122</v>
      </c>
      <c r="K191" t="s">
        <v>69</v>
      </c>
      <c r="L191" t="s">
        <v>147</v>
      </c>
      <c r="M191" t="s">
        <v>71</v>
      </c>
      <c r="N191" s="3">
        <v>8995.9500000000007</v>
      </c>
      <c r="O191">
        <v>27</v>
      </c>
      <c r="P191" s="3">
        <v>242890.65</v>
      </c>
    </row>
    <row r="192" spans="1:16" x14ac:dyDescent="0.3">
      <c r="A192" t="s">
        <v>638</v>
      </c>
      <c r="B192" s="2">
        <v>45840</v>
      </c>
      <c r="C192" t="s">
        <v>639</v>
      </c>
      <c r="D192" t="s">
        <v>56</v>
      </c>
      <c r="E192" t="s">
        <v>97</v>
      </c>
      <c r="F192" t="s">
        <v>66</v>
      </c>
      <c r="G192" t="s">
        <v>640</v>
      </c>
      <c r="H192" t="s">
        <v>68</v>
      </c>
      <c r="I192" s="2">
        <v>45845</v>
      </c>
      <c r="J192" t="s">
        <v>122</v>
      </c>
      <c r="K192" t="s">
        <v>60</v>
      </c>
      <c r="L192" t="s">
        <v>45</v>
      </c>
      <c r="M192" t="s">
        <v>46</v>
      </c>
      <c r="N192" s="3">
        <v>5868.97</v>
      </c>
      <c r="O192">
        <v>42</v>
      </c>
      <c r="P192" s="3">
        <v>246496.74</v>
      </c>
    </row>
    <row r="193" spans="1:16" x14ac:dyDescent="0.3">
      <c r="A193" t="s">
        <v>641</v>
      </c>
      <c r="B193" s="2">
        <v>45545</v>
      </c>
      <c r="C193" t="s">
        <v>642</v>
      </c>
      <c r="D193" t="s">
        <v>29</v>
      </c>
      <c r="E193" t="s">
        <v>65</v>
      </c>
      <c r="F193" t="s">
        <v>66</v>
      </c>
      <c r="G193" t="s">
        <v>643</v>
      </c>
      <c r="H193" t="s">
        <v>22</v>
      </c>
      <c r="I193" s="2">
        <v>45552</v>
      </c>
      <c r="J193" t="s">
        <v>34</v>
      </c>
      <c r="K193" t="s">
        <v>69</v>
      </c>
      <c r="L193" t="s">
        <v>52</v>
      </c>
      <c r="M193" t="s">
        <v>53</v>
      </c>
      <c r="N193" s="3">
        <v>4429.0600000000004</v>
      </c>
      <c r="O193">
        <v>32</v>
      </c>
      <c r="P193" s="3">
        <v>141729.92000000001</v>
      </c>
    </row>
    <row r="194" spans="1:16" x14ac:dyDescent="0.3">
      <c r="A194" t="s">
        <v>644</v>
      </c>
      <c r="B194" s="2">
        <v>45672</v>
      </c>
      <c r="C194" t="s">
        <v>645</v>
      </c>
      <c r="D194" t="s">
        <v>18</v>
      </c>
      <c r="E194" t="s">
        <v>97</v>
      </c>
      <c r="F194" t="s">
        <v>168</v>
      </c>
      <c r="G194" t="s">
        <v>646</v>
      </c>
      <c r="H194" t="s">
        <v>43</v>
      </c>
      <c r="I194" s="2">
        <v>45677</v>
      </c>
      <c r="J194" t="s">
        <v>59</v>
      </c>
      <c r="K194" t="s">
        <v>69</v>
      </c>
      <c r="L194" t="s">
        <v>61</v>
      </c>
      <c r="M194" t="s">
        <v>62</v>
      </c>
      <c r="N194" s="3">
        <v>7448.95</v>
      </c>
      <c r="O194">
        <v>20</v>
      </c>
      <c r="P194" s="3">
        <v>148979</v>
      </c>
    </row>
    <row r="195" spans="1:16" x14ac:dyDescent="0.3">
      <c r="A195" t="s">
        <v>647</v>
      </c>
      <c r="B195" s="2">
        <v>45574</v>
      </c>
      <c r="C195" t="s">
        <v>648</v>
      </c>
      <c r="D195" t="s">
        <v>164</v>
      </c>
      <c r="E195" t="s">
        <v>85</v>
      </c>
      <c r="F195" t="s">
        <v>20</v>
      </c>
      <c r="G195" t="s">
        <v>649</v>
      </c>
      <c r="H195" t="s">
        <v>43</v>
      </c>
      <c r="I195" s="2">
        <v>45575</v>
      </c>
      <c r="J195" t="s">
        <v>23</v>
      </c>
      <c r="K195" t="s">
        <v>44</v>
      </c>
      <c r="L195" t="s">
        <v>70</v>
      </c>
      <c r="M195" t="s">
        <v>71</v>
      </c>
      <c r="N195" s="3">
        <v>5385.55</v>
      </c>
      <c r="O195">
        <v>48</v>
      </c>
      <c r="P195" s="3">
        <v>258506.4</v>
      </c>
    </row>
    <row r="196" spans="1:16" x14ac:dyDescent="0.3">
      <c r="A196" t="s">
        <v>650</v>
      </c>
      <c r="B196" s="2">
        <v>45001</v>
      </c>
      <c r="C196" t="s">
        <v>651</v>
      </c>
      <c r="D196" t="s">
        <v>164</v>
      </c>
      <c r="E196" t="s">
        <v>107</v>
      </c>
      <c r="F196" t="s">
        <v>75</v>
      </c>
      <c r="G196" t="s">
        <v>184</v>
      </c>
      <c r="H196" t="s">
        <v>43</v>
      </c>
      <c r="I196" s="2">
        <v>45007</v>
      </c>
      <c r="J196" t="s">
        <v>23</v>
      </c>
      <c r="K196" t="s">
        <v>24</v>
      </c>
      <c r="L196" t="s">
        <v>25</v>
      </c>
      <c r="M196" t="s">
        <v>26</v>
      </c>
      <c r="N196" s="3">
        <v>3266.73</v>
      </c>
      <c r="O196">
        <v>36</v>
      </c>
      <c r="P196" s="3">
        <v>117602.28</v>
      </c>
    </row>
    <row r="197" spans="1:16" x14ac:dyDescent="0.3">
      <c r="A197" t="s">
        <v>652</v>
      </c>
      <c r="B197" s="2">
        <v>45078</v>
      </c>
      <c r="C197" t="s">
        <v>653</v>
      </c>
      <c r="D197" t="s">
        <v>157</v>
      </c>
      <c r="E197" t="s">
        <v>19</v>
      </c>
      <c r="F197" t="s">
        <v>66</v>
      </c>
      <c r="G197" t="s">
        <v>654</v>
      </c>
      <c r="H197" t="s">
        <v>33</v>
      </c>
      <c r="I197" s="2">
        <v>45087</v>
      </c>
      <c r="J197" t="s">
        <v>23</v>
      </c>
      <c r="K197" t="s">
        <v>24</v>
      </c>
      <c r="L197" t="s">
        <v>52</v>
      </c>
      <c r="M197" t="s">
        <v>53</v>
      </c>
      <c r="N197" s="3">
        <v>9303.94</v>
      </c>
      <c r="O197">
        <v>14</v>
      </c>
      <c r="P197" s="3">
        <v>130255.16</v>
      </c>
    </row>
    <row r="198" spans="1:16" x14ac:dyDescent="0.3">
      <c r="A198" t="s">
        <v>655</v>
      </c>
      <c r="B198" s="2">
        <v>45641</v>
      </c>
      <c r="C198" t="s">
        <v>656</v>
      </c>
      <c r="D198" t="s">
        <v>84</v>
      </c>
      <c r="E198" t="s">
        <v>19</v>
      </c>
      <c r="F198" t="s">
        <v>66</v>
      </c>
      <c r="G198" t="s">
        <v>657</v>
      </c>
      <c r="H198" t="s">
        <v>33</v>
      </c>
      <c r="I198" s="2">
        <v>45644</v>
      </c>
      <c r="J198" t="s">
        <v>23</v>
      </c>
      <c r="K198" t="s">
        <v>24</v>
      </c>
      <c r="L198" t="s">
        <v>61</v>
      </c>
      <c r="M198" t="s">
        <v>62</v>
      </c>
      <c r="N198" s="3">
        <v>18733.5</v>
      </c>
      <c r="O198">
        <v>19</v>
      </c>
      <c r="P198" s="3">
        <v>355936.5</v>
      </c>
    </row>
    <row r="199" spans="1:16" x14ac:dyDescent="0.3">
      <c r="A199" t="s">
        <v>658</v>
      </c>
      <c r="B199" s="2">
        <v>45298</v>
      </c>
      <c r="C199" t="s">
        <v>659</v>
      </c>
      <c r="D199" t="s">
        <v>18</v>
      </c>
      <c r="E199" t="s">
        <v>114</v>
      </c>
      <c r="F199" t="s">
        <v>150</v>
      </c>
      <c r="G199" t="s">
        <v>660</v>
      </c>
      <c r="H199" t="s">
        <v>68</v>
      </c>
      <c r="I199" s="2">
        <v>45303</v>
      </c>
      <c r="J199" t="s">
        <v>34</v>
      </c>
      <c r="K199" t="s">
        <v>60</v>
      </c>
      <c r="L199" t="s">
        <v>45</v>
      </c>
      <c r="M199" t="s">
        <v>46</v>
      </c>
      <c r="N199" s="3">
        <v>6301.66</v>
      </c>
      <c r="O199">
        <v>5</v>
      </c>
      <c r="P199" s="3">
        <v>31508.3</v>
      </c>
    </row>
    <row r="200" spans="1:16" x14ac:dyDescent="0.3">
      <c r="A200" t="s">
        <v>661</v>
      </c>
      <c r="B200" s="2">
        <v>45510</v>
      </c>
      <c r="C200" t="s">
        <v>662</v>
      </c>
      <c r="D200" t="s">
        <v>157</v>
      </c>
      <c r="E200" t="s">
        <v>30</v>
      </c>
      <c r="F200" t="s">
        <v>41</v>
      </c>
      <c r="G200" t="s">
        <v>663</v>
      </c>
      <c r="H200" t="s">
        <v>68</v>
      </c>
      <c r="I200" s="2">
        <v>45512</v>
      </c>
      <c r="J200" t="s">
        <v>59</v>
      </c>
      <c r="K200" t="s">
        <v>24</v>
      </c>
      <c r="L200" t="s">
        <v>78</v>
      </c>
      <c r="M200" t="s">
        <v>71</v>
      </c>
      <c r="N200" s="3">
        <v>13273.13</v>
      </c>
      <c r="O200">
        <v>36</v>
      </c>
      <c r="P200" s="3">
        <v>477832.68</v>
      </c>
    </row>
    <row r="201" spans="1:16" x14ac:dyDescent="0.3">
      <c r="A201" t="s">
        <v>664</v>
      </c>
      <c r="B201" s="2">
        <v>45233</v>
      </c>
      <c r="C201" t="s">
        <v>665</v>
      </c>
      <c r="D201" t="s">
        <v>190</v>
      </c>
      <c r="E201" t="s">
        <v>19</v>
      </c>
      <c r="F201" t="s">
        <v>50</v>
      </c>
      <c r="G201" t="s">
        <v>666</v>
      </c>
      <c r="H201" t="s">
        <v>68</v>
      </c>
      <c r="I201" s="2">
        <v>45239</v>
      </c>
      <c r="J201" t="s">
        <v>23</v>
      </c>
      <c r="K201" t="s">
        <v>24</v>
      </c>
      <c r="L201" t="s">
        <v>45</v>
      </c>
      <c r="M201" t="s">
        <v>46</v>
      </c>
      <c r="N201" s="3">
        <v>11349.21</v>
      </c>
      <c r="O201">
        <v>50</v>
      </c>
      <c r="P201" s="3">
        <v>567460.5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27CC-3795-45FA-9FB1-090B546C5C44}">
  <dimension ref="O6:T8"/>
  <sheetViews>
    <sheetView topLeftCell="F1" zoomScale="103" workbookViewId="0">
      <selection activeCell="O8" sqref="O8"/>
    </sheetView>
  </sheetViews>
  <sheetFormatPr baseColWidth="10" defaultRowHeight="14.4" x14ac:dyDescent="0.3"/>
  <sheetData>
    <row r="6" spans="15:20" x14ac:dyDescent="0.3">
      <c r="O6" s="5" t="s">
        <v>668</v>
      </c>
      <c r="P6" s="5"/>
      <c r="Q6" s="5"/>
      <c r="R6" s="5"/>
      <c r="S6" s="5"/>
      <c r="T6" s="5"/>
    </row>
    <row r="8" spans="15:20" x14ac:dyDescent="0.3">
      <c r="O8" s="4" t="s">
        <v>667</v>
      </c>
    </row>
  </sheetData>
  <mergeCells count="1">
    <mergeCell ref="O6:T6"/>
  </mergeCells>
  <hyperlinks>
    <hyperlink ref="O8" r:id="rId1" display="https://www.youtube.com/watch?si=ZG7uxuMlk-khpH3K&amp;v=Oanr41Tz28U&amp;feature=youtu.be" xr:uid="{FFD16FBD-6F54-4C49-B40E-319773D6CDC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TablasDinamicas</vt:lpstr>
      <vt:lpstr>Dashboard</vt:lpstr>
      <vt:lpstr>Base de Datos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HARBEY EMIR CELY MENDOZA</cp:lastModifiedBy>
  <dcterms:created xsi:type="dcterms:W3CDTF">2025-10-30T10:03:28Z</dcterms:created>
  <dcterms:modified xsi:type="dcterms:W3CDTF">2026-08-31T00:02:46Z</dcterms:modified>
</cp:coreProperties>
</file>