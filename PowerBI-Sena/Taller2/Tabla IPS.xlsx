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ENOVO\Documents\SENA\2024\CURSO\TEMA 1\TEMA 1\"/>
    </mc:Choice>
  </mc:AlternateContent>
  <xr:revisionPtr revIDLastSave="0" documentId="13_ncr:1_{E0CD8F98-0194-4D39-A1B0-67145280FDA8}" xr6:coauthVersionLast="47" xr6:coauthVersionMax="47" xr10:uidLastSave="{00000000-0000-0000-0000-000000000000}"/>
  <bookViews>
    <workbookView xWindow="-120" yWindow="-120" windowWidth="20730" windowHeight="11160" xr2:uid="{A5EAA720-CFC8-479E-9FDE-1829B8DD2F1A}"/>
  </bookViews>
  <sheets>
    <sheet name="IPS" sheetId="1" r:id="rId1"/>
    <sheet name="TABLERO DE CONTROL" sheetId="2" r:id="rId2"/>
    <sheet name="TABLAS DINAMICAS" sheetId="3" r:id="rId3"/>
  </sheets>
  <definedNames>
    <definedName name="SegmentaciónDeDatos_Edad">#N/A</definedName>
    <definedName name="SegmentaciónDeDatos_Especialidad">#N/A</definedName>
    <definedName name="SegmentaciónDeDatos_Genero">#N/A</definedName>
    <definedName name="SegmentaciónDeDatos_Medico">#N/A</definedName>
    <definedName name="SegmentaciónDeDatos_Sucursal_Jornada">#N/A</definedName>
  </definedNames>
  <calcPr calcId="191029"/>
  <pivotCaches>
    <pivotCache cacheId="12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B96" i="3"/>
  <c r="B40" i="3"/>
</calcChain>
</file>

<file path=xl/sharedStrings.xml><?xml version="1.0" encoding="utf-8"?>
<sst xmlns="http://schemas.openxmlformats.org/spreadsheetml/2006/main" count="2302" uniqueCount="475">
  <si>
    <t>Num_Documento</t>
  </si>
  <si>
    <t>Paciente</t>
  </si>
  <si>
    <t>Edad</t>
  </si>
  <si>
    <t>Genero</t>
  </si>
  <si>
    <t>Fec_Nacimiento</t>
  </si>
  <si>
    <t>Cuota Moderadora</t>
  </si>
  <si>
    <t>Sucursal-Jornada</t>
  </si>
  <si>
    <t>Medico</t>
  </si>
  <si>
    <t>Especialidad</t>
  </si>
  <si>
    <t>Valor Consulta</t>
  </si>
  <si>
    <t>Yesny Maibelin Arenas Acelas</t>
  </si>
  <si>
    <t>Femenino</t>
  </si>
  <si>
    <t>23-02-1979</t>
  </si>
  <si>
    <t>Cabecera-Día</t>
  </si>
  <si>
    <t>Sergio Oswaldo Duarte Delgado</t>
  </si>
  <si>
    <t>Ginecólogo</t>
  </si>
  <si>
    <t>Claudia Smith Murillo Acevedo</t>
  </si>
  <si>
    <t>1-06-1966</t>
  </si>
  <si>
    <t>Floridablanca-Tarde</t>
  </si>
  <si>
    <t>Mayerly  Villamizar Rueda</t>
  </si>
  <si>
    <t>Sicólogo</t>
  </si>
  <si>
    <t>Yusselly Carolina Serrano Acevedo</t>
  </si>
  <si>
    <t>4-05-1970</t>
  </si>
  <si>
    <t>Erick Johann Pino  Gasca</t>
  </si>
  <si>
    <t>Dermatólogo</t>
  </si>
  <si>
    <t>Cesar Fabian Duarte Acevedo</t>
  </si>
  <si>
    <t>masculino</t>
  </si>
  <si>
    <t>4-05-1968</t>
  </si>
  <si>
    <t>Floridablanca-Noche</t>
  </si>
  <si>
    <t xml:space="preserve">Adriana  Suarez </t>
  </si>
  <si>
    <t>Ortopedista</t>
  </si>
  <si>
    <t>Edward Esteban Vargas Acosta</t>
  </si>
  <si>
    <t>27-06-1970</t>
  </si>
  <si>
    <t>Cabecera-Tarde</t>
  </si>
  <si>
    <t>Jenny Jhoana Olaya Sorza</t>
  </si>
  <si>
    <t>Oftalmólogo</t>
  </si>
  <si>
    <t>Jesika Paola Sanchez Afanador</t>
  </si>
  <si>
    <t>4-05-1966</t>
  </si>
  <si>
    <t>Cañaveral-Tarde</t>
  </si>
  <si>
    <t>Ana Judith Chinchilla Aguilar</t>
  </si>
  <si>
    <t>23-02-1972</t>
  </si>
  <si>
    <t>Mariluz  Díaz Chía</t>
  </si>
  <si>
    <t>Ingrid Nayibe Delgado Aguillon</t>
  </si>
  <si>
    <t>5-01-1970</t>
  </si>
  <si>
    <t>Ruben Dario Rosas Caballero</t>
  </si>
  <si>
    <t>Neumólogo</t>
  </si>
  <si>
    <t>Alvaro Javier Parra Albarracin</t>
  </si>
  <si>
    <t>4-01-1972</t>
  </si>
  <si>
    <t>Robinson  Robles Rivera</t>
  </si>
  <si>
    <t>Diana Maria Flórez Albino</t>
  </si>
  <si>
    <t>16-03-1972</t>
  </si>
  <si>
    <t>Cañaveral-Noche</t>
  </si>
  <si>
    <t>Carlos Andres Bernate Izquierdo</t>
  </si>
  <si>
    <t>Cardiólogo</t>
  </si>
  <si>
    <t>Mayra Alejandra Pardo Aljuri</t>
  </si>
  <si>
    <t>10-03-1972</t>
  </si>
  <si>
    <t>Floridablanca-Día</t>
  </si>
  <si>
    <t>Claudia Juliana Urbina Figueroa</t>
  </si>
  <si>
    <t>Martha Patricia Pardo Almeida</t>
  </si>
  <si>
    <t>Luz Marina Fajardo Garcia</t>
  </si>
  <si>
    <t>Juan Pablo Rodriguez Amaya</t>
  </si>
  <si>
    <t>14-08-1970</t>
  </si>
  <si>
    <t xml:space="preserve">Fernando Alonso Gil </t>
  </si>
  <si>
    <t>Carlos Andres Vargas Amaya</t>
  </si>
  <si>
    <t>Maria Fernanda Rueda Angel</t>
  </si>
  <si>
    <t>24-08-1968</t>
  </si>
  <si>
    <t>Cabecera-Noche</t>
  </si>
  <si>
    <t>Catherine  Barrera Jimenez</t>
  </si>
  <si>
    <t>Johanna Patricia Angarita Antolinez</t>
  </si>
  <si>
    <t>26-10-1970</t>
  </si>
  <si>
    <t>Sergio Andres Estupiñan Perez</t>
  </si>
  <si>
    <t>Nicolas Eduardo Carvajal Arciniegas</t>
  </si>
  <si>
    <t>24-08-1970</t>
  </si>
  <si>
    <t>Edwin Fabian Diaz Toro</t>
  </si>
  <si>
    <t>Juan Carlos Peñaloza Ardila</t>
  </si>
  <si>
    <t>28-12-1970</t>
  </si>
  <si>
    <t>Cañaveral-Día</t>
  </si>
  <si>
    <t>Edna Rocío García Ardila</t>
  </si>
  <si>
    <t>14-08-1966</t>
  </si>
  <si>
    <t>Mayra Alejandra Castillo Rodríguez</t>
  </si>
  <si>
    <t>Silvia Paola Orduz Arena</t>
  </si>
  <si>
    <t>20-10-1974</t>
  </si>
  <si>
    <t>Giovanny Fernando Toro Arenales</t>
  </si>
  <si>
    <t>John Esteban Cardenas Arenas</t>
  </si>
  <si>
    <t>7-05-1968</t>
  </si>
  <si>
    <t>Diana Carolina Cruz Arenas</t>
  </si>
  <si>
    <t>Ignacio  Gaitan Palacios</t>
  </si>
  <si>
    <t>General</t>
  </si>
  <si>
    <t>Jhon Fredy Villalba Arevalo</t>
  </si>
  <si>
    <t>3-08-1965</t>
  </si>
  <si>
    <t>Edgar Farid Torres Chacon</t>
  </si>
  <si>
    <t>Leidy Yesenia Toledo Arevalo</t>
  </si>
  <si>
    <t>Ricardo Andres Lobo Arguello</t>
  </si>
  <si>
    <t>Claudia  Patricia Cortez Rivera</t>
  </si>
  <si>
    <t>Genny Andrea Ojeda Arguello</t>
  </si>
  <si>
    <t>Mónica Lizette Serrano Hernández</t>
  </si>
  <si>
    <t>Christian Eduardo Barragan Arias</t>
  </si>
  <si>
    <t>21-09-1968</t>
  </si>
  <si>
    <t>Miguel Angel Gamarra Arias</t>
  </si>
  <si>
    <t>Carlos Andres Anaya Ariza</t>
  </si>
  <si>
    <t>15-06-1974</t>
  </si>
  <si>
    <t>Boristh Alberto Beltran Ariza</t>
  </si>
  <si>
    <t>Jenny Esperanza Cogollo Arteaga</t>
  </si>
  <si>
    <t>28-12-1966</t>
  </si>
  <si>
    <t>Carlos Arturo Avila Avila</t>
  </si>
  <si>
    <t>Francisco Jose Celis Camargo</t>
  </si>
  <si>
    <t>Otorrino</t>
  </si>
  <si>
    <t>Masmela Ingrid De Avila</t>
  </si>
  <si>
    <t>Laura Marcela López Ayala</t>
  </si>
  <si>
    <t>José Luis Villamizar Badillo</t>
  </si>
  <si>
    <t>Leisza Maritza Robles Rivera</t>
  </si>
  <si>
    <t>Lorena María Carvajal Badillo</t>
  </si>
  <si>
    <t>21-01-1974</t>
  </si>
  <si>
    <t>Andrea Carolina Vargas Baez</t>
  </si>
  <si>
    <t>Andrea Marcela Duran Baez</t>
  </si>
  <si>
    <t>Diana Mireya Cárdenas Balaguera</t>
  </si>
  <si>
    <t>14-08-1968</t>
  </si>
  <si>
    <t>Carlos Alberto Villalobos Lozano</t>
  </si>
  <si>
    <t>Adriana Milena Buitrago Barajas</t>
  </si>
  <si>
    <t>Luz Amparo Murillo Barajas</t>
  </si>
  <si>
    <t>Mary Zurley Santamaria Barbosa</t>
  </si>
  <si>
    <t>Jennifer Andrea Nieves Barrera</t>
  </si>
  <si>
    <t>Noris Paola Huertas Baslanoa</t>
  </si>
  <si>
    <t>5-10-1970</t>
  </si>
  <si>
    <t>Maria Del Gonzalez Basto</t>
  </si>
  <si>
    <t>Claudia Liliana Jaimes Bastos</t>
  </si>
  <si>
    <t>Joan Sebastian Caicedo Bautista</t>
  </si>
  <si>
    <t>Nelly Patricia Mantilla Suarez</t>
  </si>
  <si>
    <t>Luz Dary Cruz Bautista</t>
  </si>
  <si>
    <t>26-10-1968</t>
  </si>
  <si>
    <t>Adriana Milena Toscano Bautista</t>
  </si>
  <si>
    <t>1-06-1970</t>
  </si>
  <si>
    <t>César Ivan Corredor Becerra</t>
  </si>
  <si>
    <t>Manuel Fernando Gomez Becerra</t>
  </si>
  <si>
    <t>Yenny Rocío Toscano Beltrán</t>
  </si>
  <si>
    <t>Jose Manuel Navas Bermudez</t>
  </si>
  <si>
    <t>Cesar Augusto Pardo Bermúdez</t>
  </si>
  <si>
    <t>4-02-1974</t>
  </si>
  <si>
    <t>Eveling Ines Gonzalez Blanschke</t>
  </si>
  <si>
    <t>Luz Elena Patiño Bonilla</t>
  </si>
  <si>
    <t>Edwin  Barrera Muñoz</t>
  </si>
  <si>
    <t>Reumatologo</t>
  </si>
  <si>
    <t>Sneydith Katerine Picon Briceño</t>
  </si>
  <si>
    <t>18-08-1974</t>
  </si>
  <si>
    <t>Luz Dary Trujillo Briceño</t>
  </si>
  <si>
    <t>3-09-1965</t>
  </si>
  <si>
    <t>Maria Isabel Florez Caballero</t>
  </si>
  <si>
    <t>Ruben Alexander Rios Peña</t>
  </si>
  <si>
    <t>5-01-1968</t>
  </si>
  <si>
    <t>Ana Marcela Zapata Caballero</t>
  </si>
  <si>
    <t>Elkín Eduardo Contreras Cabeza</t>
  </si>
  <si>
    <t>Daily Karina Cardozo Cáceres</t>
  </si>
  <si>
    <t>Gabriel Leonardo Rueda Diaz</t>
  </si>
  <si>
    <t>Fisiatra</t>
  </si>
  <si>
    <t>Laritza Tatiana Acevedo Cáceres</t>
  </si>
  <si>
    <t>Eddy Johanna Noriega Cáceres</t>
  </si>
  <si>
    <t>Diana Marcela Tarazona Camacho</t>
  </si>
  <si>
    <t>Wilson Yesid Camacho Camacho</t>
  </si>
  <si>
    <t>Eddy Johanna Cano Camargo</t>
  </si>
  <si>
    <t>Jhonatan Andres Sequeda Camargo</t>
  </si>
  <si>
    <t>Yenny Marcela Casas Camargo</t>
  </si>
  <si>
    <t>Jonnathan Ferney Luna Camargo</t>
  </si>
  <si>
    <t xml:space="preserve">Freddy  Gutierrez </t>
  </si>
  <si>
    <t>Claudia Lucia Nuñez Camelo</t>
  </si>
  <si>
    <t>Yury Marcela Paez Campos</t>
  </si>
  <si>
    <t>Laura Liliana Vasquez Campos</t>
  </si>
  <si>
    <t>Ana Maria Gamboa Cañizares</t>
  </si>
  <si>
    <t>Marcela Del Santana Carreño</t>
  </si>
  <si>
    <t>Luis Guillermo Barrera Carreño</t>
  </si>
  <si>
    <t>Julian David Carreño Carrillo</t>
  </si>
  <si>
    <t>Jazmin Yulian Toloza Carrillo</t>
  </si>
  <si>
    <t>Rudy Alexander Sanchez Carvajal</t>
  </si>
  <si>
    <t>John Henry Bonilla Carvajal</t>
  </si>
  <si>
    <t>Karol Andrea Gomez Casas</t>
  </si>
  <si>
    <t>Paola Andrea Ardila Gonzalez</t>
  </si>
  <si>
    <t>Leidy Yesenia Alvarez Castaño</t>
  </si>
  <si>
    <t>femenino</t>
  </si>
  <si>
    <t>Jeny Paola Santos Castillo</t>
  </si>
  <si>
    <t>Cindy Xiomara Espinosa Castro</t>
  </si>
  <si>
    <t>Yeny Paola Parra Castro</t>
  </si>
  <si>
    <t>Jenny Marcela Quintero Celis</t>
  </si>
  <si>
    <t>Diana Alejandra Hernández Celis</t>
  </si>
  <si>
    <t>Yuly Christina Reynel Corredor</t>
  </si>
  <si>
    <t>Edinnson Giovanny Hernandez Celis</t>
  </si>
  <si>
    <t>Maribel Yaqueline Porras Chacón</t>
  </si>
  <si>
    <t>Diana Slendy Cordero Chacón</t>
  </si>
  <si>
    <t>Blanca Yamile Nova Chacón</t>
  </si>
  <si>
    <t>Myriam Alejandra Delgado Chacón</t>
  </si>
  <si>
    <t>Marlen Johanna Lozano Chaparro</t>
  </si>
  <si>
    <t>Deisy Adriana Villamizar Contreras</t>
  </si>
  <si>
    <t>Maryury Lizette Carrillo Cordero</t>
  </si>
  <si>
    <t>Diana Marcela Patiño Corredor</t>
  </si>
  <si>
    <t>Oscar Eduardo Reinel Corredor</t>
  </si>
  <si>
    <t>Juan Manuel Avellaneda Cortes</t>
  </si>
  <si>
    <t>Sergio Andres Ardila Corzo</t>
  </si>
  <si>
    <t>Jennifer Andrea Rondon Cuevas</t>
  </si>
  <si>
    <t>5-05-1966</t>
  </si>
  <si>
    <t>Massiel Karina Galindo Daza</t>
  </si>
  <si>
    <t>Juan Pablo Pinzón Delgado</t>
  </si>
  <si>
    <t>Deisy Johana Pinzon Delgado</t>
  </si>
  <si>
    <t>10-03-1979</t>
  </si>
  <si>
    <t>Ingrid Juliana Arenas Diaz</t>
  </si>
  <si>
    <t>Fanny Yaneth Sierra Diaz</t>
  </si>
  <si>
    <t>Alba Johana Garcia Diaz</t>
  </si>
  <si>
    <t>Jennifer Paola Mejia Diaz</t>
  </si>
  <si>
    <t>Monica Juliana Ruiz Duarte</t>
  </si>
  <si>
    <t>Diego Andres Pardo Duarte</t>
  </si>
  <si>
    <t>Vera Lucia Diaz Duarte</t>
  </si>
  <si>
    <t>Zeidy Johanna García Duarte</t>
  </si>
  <si>
    <t>Camilo Andres Munera Dueñas</t>
  </si>
  <si>
    <t>Yudy Alejandra Martinez Duque</t>
  </si>
  <si>
    <t>Jhon Edinson Nova Entralgo</t>
  </si>
  <si>
    <t>Madga Marina Obeso Fajardo</t>
  </si>
  <si>
    <t>Maria Carolina Ovalle Flores</t>
  </si>
  <si>
    <t>Diego Felipe Cadena Florez</t>
  </si>
  <si>
    <t>Maria Fernanda Vargas Forero</t>
  </si>
  <si>
    <t>Claudia Liliana Mendez Franco</t>
  </si>
  <si>
    <t>Eveling Julieth Carvajal Franco</t>
  </si>
  <si>
    <t>Carlos Alberto Gomez Galvis</t>
  </si>
  <si>
    <t>Deybi Johanna Cardenas Garavito</t>
  </si>
  <si>
    <t>27-06-1968</t>
  </si>
  <si>
    <t>Kelly Susan Yuranny Garavito</t>
  </si>
  <si>
    <t>Braulio Andres Mosquera Garces</t>
  </si>
  <si>
    <t>Jairo Andres Garcia García</t>
  </si>
  <si>
    <t>Jorge Armando Roa García</t>
  </si>
  <si>
    <t>Liseht Johana Martinez García</t>
  </si>
  <si>
    <t>Luz Marina Fajardo García</t>
  </si>
  <si>
    <t>25-08-1968</t>
  </si>
  <si>
    <t>Hefzi Katherine Sepulveda García</t>
  </si>
  <si>
    <t>Maria Madeleyne Chacon García</t>
  </si>
  <si>
    <t>Lina Maria Rodriguez García</t>
  </si>
  <si>
    <t>15-06-1965</t>
  </si>
  <si>
    <t>Monica Paola Pimiento Garrido</t>
  </si>
  <si>
    <t>Erick Johann Pino Gasca</t>
  </si>
  <si>
    <t>16-06-1974</t>
  </si>
  <si>
    <t>Elkin Antonio Camargo Gil</t>
  </si>
  <si>
    <t>Aida Juliet Palomino Gil</t>
  </si>
  <si>
    <t>Leydi Johana Orejuela Gomez</t>
  </si>
  <si>
    <t>Ana Delia Garcia Gomez</t>
  </si>
  <si>
    <t>Liliana Marcela Ortiz Gomez</t>
  </si>
  <si>
    <t>Sandra Milena Merchan Gomez</t>
  </si>
  <si>
    <t>Astrid Milena Villalba Gómez</t>
  </si>
  <si>
    <t>Ronald Martín Maldonado Gómez</t>
  </si>
  <si>
    <t>Paola Andrea Ardila González</t>
  </si>
  <si>
    <t>Jeffrier Duvan Abaunza González</t>
  </si>
  <si>
    <t>Silvia Paola Valdivieso González</t>
  </si>
  <si>
    <t>Derly Cecilia Pimentel González</t>
  </si>
  <si>
    <t>Luz Dary Pedrozo Goyeneche</t>
  </si>
  <si>
    <t>21-09-1970</t>
  </si>
  <si>
    <t>Nathaly Johana Guerrero Grateron</t>
  </si>
  <si>
    <t>Edwin Alexander Romero Guarin</t>
  </si>
  <si>
    <t>Luz Annys Suarez Guerrero</t>
  </si>
  <si>
    <t xml:space="preserve">Carlos Andres Mahecha </t>
  </si>
  <si>
    <t>Aixa Mildreb Chaparro Guerrero</t>
  </si>
  <si>
    <t>Leidy Yohana Martinez Hernández</t>
  </si>
  <si>
    <t>Hector Hernando Hernandez Hernández</t>
  </si>
  <si>
    <t>Maria Fernanda Gomez Hernández</t>
  </si>
  <si>
    <t>Claudia Maritza Ramirez Hernández</t>
  </si>
  <si>
    <t>Leydi Johana Almeida Hernández</t>
  </si>
  <si>
    <t>Carlos Enrique Gonzalez Herrera</t>
  </si>
  <si>
    <t>Diana Marcela Oliveros Herrera</t>
  </si>
  <si>
    <t>Erika Lizeth Aguilar Herrera</t>
  </si>
  <si>
    <t>Yeiny Yareth Nuñez Herrera</t>
  </si>
  <si>
    <t>David Andres Ardila Herrera</t>
  </si>
  <si>
    <t>Aumerle De Bernate Izquierdo</t>
  </si>
  <si>
    <t>Constanza Paola Cruz Jaimes</t>
  </si>
  <si>
    <t>Ruth Mayerly Garnica Jaimes</t>
  </si>
  <si>
    <t>Maria Margarita Pedraza Jaimes</t>
  </si>
  <si>
    <t>Miguel Angel Leaño Jaimes</t>
  </si>
  <si>
    <t>Monica Julieth Rojas Jaimes</t>
  </si>
  <si>
    <t>Ingrid Zuley Florez Jaimes</t>
  </si>
  <si>
    <t>21-09-1966</t>
  </si>
  <si>
    <t>Maria Fernanda Durán Jaimes</t>
  </si>
  <si>
    <t>Jose Arturo Gonzalez Jaramillo</t>
  </si>
  <si>
    <t>Erika Sulay Abaunza Jerez</t>
  </si>
  <si>
    <t>Diana Carolina Mendez Jerez</t>
  </si>
  <si>
    <t>Laura Constanza Martinez Jerez</t>
  </si>
  <si>
    <t>Cesar Andres Niño Jimenez</t>
  </si>
  <si>
    <t>Ivan Dario Riveros Jurado</t>
  </si>
  <si>
    <t>Myriam Yessenia Urbina Laguado</t>
  </si>
  <si>
    <t>Lisseth Mayerly Torres Landazábal</t>
  </si>
  <si>
    <t>Ingrid Katherine Marin Larrota</t>
  </si>
  <si>
    <t>Karen Marcela Cortes Leon</t>
  </si>
  <si>
    <t>Betsy Paola Aguilar León</t>
  </si>
  <si>
    <t>Cindy Paola Marquez Lesmes</t>
  </si>
  <si>
    <t>Andrea Paola Calderon López</t>
  </si>
  <si>
    <t>Manuel Roberto Lopez López</t>
  </si>
  <si>
    <t>Nancy Ley Pautt Madero</t>
  </si>
  <si>
    <t>Sandra Milena Valencia Maldonado</t>
  </si>
  <si>
    <t>Diana Rocio Valencia Maldonado</t>
  </si>
  <si>
    <t>Leidy Marcela Barajas Mancipe</t>
  </si>
  <si>
    <t>Ivonne Nathalia Pinto Manrique</t>
  </si>
  <si>
    <t>Diana Marcela Guarin Mantilla</t>
  </si>
  <si>
    <t>Maria Eugenia Garcia Mantilla</t>
  </si>
  <si>
    <t>Yenny Ferley Prieto Mantilla</t>
  </si>
  <si>
    <t>Maria Fernanda Pardo Mantilla</t>
  </si>
  <si>
    <t>Leidy Johanna Mendez Mantilla</t>
  </si>
  <si>
    <t>Yenny Carola Hernandez Manzano</t>
  </si>
  <si>
    <t>Genny Patricia Briñez Martínez</t>
  </si>
  <si>
    <t>Pedro Eduardo Oviedo Martínez</t>
  </si>
  <si>
    <t>Orlando Jose Vale Martínez</t>
  </si>
  <si>
    <t>Jenny Katherine Nosa Martínez</t>
  </si>
  <si>
    <t>Yadira Liseth Higuera Matajira</t>
  </si>
  <si>
    <t>Eddy Cristina Suarez Matta</t>
  </si>
  <si>
    <t>Johanna Maria Aguirre Medina</t>
  </si>
  <si>
    <t>Andrea Paola Sandoval Mejia</t>
  </si>
  <si>
    <t>Mary Carolina Pinzon Melgarejo</t>
  </si>
  <si>
    <t>Sandra Milena Ochoa Mendoza</t>
  </si>
  <si>
    <t>Ruth Milena Molina Mendoza</t>
  </si>
  <si>
    <t>Mabeelyn Constanza Vanegas Mendoza</t>
  </si>
  <si>
    <t>Luis Manuel Camaño Millan</t>
  </si>
  <si>
    <t>Erick Jefferson Mayorga Mojica</t>
  </si>
  <si>
    <t>Erika Marcela Arboleda Monsalve</t>
  </si>
  <si>
    <t>Nury Yurley Rojas Monsalve</t>
  </si>
  <si>
    <t>Sandra Milena Martinez Montero</t>
  </si>
  <si>
    <t>26-10-1966</t>
  </si>
  <si>
    <t>Ingrid Sofia Delgadillo Morales</t>
  </si>
  <si>
    <t>Laura Rocio Forero Moreno</t>
  </si>
  <si>
    <t>Jenny Paola Peña Moreno</t>
  </si>
  <si>
    <t>Edward Fabian Correa Mosquera</t>
  </si>
  <si>
    <t>Diana Andrea Pinto Muñoz</t>
  </si>
  <si>
    <t>Karol Juliana Celis Muñoz</t>
  </si>
  <si>
    <t>Tania Yessica Lizarazo Muñoz</t>
  </si>
  <si>
    <t>Claudia Patricia Mantilla Navarro</t>
  </si>
  <si>
    <t>Jenny Rocio Mantilla Navarro</t>
  </si>
  <si>
    <t>Deisy Alexandra Tarazona Nova</t>
  </si>
  <si>
    <t>Julian David Rivera Nova</t>
  </si>
  <si>
    <t>Honathan Augusto Pedraza Núñez</t>
  </si>
  <si>
    <t>John Alexander Rueda Núñez</t>
  </si>
  <si>
    <t>Yury Marcela Barrera Núñez</t>
  </si>
  <si>
    <t>Eduardo Alberto Ferreira Ochoa</t>
  </si>
  <si>
    <t>Edys Sulvey Mojica Olachica</t>
  </si>
  <si>
    <t>Laura Natalia Garcia Ordoñez</t>
  </si>
  <si>
    <t>Julvia Lizeth Bejarano Orduz</t>
  </si>
  <si>
    <t>Kelly Juliana Reyes Orduz</t>
  </si>
  <si>
    <t>Diecy Fernando Sanchez Orozco</t>
  </si>
  <si>
    <t>Maria Rosa Ovalle Orozco</t>
  </si>
  <si>
    <t>Yuly Andrea Saavedra Ortega</t>
  </si>
  <si>
    <t>5-10-1968</t>
  </si>
  <si>
    <t>Diana Carolina Carvajal Ortega</t>
  </si>
  <si>
    <t>Leidy Stefani Umaña Ortega</t>
  </si>
  <si>
    <t>Leidy Milena Lipez Ortiz</t>
  </si>
  <si>
    <t>Yuly Andrea Lipez Ortiz</t>
  </si>
  <si>
    <t>Maria Ines Poveda Ortiz</t>
  </si>
  <si>
    <t>Yuly Lizeth Ramirez Osorio</t>
  </si>
  <si>
    <t>Sindy Vanessa Aparicio Ospina</t>
  </si>
  <si>
    <t>Laura Marcela Alvarado Ospino</t>
  </si>
  <si>
    <t>Olga Rocio García Oviedo</t>
  </si>
  <si>
    <t>1-09-1974</t>
  </si>
  <si>
    <t>Claudia Liliana Solano Pacheco</t>
  </si>
  <si>
    <t>Cindy Johana Carrascal Palomino</t>
  </si>
  <si>
    <t>Jeisson Alberto Ortiz Pardo</t>
  </si>
  <si>
    <t>Carol Viviana Hillon Pardo</t>
  </si>
  <si>
    <t>Yerly Tatiana Gomez Parra</t>
  </si>
  <si>
    <t>Sergio Alfonso Silva Parra</t>
  </si>
  <si>
    <t>Honnathan Stewar Albanes Parra</t>
  </si>
  <si>
    <t>Eddy Rocio Parra Parra</t>
  </si>
  <si>
    <t>Yurany Lizett Triana Patiño</t>
  </si>
  <si>
    <t>Edgar Stven Vera Pava</t>
  </si>
  <si>
    <t>Diana Katherine Rueda Pedraza</t>
  </si>
  <si>
    <t>Fabian Andres Rueda Peña</t>
  </si>
  <si>
    <t>Francy Mayerly Bautista Peña</t>
  </si>
  <si>
    <t>Cindy Jannette Duitama Peñaranda</t>
  </si>
  <si>
    <t>1-06-1968</t>
  </si>
  <si>
    <t>Lili Milena Martinez Peñuela</t>
  </si>
  <si>
    <t>Eime Katherine Galvan Perez</t>
  </si>
  <si>
    <t>Leidy Vanessa Romero Perez</t>
  </si>
  <si>
    <t>Michely Andrea Gómez Pérez</t>
  </si>
  <si>
    <t>Jose Fabian Leguizamon Perilla</t>
  </si>
  <si>
    <t>Luz Dary Echeverry Pico</t>
  </si>
  <si>
    <t>Yesenia Yuslay Gualdron Pico</t>
  </si>
  <si>
    <t>Ruth Alejandra Trujillo Pilonieta</t>
  </si>
  <si>
    <t>Alvaro Javier García Pineda</t>
  </si>
  <si>
    <t>Edinson Mauricio Vesga Pinilla</t>
  </si>
  <si>
    <t>Mary Hibeth Dominguez Pinto</t>
  </si>
  <si>
    <t>Navor Devinson León Pinzón</t>
  </si>
  <si>
    <t>Fabio Andres Castellanos Pinzón</t>
  </si>
  <si>
    <t>Andrea Zamary Rueda Plata</t>
  </si>
  <si>
    <t>Alveiro Yosimar Bautista Porras</t>
  </si>
  <si>
    <t>Lenyth Amparo Jurado Portilla</t>
  </si>
  <si>
    <t>Andrea Carolina Jaimes Quintero</t>
  </si>
  <si>
    <t>José Luis Osorio Quintero</t>
  </si>
  <si>
    <t>Karol Viviana Villamizar Quiroga</t>
  </si>
  <si>
    <t>Fredy Armando Gomez Ramírez</t>
  </si>
  <si>
    <t>Edwin Mauricio Villegas Ramírez</t>
  </si>
  <si>
    <t>Freddy Alfonso Tarazona Ramírez</t>
  </si>
  <si>
    <t>Ruth Alexandra Rodriguez Ramírez</t>
  </si>
  <si>
    <t>Yuly Paola Vargas Ramírez</t>
  </si>
  <si>
    <t>Fabian Eduardo Osma Ramírez</t>
  </si>
  <si>
    <t>Blanca Nelly Duque Ramírez</t>
  </si>
  <si>
    <t>Maria Consuelo Rangel Rangel</t>
  </si>
  <si>
    <t>Sergio Andres Murillo Reyes</t>
  </si>
  <si>
    <t>Dina Yorley Niño Rios</t>
  </si>
  <si>
    <t>Angie Viviana Jaimes Rios</t>
  </si>
  <si>
    <t>Jhonatan Mauricio Mendoza Rivera</t>
  </si>
  <si>
    <t>Darlin Nathaly Rodriguez Rivera</t>
  </si>
  <si>
    <t>Claudia Patricia Cortez Rivera</t>
  </si>
  <si>
    <t>Jair Alexis Rodríguez Rivera</t>
  </si>
  <si>
    <t>Sandra Milena Mora Rivero</t>
  </si>
  <si>
    <t>Leidy Mayerly Hernandez Roa</t>
  </si>
  <si>
    <t>Alvaro Jair Rojas Roa</t>
  </si>
  <si>
    <t>24-08-1966</t>
  </si>
  <si>
    <t>Gerson Julian Grueso Rodríguez</t>
  </si>
  <si>
    <t>Luz Angelica Arevalo Rodríguez</t>
  </si>
  <si>
    <t>Silvia Juliana Peña Rodríguez</t>
  </si>
  <si>
    <t>Oscar Mauricio Ardila Rodríguez</t>
  </si>
  <si>
    <t>Maira Alejandra Villamizar Rodríguez</t>
  </si>
  <si>
    <t>Carlos Javier Escobar Rodríguez</t>
  </si>
  <si>
    <t>Andrés Mauricio Linares Rojas</t>
  </si>
  <si>
    <t>Dania Magerly Tuta Rojas</t>
  </si>
  <si>
    <t>Silvia Juliana Reyes Rojas</t>
  </si>
  <si>
    <t>Diego Fernando Diaz Rojas</t>
  </si>
  <si>
    <t>Cindy Katherine Ayala Rojas</t>
  </si>
  <si>
    <t>Luisa Fernanda Cardenas Rojas</t>
  </si>
  <si>
    <t>Carlos Alberto Gomez Romero</t>
  </si>
  <si>
    <t>Diego Daniel Rodriguez Romero</t>
  </si>
  <si>
    <t>Leidy Yadira Peñuela Rueda</t>
  </si>
  <si>
    <t>Lida Ester Peñuela Rueda</t>
  </si>
  <si>
    <t>Martha Liliana Pineda Rugeles</t>
  </si>
  <si>
    <t>Saira Maria Martinez Saenz</t>
  </si>
  <si>
    <t>Oscar Javier Torres Sanabria</t>
  </si>
  <si>
    <t>Laura Esther Contreras Sandoval</t>
  </si>
  <si>
    <t>5-05-1970</t>
  </si>
  <si>
    <t>Silvia Marcela Niño Santamaria</t>
  </si>
  <si>
    <t>Jennifer Johanna Duarte Santos</t>
  </si>
  <si>
    <t>Sonia Patricia Porras Sarmiento</t>
  </si>
  <si>
    <t>Adriana Milena Rueda Sarmiento</t>
  </si>
  <si>
    <t>Elkin Javier Duarte Sarmiento</t>
  </si>
  <si>
    <t>Yenny Alexandra Alarcón Sepúlveda</t>
  </si>
  <si>
    <t>Jennifer Stifen Pico Silva</t>
  </si>
  <si>
    <t>Zayra Juliana Pabon Silva</t>
  </si>
  <si>
    <t>Hector Jose Delgado Silva</t>
  </si>
  <si>
    <t>19-09-1968</t>
  </si>
  <si>
    <t>Diana Marcela Ramirez Suarez</t>
  </si>
  <si>
    <t>Paola Andrea Mantilla Suarez</t>
  </si>
  <si>
    <t>Claudia Patricia Garcia Tarazona</t>
  </si>
  <si>
    <t>24-01-1974</t>
  </si>
  <si>
    <t>Ingry Tatiana Lopez Tarazona</t>
  </si>
  <si>
    <t>Diana Marcela Calderon Thomas</t>
  </si>
  <si>
    <t>Jesus David Serrano Torres</t>
  </si>
  <si>
    <t>Yajanys Del Hernandez Torres</t>
  </si>
  <si>
    <t>Yerlith Yaneth Fajardo Torres</t>
  </si>
  <si>
    <t>Silvia Juliana Mejia Torres</t>
  </si>
  <si>
    <t>Dirley Katherine Niño Torres</t>
  </si>
  <si>
    <t>Sandra Liliana Sierra Uribe</t>
  </si>
  <si>
    <t>Jazmin Andrea Montoya Urrea</t>
  </si>
  <si>
    <t>Silvia Patricia Ramirez Vale</t>
  </si>
  <si>
    <t>John Freddy Peña Vargas</t>
  </si>
  <si>
    <t>Lisseth Yajaira Martinez Vargas</t>
  </si>
  <si>
    <t>Dilma Yaneth Sandoval Vargas</t>
  </si>
  <si>
    <t>Smith Johana Sarmiento Vargas</t>
  </si>
  <si>
    <t>Dary Milena Olaya Vargas</t>
  </si>
  <si>
    <t>Juan De Pinto Vargas</t>
  </si>
  <si>
    <t>Jenny Paola Bohorquez Vasquez</t>
  </si>
  <si>
    <t>Diana Maria Vargas Vega</t>
  </si>
  <si>
    <t>5-01-1966</t>
  </si>
  <si>
    <t>Claudia Patricia Vargas Vega</t>
  </si>
  <si>
    <t>Miriam Rosalba Rojas Vega</t>
  </si>
  <si>
    <t>Hayder Fernando Perdomo Verdugo</t>
  </si>
  <si>
    <t>Jaime Aldemar Cespedes Vesga</t>
  </si>
  <si>
    <t>Paola Cristina Pinzon Villabona</t>
  </si>
  <si>
    <t>Lidy Yaneth Cabeza Villamizar</t>
  </si>
  <si>
    <t>Cesar Andrey Lamus Villamizar</t>
  </si>
  <si>
    <t>Angelica Maria Aguilar Villamizar</t>
  </si>
  <si>
    <t>Yenny Carolina Aguilar Villamizar</t>
  </si>
  <si>
    <t>Johana Marcela Ramirez Villamizar</t>
  </si>
  <si>
    <t>Laura Marcela Pedrozo Zapata</t>
  </si>
  <si>
    <t>Jimmy Alejandro Gomez Zuluaga</t>
  </si>
  <si>
    <t>Etiquetas de fila</t>
  </si>
  <si>
    <t>Total general</t>
  </si>
  <si>
    <t>Suma de Valor Consulta</t>
  </si>
  <si>
    <t>Promedio de Valor Consulta</t>
  </si>
  <si>
    <t>Cuenta de Paciente</t>
  </si>
  <si>
    <t>Cuenta de Sucursal-Jornada</t>
  </si>
  <si>
    <t xml:space="preserve">  Valor Consulta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</si>
</sst>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-&quot;$&quot;\ * #,##0_-;\-&quot;$&quot;\ * #,##0_-;_-&quot;$&quot;\ * &quot;-&quot;_-;_-@_-"/>
    <numFmt numFmtId="44" formatCode="_-&quot;$&quot;\ * #,##0.00_-;\-&quot;$&quot;\ * #,##0.00_-;_-&quot;$&quot;\ * &quot;-&quot;??_-;_-@_-"/>
    <numFmt numFmtId="164" formatCode="dd\-mm\-yy;@"/>
    <numFmt numFmtId="165" formatCode="&quot;$&quot;\ #,##0"/>
    <numFmt numFmtId="166" formatCode="_-&quot;XDR&quot;* #,##0.00_-;\-&quot;XDR&quot;* #,##0.00_-;_-&quot;XDR&quot;* &quot;-&quot;??_-;_-@_-"/>
    <numFmt numFmtId="167" formatCode="[$$-240A]\ #,##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8"/>
      <color theme="1"/>
      <name val="Arial"/>
      <family val="2"/>
    </font>
    <font>
      <sz val="8"/>
      <color rgb="FF003366"/>
      <name val="Arial"/>
      <family val="2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/>
        <bgColor rgb="FF000000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7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rgb="FFC0C0C0"/>
      </top>
      <bottom/>
      <diagonal/>
    </border>
    <border>
      <left/>
      <right/>
      <top style="hair">
        <color rgb="FFC0C0C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>
      <alignment vertical="top"/>
    </xf>
    <xf numFmtId="166" fontId="1" fillId="0" borderId="0" applyFont="0" applyFill="0" applyBorder="0" applyAlignment="0" applyProtection="0"/>
    <xf numFmtId="42" fontId="1" fillId="0" borderId="0" applyFont="0" applyFill="0" applyBorder="0" applyAlignment="0" applyProtection="0"/>
  </cellStyleXfs>
  <cellXfs count="41">
    <xf numFmtId="0" fontId="0" fillId="0" borderId="0" xfId="0"/>
    <xf numFmtId="0" fontId="4" fillId="4" borderId="1" xfId="2" applyFont="1" applyFill="1" applyBorder="1" applyAlignment="1">
      <alignment horizontal="center" vertical="center"/>
    </xf>
    <xf numFmtId="1" fontId="4" fillId="4" borderId="1" xfId="2" applyNumberFormat="1" applyFont="1" applyFill="1" applyBorder="1" applyAlignment="1">
      <alignment horizontal="center" vertical="center"/>
    </xf>
    <xf numFmtId="164" fontId="4" fillId="4" borderId="1" xfId="2" applyNumberFormat="1" applyFont="1" applyFill="1" applyBorder="1" applyAlignment="1">
      <alignment horizontal="center" vertical="center"/>
    </xf>
    <xf numFmtId="165" fontId="4" fillId="4" borderId="1" xfId="1" applyNumberFormat="1" applyFont="1" applyFill="1" applyBorder="1" applyAlignment="1">
      <alignment horizontal="center" vertical="center"/>
    </xf>
    <xf numFmtId="0" fontId="4" fillId="4" borderId="1" xfId="2" applyFont="1" applyFill="1" applyBorder="1" applyAlignment="1">
      <alignment vertical="center"/>
    </xf>
    <xf numFmtId="0" fontId="4" fillId="4" borderId="1" xfId="2" applyFont="1" applyFill="1" applyBorder="1" applyAlignment="1">
      <alignment horizontal="left" vertical="center"/>
    </xf>
    <xf numFmtId="0" fontId="4" fillId="0" borderId="2" xfId="2" applyFont="1" applyBorder="1" applyAlignment="1">
      <alignment horizontal="center" vertical="center"/>
    </xf>
    <xf numFmtId="1" fontId="4" fillId="0" borderId="2" xfId="2" applyNumberFormat="1" applyFont="1" applyBorder="1" applyAlignment="1">
      <alignment horizontal="center" vertical="center"/>
    </xf>
    <xf numFmtId="164" fontId="4" fillId="0" borderId="2" xfId="2" applyNumberFormat="1" applyFont="1" applyBorder="1" applyAlignment="1">
      <alignment horizontal="center" vertical="center"/>
    </xf>
    <xf numFmtId="165" fontId="4" fillId="0" borderId="2" xfId="1" applyNumberFormat="1" applyFont="1" applyBorder="1" applyAlignment="1">
      <alignment horizontal="center" vertical="center"/>
    </xf>
    <xf numFmtId="0" fontId="4" fillId="0" borderId="2" xfId="2" applyFont="1" applyBorder="1" applyAlignment="1">
      <alignment vertical="center"/>
    </xf>
    <xf numFmtId="0" fontId="4" fillId="0" borderId="2" xfId="2" applyFont="1" applyBorder="1" applyAlignment="1">
      <alignment horizontal="left" vertical="center"/>
    </xf>
    <xf numFmtId="0" fontId="4" fillId="4" borderId="2" xfId="2" applyFont="1" applyFill="1" applyBorder="1" applyAlignment="1">
      <alignment horizontal="center" vertical="center"/>
    </xf>
    <xf numFmtId="1" fontId="4" fillId="4" borderId="2" xfId="2" applyNumberFormat="1" applyFont="1" applyFill="1" applyBorder="1" applyAlignment="1">
      <alignment horizontal="center" vertical="center"/>
    </xf>
    <xf numFmtId="164" fontId="4" fillId="4" borderId="2" xfId="2" applyNumberFormat="1" applyFont="1" applyFill="1" applyBorder="1" applyAlignment="1">
      <alignment horizontal="center" vertical="center"/>
    </xf>
    <xf numFmtId="165" fontId="4" fillId="4" borderId="2" xfId="1" applyNumberFormat="1" applyFont="1" applyFill="1" applyBorder="1" applyAlignment="1">
      <alignment horizontal="center" vertical="center"/>
    </xf>
    <xf numFmtId="0" fontId="4" fillId="4" borderId="2" xfId="2" applyFont="1" applyFill="1" applyBorder="1" applyAlignment="1">
      <alignment vertical="center"/>
    </xf>
    <xf numFmtId="0" fontId="4" fillId="4" borderId="2" xfId="2" applyFont="1" applyFill="1" applyBorder="1" applyAlignment="1">
      <alignment horizontal="left" vertical="center"/>
    </xf>
    <xf numFmtId="0" fontId="0" fillId="6" borderId="0" xfId="0" applyFill="1"/>
    <xf numFmtId="0" fontId="0" fillId="7" borderId="0" xfId="0" applyFill="1"/>
    <xf numFmtId="0" fontId="0" fillId="8" borderId="0" xfId="0" applyFill="1"/>
    <xf numFmtId="0" fontId="4" fillId="3" borderId="0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167" fontId="4" fillId="4" borderId="1" xfId="3" applyNumberFormat="1" applyFont="1" applyFill="1" applyBorder="1" applyAlignment="1">
      <alignment horizontal="center" vertical="center"/>
    </xf>
    <xf numFmtId="167" fontId="4" fillId="0" borderId="2" xfId="3" applyNumberFormat="1" applyFont="1" applyBorder="1" applyAlignment="1">
      <alignment horizontal="center" vertical="center"/>
    </xf>
    <xf numFmtId="167" fontId="4" fillId="4" borderId="2" xfId="3" applyNumberFormat="1" applyFont="1" applyFill="1" applyBorder="1" applyAlignment="1">
      <alignment horizontal="center" vertical="center"/>
    </xf>
    <xf numFmtId="0" fontId="3" fillId="2" borderId="4" xfId="2" applyFont="1" applyFill="1" applyBorder="1" applyAlignment="1">
      <alignment horizontal="center" vertical="center"/>
    </xf>
    <xf numFmtId="0" fontId="3" fillId="2" borderId="5" xfId="2" applyFont="1" applyFill="1" applyBorder="1" applyAlignment="1">
      <alignment horizontal="center" vertical="center"/>
    </xf>
    <xf numFmtId="0" fontId="3" fillId="2" borderId="6" xfId="2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0" fontId="0" fillId="0" borderId="0" xfId="0" applyNumberFormat="1"/>
    <xf numFmtId="10" fontId="0" fillId="0" borderId="0" xfId="0" applyNumberFormat="1"/>
    <xf numFmtId="42" fontId="0" fillId="8" borderId="0" xfId="4" applyFont="1" applyFill="1"/>
    <xf numFmtId="0" fontId="5" fillId="0" borderId="0" xfId="0" pivotButton="1" applyFont="1"/>
    <xf numFmtId="0" fontId="5" fillId="0" borderId="0" xfId="0" applyFont="1"/>
    <xf numFmtId="0" fontId="5" fillId="0" borderId="0" xfId="0" applyFont="1" applyAlignment="1">
      <alignment horizontal="left"/>
    </xf>
    <xf numFmtId="167" fontId="5" fillId="0" borderId="0" xfId="0" applyNumberFormat="1" applyFont="1"/>
  </cellXfs>
  <cellStyles count="5">
    <cellStyle name="Moneda" xfId="1" builtinId="4"/>
    <cellStyle name="Moneda [0]" xfId="4" builtinId="7"/>
    <cellStyle name="Moneda 2" xfId="3" xr:uid="{A376E00C-576E-466F-BB26-8C02F30370A1}"/>
    <cellStyle name="Normal" xfId="0" builtinId="0"/>
    <cellStyle name="Normal 2" xfId="2" xr:uid="{AD0B47C8-D8F6-40B0-8E44-3DD4BDE203F9}"/>
  </cellStyles>
  <dxfs count="121"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family val="2"/>
        <scheme val="none"/>
      </font>
      <fill>
        <patternFill patternType="solid">
          <fgColor rgb="FF000000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numFmt numFmtId="167" formatCode="[$$-240A]\ #,##0"/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numFmt numFmtId="165" formatCode="&quot;$&quot;\ #,##0"/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numFmt numFmtId="164" formatCode="dd\-mm\-yy;@"/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numFmt numFmtId="1" formatCode="0"/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theme="4" tint="0.79998168889431442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hair">
          <color rgb="FFC0C0C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3366"/>
        <name val="Arial"/>
        <family val="2"/>
        <scheme val="none"/>
      </font>
      <fill>
        <patternFill patternType="solid">
          <fgColor rgb="FF000000"/>
          <bgColor theme="7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hair">
          <color rgb="FFC0C0C0"/>
        </top>
        <bottom/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tyles" Target="styles.xml"/><Relationship Id="rId5" Type="http://schemas.microsoft.com/office/2007/relationships/slicerCache" Target="slicerCaches/slicerCache1.xml"/><Relationship Id="rId10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microsoft.com/office/2007/relationships/slicerCache" Target="slicerCaches/slicerCache5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 IPS.xlsx]TABLAS DINAMICAS!TablaDinámica3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CANTIDAD DE PACIENTES POR SUCURSAL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dLbl>
      </c:pivotFmt>
      <c:pivotFmt>
        <c:idx val="2"/>
        <c:spPr>
          <a:ln w="28575" cap="rnd">
            <a:solidFill>
              <a:schemeClr val="accent6">
                <a:lumMod val="5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'TABLAS DINAMICAS'!$A$29:$A$38</c:f>
              <c:strCache>
                <c:ptCount val="9"/>
                <c:pt idx="0">
                  <c:v>Cabecera-Día</c:v>
                </c:pt>
                <c:pt idx="1">
                  <c:v>Cabecera-Noche</c:v>
                </c:pt>
                <c:pt idx="2">
                  <c:v>Cabecera-Tarde</c:v>
                </c:pt>
                <c:pt idx="3">
                  <c:v>Cañaveral-Día</c:v>
                </c:pt>
                <c:pt idx="4">
                  <c:v>Cañaveral-Noche</c:v>
                </c:pt>
                <c:pt idx="5">
                  <c:v>Cañaveral-Tarde</c:v>
                </c:pt>
                <c:pt idx="6">
                  <c:v>Floridablanca-Día</c:v>
                </c:pt>
                <c:pt idx="7">
                  <c:v>Floridablanca-Noche</c:v>
                </c:pt>
                <c:pt idx="8">
                  <c:v>Floridablanca-Tarde</c:v>
                </c:pt>
              </c:strCache>
            </c:strRef>
          </c:cat>
          <c:val>
            <c:numRef>
              <c:f>'TABLAS DINAMICAS'!$B$29:$B$38</c:f>
              <c:numCache>
                <c:formatCode>General</c:formatCode>
                <c:ptCount val="9"/>
                <c:pt idx="0">
                  <c:v>67</c:v>
                </c:pt>
                <c:pt idx="1">
                  <c:v>25</c:v>
                </c:pt>
                <c:pt idx="2">
                  <c:v>38</c:v>
                </c:pt>
                <c:pt idx="3">
                  <c:v>49</c:v>
                </c:pt>
                <c:pt idx="4">
                  <c:v>15</c:v>
                </c:pt>
                <c:pt idx="5">
                  <c:v>34</c:v>
                </c:pt>
                <c:pt idx="6">
                  <c:v>66</c:v>
                </c:pt>
                <c:pt idx="7">
                  <c:v>24</c:v>
                </c:pt>
                <c:pt idx="8">
                  <c:v>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9D-4067-A4E4-E8A294D9AB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276767"/>
        <c:axId val="217295487"/>
      </c:lineChart>
      <c:catAx>
        <c:axId val="21727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295487"/>
        <c:crosses val="autoZero"/>
        <c:auto val="1"/>
        <c:lblAlgn val="ctr"/>
        <c:lblOffset val="100"/>
        <c:noMultiLvlLbl val="0"/>
      </c:catAx>
      <c:valAx>
        <c:axId val="2172954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27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 IPS.xlsx]TABLAS DINAMICAS!TablaDinámica2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</a:t>
            </a:r>
            <a:r>
              <a:rPr lang="en-US" baseline="0"/>
              <a:t> DE PACIENTES POR GENERO</a:t>
            </a:r>
            <a:endParaRPr lang="en-US"/>
          </a:p>
        </c:rich>
      </c:tx>
      <c:layout>
        <c:manualLayout>
          <c:xMode val="edge"/>
          <c:yMode val="edge"/>
          <c:x val="0.14550354609929081"/>
          <c:y val="6.59658053882198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rgbClr val="FFC000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15-4B74-AD0F-C84547FA0290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15-4B74-AD0F-C84547FA029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DINAMICAS'!$A$21:$A$23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'TABLAS DINAMICAS'!$B$21:$B$23</c:f>
              <c:numCache>
                <c:formatCode>0.00%</c:formatCode>
                <c:ptCount val="2"/>
                <c:pt idx="0">
                  <c:v>0.70270270270270274</c:v>
                </c:pt>
                <c:pt idx="1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E15-4B74-AD0F-C84547FA0290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 IPS.xlsx]TABLAS DINAMICAS!TablaDinámica2</c:name>
    <c:fmtId val="0"/>
  </c:pivotSource>
  <c:chart>
    <c:title>
      <c:layout>
        <c:manualLayout>
          <c:xMode val="edge"/>
          <c:yMode val="edge"/>
          <c:x val="0.45482633420822405"/>
          <c:y val="7.30533683289588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'TABLAS DINAMICAS'!$B$20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'TABLAS DINAMICAS'!$A$21:$A$23</c:f>
              <c:strCache>
                <c:ptCount val="2"/>
                <c:pt idx="0">
                  <c:v>Femenino</c:v>
                </c:pt>
                <c:pt idx="1">
                  <c:v>masculino</c:v>
                </c:pt>
              </c:strCache>
            </c:strRef>
          </c:cat>
          <c:val>
            <c:numRef>
              <c:f>'TABLAS DINAMICAS'!$B$21:$B$23</c:f>
              <c:numCache>
                <c:formatCode>0.00%</c:formatCode>
                <c:ptCount val="2"/>
                <c:pt idx="0">
                  <c:v>0.70270270270270274</c:v>
                </c:pt>
                <c:pt idx="1">
                  <c:v>0.29729729729729731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2B-4F06-BAC3-6FC5339E2C0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 IPS.xlsx]TABLAS DINAMICAS!TablaDinámica3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'TABLAS DINAMICAS'!$B$28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'TABLAS DINAMICAS'!$A$29:$A$38</c:f>
              <c:strCache>
                <c:ptCount val="9"/>
                <c:pt idx="0">
                  <c:v>Cabecera-Día</c:v>
                </c:pt>
                <c:pt idx="1">
                  <c:v>Cabecera-Noche</c:v>
                </c:pt>
                <c:pt idx="2">
                  <c:v>Cabecera-Tarde</c:v>
                </c:pt>
                <c:pt idx="3">
                  <c:v>Cañaveral-Día</c:v>
                </c:pt>
                <c:pt idx="4">
                  <c:v>Cañaveral-Noche</c:v>
                </c:pt>
                <c:pt idx="5">
                  <c:v>Cañaveral-Tarde</c:v>
                </c:pt>
                <c:pt idx="6">
                  <c:v>Floridablanca-Día</c:v>
                </c:pt>
                <c:pt idx="7">
                  <c:v>Floridablanca-Noche</c:v>
                </c:pt>
                <c:pt idx="8">
                  <c:v>Floridablanca-Tarde</c:v>
                </c:pt>
              </c:strCache>
            </c:strRef>
          </c:cat>
          <c:val>
            <c:numRef>
              <c:f>'TABLAS DINAMICAS'!$B$29:$B$38</c:f>
              <c:numCache>
                <c:formatCode>General</c:formatCode>
                <c:ptCount val="9"/>
                <c:pt idx="0">
                  <c:v>67</c:v>
                </c:pt>
                <c:pt idx="1">
                  <c:v>25</c:v>
                </c:pt>
                <c:pt idx="2">
                  <c:v>38</c:v>
                </c:pt>
                <c:pt idx="3">
                  <c:v>49</c:v>
                </c:pt>
                <c:pt idx="4">
                  <c:v>15</c:v>
                </c:pt>
                <c:pt idx="5">
                  <c:v>34</c:v>
                </c:pt>
                <c:pt idx="6">
                  <c:v>66</c:v>
                </c:pt>
                <c:pt idx="7">
                  <c:v>24</c:v>
                </c:pt>
                <c:pt idx="8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EF-4652-8209-087AD14CDA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7276767"/>
        <c:axId val="217295487"/>
      </c:lineChart>
      <c:catAx>
        <c:axId val="217276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295487"/>
        <c:crosses val="autoZero"/>
        <c:auto val="1"/>
        <c:lblAlgn val="ctr"/>
        <c:lblOffset val="100"/>
        <c:noMultiLvlLbl val="0"/>
      </c:catAx>
      <c:valAx>
        <c:axId val="217295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2767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[Tabla IPS.xlsx]TABLAS DINAMICAS!TablaDinámica4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'TABLAS DINAMICAS'!$B$44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'TABLAS DINAMICAS'!$A$45:$A$55</c:f>
              <c:strCache>
                <c:ptCount val="10"/>
                <c:pt idx="0">
                  <c:v>Carlos Alberto Villalobos Lozano</c:v>
                </c:pt>
                <c:pt idx="1">
                  <c:v>Carlos Andres Bernate Izquierdo</c:v>
                </c:pt>
                <c:pt idx="2">
                  <c:v>Edwin Fabian Diaz Toro</c:v>
                </c:pt>
                <c:pt idx="3">
                  <c:v>Francisco Jose Celis Camargo</c:v>
                </c:pt>
                <c:pt idx="4">
                  <c:v>Freddy  Gutierrez </c:v>
                </c:pt>
                <c:pt idx="5">
                  <c:v>Leisza Maritza Robles Rivera</c:v>
                </c:pt>
                <c:pt idx="6">
                  <c:v>Mayerly  Villamizar Rueda</c:v>
                </c:pt>
                <c:pt idx="7">
                  <c:v>Paola Andrea Ardila Gonzalez</c:v>
                </c:pt>
                <c:pt idx="8">
                  <c:v>Ruben Dario Rosas Caballero</c:v>
                </c:pt>
                <c:pt idx="9">
                  <c:v>Sergio Andres Estupiñan Perez</c:v>
                </c:pt>
              </c:strCache>
            </c:strRef>
          </c:cat>
          <c:val>
            <c:numRef>
              <c:f>'TABLAS DINAMICAS'!$B$45:$B$55</c:f>
              <c:numCache>
                <c:formatCode>General</c:formatCode>
                <c:ptCount val="10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16</c:v>
                </c:pt>
                <c:pt idx="5">
                  <c:v>14</c:v>
                </c:pt>
                <c:pt idx="6">
                  <c:v>14</c:v>
                </c:pt>
                <c:pt idx="7">
                  <c:v>14</c:v>
                </c:pt>
                <c:pt idx="8">
                  <c:v>16</c:v>
                </c:pt>
                <c:pt idx="9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F9-4222-95B4-307D4AAB6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7274367"/>
        <c:axId val="217301247"/>
      </c:barChart>
      <c:catAx>
        <c:axId val="217274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301247"/>
        <c:crosses val="autoZero"/>
        <c:auto val="1"/>
        <c:lblAlgn val="ctr"/>
        <c:lblOffset val="100"/>
        <c:noMultiLvlLbl val="0"/>
      </c:catAx>
      <c:valAx>
        <c:axId val="217301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217274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464344</xdr:colOff>
      <xdr:row>16</xdr:row>
      <xdr:rowOff>135730</xdr:rowOff>
    </xdr:from>
    <xdr:to>
      <xdr:col>11</xdr:col>
      <xdr:colOff>673895</xdr:colOff>
      <xdr:row>30</xdr:row>
      <xdr:rowOff>130969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888BDA-34B2-4081-ADB1-F1C15EF82D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273843</xdr:colOff>
      <xdr:row>17</xdr:row>
      <xdr:rowOff>35719</xdr:rowOff>
    </xdr:from>
    <xdr:to>
      <xdr:col>18</xdr:col>
      <xdr:colOff>178593</xdr:colOff>
      <xdr:row>30</xdr:row>
      <xdr:rowOff>130969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311E6544-1B8F-433C-8622-9039099465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497681</xdr:colOff>
      <xdr:row>5</xdr:row>
      <xdr:rowOff>95250</xdr:rowOff>
    </xdr:from>
    <xdr:to>
      <xdr:col>2</xdr:col>
      <xdr:colOff>410657</xdr:colOff>
      <xdr:row>13</xdr:row>
      <xdr:rowOff>47625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Genero 1">
              <a:extLst>
                <a:ext uri="{FF2B5EF4-FFF2-40B4-BE49-F238E27FC236}">
                  <a16:creationId xmlns:a16="http://schemas.microsoft.com/office/drawing/2014/main" id="{65B5AB26-E1C3-4AC5-B9A9-16EAF866704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97681" y="1047750"/>
              <a:ext cx="1835294" cy="1476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585788</xdr:colOff>
      <xdr:row>5</xdr:row>
      <xdr:rowOff>97631</xdr:rowOff>
    </xdr:from>
    <xdr:to>
      <xdr:col>4</xdr:col>
      <xdr:colOff>743970</xdr:colOff>
      <xdr:row>13</xdr:row>
      <xdr:rowOff>97630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Sucursal-Jornada 1">
              <a:extLst>
                <a:ext uri="{FF2B5EF4-FFF2-40B4-BE49-F238E27FC236}">
                  <a16:creationId xmlns:a16="http://schemas.microsoft.com/office/drawing/2014/main" id="{F540A3BE-45FE-4AF4-B95D-366CF5895E0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-Jornada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08106" y="1050131"/>
              <a:ext cx="2175750" cy="15239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23811</xdr:colOff>
      <xdr:row>5</xdr:row>
      <xdr:rowOff>76200</xdr:rowOff>
    </xdr:from>
    <xdr:to>
      <xdr:col>7</xdr:col>
      <xdr:colOff>654842</xdr:colOff>
      <xdr:row>13</xdr:row>
      <xdr:rowOff>100012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specialidad 1">
              <a:extLst>
                <a:ext uri="{FF2B5EF4-FFF2-40B4-BE49-F238E27FC236}">
                  <a16:creationId xmlns:a16="http://schemas.microsoft.com/office/drawing/2014/main" id="{174AE62D-1775-4743-8281-62B66D1F605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pecialidad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25697" y="1028700"/>
              <a:ext cx="2155031" cy="154781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8</xdr:col>
      <xdr:colOff>752475</xdr:colOff>
      <xdr:row>5</xdr:row>
      <xdr:rowOff>95250</xdr:rowOff>
    </xdr:from>
    <xdr:to>
      <xdr:col>11</xdr:col>
      <xdr:colOff>419100</xdr:colOff>
      <xdr:row>12</xdr:row>
      <xdr:rowOff>9525</xdr:rowOff>
    </xdr:to>
    <xdr:sp macro="" textlink="'TABLAS DINAMICAS'!B16">
      <xdr:nvSpPr>
        <xdr:cNvPr id="7" name="Rectángulo 6">
          <a:extLst>
            <a:ext uri="{FF2B5EF4-FFF2-40B4-BE49-F238E27FC236}">
              <a16:creationId xmlns:a16="http://schemas.microsoft.com/office/drawing/2014/main" id="{4F2F8CCD-C9B1-A4D3-B100-86217514CFF0}"/>
            </a:ext>
          </a:extLst>
        </xdr:cNvPr>
        <xdr:cNvSpPr/>
      </xdr:nvSpPr>
      <xdr:spPr>
        <a:xfrm>
          <a:off x="8020050" y="1047750"/>
          <a:ext cx="1952625" cy="12477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BC209482-AEDC-4A03-82D4-BFD13AC20A14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$ 69.478 </a:t>
          </a:fld>
          <a:endParaRPr lang="es-CO" sz="2400"/>
        </a:p>
      </xdr:txBody>
    </xdr:sp>
    <xdr:clientData/>
  </xdr:twoCellAnchor>
  <xdr:twoCellAnchor>
    <xdr:from>
      <xdr:col>11</xdr:col>
      <xdr:colOff>638175</xdr:colOff>
      <xdr:row>5</xdr:row>
      <xdr:rowOff>76200</xdr:rowOff>
    </xdr:from>
    <xdr:to>
      <xdr:col>14</xdr:col>
      <xdr:colOff>304800</xdr:colOff>
      <xdr:row>11</xdr:row>
      <xdr:rowOff>180975</xdr:rowOff>
    </xdr:to>
    <xdr:sp macro="" textlink="'TABLAS DINAMICAS'!B40">
      <xdr:nvSpPr>
        <xdr:cNvPr id="8" name="Rectángulo 7">
          <a:extLst>
            <a:ext uri="{FF2B5EF4-FFF2-40B4-BE49-F238E27FC236}">
              <a16:creationId xmlns:a16="http://schemas.microsoft.com/office/drawing/2014/main" id="{DAE209E2-C948-4BD3-9CFA-53EB618417BA}"/>
            </a:ext>
          </a:extLst>
        </xdr:cNvPr>
        <xdr:cNvSpPr/>
      </xdr:nvSpPr>
      <xdr:spPr>
        <a:xfrm>
          <a:off x="10186988" y="1028700"/>
          <a:ext cx="1952625" cy="1247775"/>
        </a:xfrm>
        <a:prstGeom prst="rect">
          <a:avLst/>
        </a:prstGeom>
        <a:solidFill>
          <a:schemeClr val="accent6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A9E5FD17-0F38-428B-BA01-C523CDE54D98}" type="TxLink">
            <a:rPr lang="en-US" sz="2800" b="0" i="0" u="none" strike="noStrike">
              <a:solidFill>
                <a:schemeClr val="bg1"/>
              </a:solidFill>
              <a:latin typeface="Aptos Narrow"/>
            </a:rPr>
            <a:pPr algn="ctr"/>
            <a:t>370</a:t>
          </a:fld>
          <a:endParaRPr lang="es-CO" sz="2800">
            <a:solidFill>
              <a:schemeClr val="bg1"/>
            </a:solidFill>
          </a:endParaRPr>
        </a:p>
      </xdr:txBody>
    </xdr:sp>
    <xdr:clientData/>
  </xdr:twoCellAnchor>
  <xdr:twoCellAnchor>
    <xdr:from>
      <xdr:col>14</xdr:col>
      <xdr:colOff>552450</xdr:colOff>
      <xdr:row>5</xdr:row>
      <xdr:rowOff>66675</xdr:rowOff>
    </xdr:from>
    <xdr:to>
      <xdr:col>17</xdr:col>
      <xdr:colOff>219075</xdr:colOff>
      <xdr:row>11</xdr:row>
      <xdr:rowOff>171450</xdr:rowOff>
    </xdr:to>
    <xdr:sp macro="" textlink="'TABLAS DINAMICAS'!B96">
      <xdr:nvSpPr>
        <xdr:cNvPr id="9" name="Rectángulo 8">
          <a:extLst>
            <a:ext uri="{FF2B5EF4-FFF2-40B4-BE49-F238E27FC236}">
              <a16:creationId xmlns:a16="http://schemas.microsoft.com/office/drawing/2014/main" id="{5F3B2252-E882-4B58-8888-939585852D5B}"/>
            </a:ext>
          </a:extLst>
        </xdr:cNvPr>
        <xdr:cNvSpPr/>
      </xdr:nvSpPr>
      <xdr:spPr>
        <a:xfrm>
          <a:off x="12392025" y="1019175"/>
          <a:ext cx="1952625" cy="1247775"/>
        </a:xfrm>
        <a:prstGeom prst="rect">
          <a:avLst/>
        </a:prstGeom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ctr"/>
          <a:fld id="{8211991E-AED9-4801-82F3-5C509C20E0C0}" type="TxLink">
            <a:rPr lang="en-US" sz="2400" b="0" i="0" u="none" strike="noStrike">
              <a:solidFill>
                <a:srgbClr val="000000"/>
              </a:solidFill>
              <a:latin typeface="Aptos Narrow"/>
            </a:rPr>
            <a:pPr algn="ctr"/>
            <a:t> $ 25.707.000 </a:t>
          </a:fld>
          <a:endParaRPr lang="es-CO" sz="2400"/>
        </a:p>
      </xdr:txBody>
    </xdr:sp>
    <xdr:clientData/>
  </xdr:twoCellAnchor>
  <xdr:oneCellAnchor>
    <xdr:from>
      <xdr:col>0</xdr:col>
      <xdr:colOff>477951</xdr:colOff>
      <xdr:row>0</xdr:row>
      <xdr:rowOff>0</xdr:rowOff>
    </xdr:from>
    <xdr:ext cx="4259035" cy="968983"/>
    <xdr:sp macro="" textlink="">
      <xdr:nvSpPr>
        <xdr:cNvPr id="10" name="CuadroTexto 9">
          <a:extLst>
            <a:ext uri="{FF2B5EF4-FFF2-40B4-BE49-F238E27FC236}">
              <a16:creationId xmlns:a16="http://schemas.microsoft.com/office/drawing/2014/main" id="{8EB98701-DD97-A1A7-1F4C-20AE25EF29F9}"/>
            </a:ext>
          </a:extLst>
        </xdr:cNvPr>
        <xdr:cNvSpPr txBox="1"/>
      </xdr:nvSpPr>
      <xdr:spPr>
        <a:xfrm>
          <a:off x="477951" y="0"/>
          <a:ext cx="4259035" cy="96898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2800" b="1"/>
            <a:t>INFORME DE SERVICIOS </a:t>
          </a:r>
        </a:p>
        <a:p>
          <a:r>
            <a:rPr lang="es-CO" sz="2800" b="1">
              <a:solidFill>
                <a:schemeClr val="accent6">
                  <a:lumMod val="50000"/>
                </a:schemeClr>
              </a:solidFill>
            </a:rPr>
            <a:t>IPS SUSALUD</a:t>
          </a:r>
        </a:p>
      </xdr:txBody>
    </xdr:sp>
    <xdr:clientData/>
  </xdr:oneCellAnchor>
  <xdr:oneCellAnchor>
    <xdr:from>
      <xdr:col>8</xdr:col>
      <xdr:colOff>714375</xdr:colOff>
      <xdr:row>5</xdr:row>
      <xdr:rowOff>178593</xdr:rowOff>
    </xdr:from>
    <xdr:ext cx="1833562" cy="436786"/>
    <xdr:sp macro="" textlink="">
      <xdr:nvSpPr>
        <xdr:cNvPr id="11" name="CuadroTexto 10">
          <a:extLst>
            <a:ext uri="{FF2B5EF4-FFF2-40B4-BE49-F238E27FC236}">
              <a16:creationId xmlns:a16="http://schemas.microsoft.com/office/drawing/2014/main" id="{2F3D595B-E3D6-048B-1666-073E5034F8B5}"/>
            </a:ext>
          </a:extLst>
        </xdr:cNvPr>
        <xdr:cNvSpPr txBox="1"/>
      </xdr:nvSpPr>
      <xdr:spPr>
        <a:xfrm>
          <a:off x="8536781" y="1131093"/>
          <a:ext cx="18335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/>
            <a:t>PROMEDIO</a:t>
          </a:r>
          <a:r>
            <a:rPr lang="es-CO" sz="1100" baseline="0"/>
            <a:t> DEL</a:t>
          </a:r>
        </a:p>
        <a:p>
          <a:r>
            <a:rPr lang="es-CO" sz="1100" baseline="0"/>
            <a:t>TOTAL CONSULTAS</a:t>
          </a:r>
          <a:endParaRPr lang="es-CO" sz="1100"/>
        </a:p>
      </xdr:txBody>
    </xdr:sp>
    <xdr:clientData/>
  </xdr:oneCellAnchor>
  <xdr:oneCellAnchor>
    <xdr:from>
      <xdr:col>11</xdr:col>
      <xdr:colOff>714374</xdr:colOff>
      <xdr:row>5</xdr:row>
      <xdr:rowOff>142875</xdr:rowOff>
    </xdr:from>
    <xdr:ext cx="1833562" cy="436786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4D1E6B0D-B9E0-4295-9C27-08E4A0D34A61}"/>
            </a:ext>
          </a:extLst>
        </xdr:cNvPr>
        <xdr:cNvSpPr txBox="1"/>
      </xdr:nvSpPr>
      <xdr:spPr>
        <a:xfrm>
          <a:off x="10822780" y="1095375"/>
          <a:ext cx="1833562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>
              <a:solidFill>
                <a:schemeClr val="bg1"/>
              </a:solidFill>
            </a:rPr>
            <a:t>CANTIDAD DE </a:t>
          </a:r>
        </a:p>
        <a:p>
          <a:r>
            <a:rPr lang="es-CO" sz="1100">
              <a:solidFill>
                <a:schemeClr val="bg1"/>
              </a:solidFill>
            </a:rPr>
            <a:t>PACIENTES</a:t>
          </a:r>
        </a:p>
      </xdr:txBody>
    </xdr:sp>
    <xdr:clientData/>
  </xdr:oneCellAnchor>
  <xdr:oneCellAnchor>
    <xdr:from>
      <xdr:col>14</xdr:col>
      <xdr:colOff>571500</xdr:colOff>
      <xdr:row>5</xdr:row>
      <xdr:rowOff>119062</xdr:rowOff>
    </xdr:from>
    <xdr:ext cx="1833562" cy="264560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080C223B-6CD3-40FB-8623-2E4E4265EDE6}"/>
            </a:ext>
          </a:extLst>
        </xdr:cNvPr>
        <xdr:cNvSpPr txBox="1"/>
      </xdr:nvSpPr>
      <xdr:spPr>
        <a:xfrm>
          <a:off x="12965906" y="1071562"/>
          <a:ext cx="1833562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s-CO" sz="1100" baseline="0"/>
            <a:t>TOTAL CONSULTAS</a:t>
          </a:r>
          <a:endParaRPr lang="es-CO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11</xdr:row>
      <xdr:rowOff>138112</xdr:rowOff>
    </xdr:from>
    <xdr:to>
      <xdr:col>8</xdr:col>
      <xdr:colOff>476250</xdr:colOff>
      <xdr:row>26</xdr:row>
      <xdr:rowOff>23812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9BCAF21-E519-B89D-25BD-FD5D28448F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133348</xdr:colOff>
      <xdr:row>27</xdr:row>
      <xdr:rowOff>4762</xdr:rowOff>
    </xdr:from>
    <xdr:to>
      <xdr:col>11</xdr:col>
      <xdr:colOff>200025</xdr:colOff>
      <xdr:row>41</xdr:row>
      <xdr:rowOff>80962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5E04F74-914A-2E08-9F0D-35CE62CE0B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581024</xdr:colOff>
      <xdr:row>43</xdr:row>
      <xdr:rowOff>176211</xdr:rowOff>
    </xdr:from>
    <xdr:to>
      <xdr:col>12</xdr:col>
      <xdr:colOff>590549</xdr:colOff>
      <xdr:row>58</xdr:row>
      <xdr:rowOff>104774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221287C-D46B-7FFB-80E2-1C49E6185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3</xdr:col>
      <xdr:colOff>752475</xdr:colOff>
      <xdr:row>0</xdr:row>
      <xdr:rowOff>28575</xdr:rowOff>
    </xdr:from>
    <xdr:to>
      <xdr:col>6</xdr:col>
      <xdr:colOff>295275</xdr:colOff>
      <xdr:row>6</xdr:row>
      <xdr:rowOff>171450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Genero">
              <a:extLst>
                <a:ext uri="{FF2B5EF4-FFF2-40B4-BE49-F238E27FC236}">
                  <a16:creationId xmlns:a16="http://schemas.microsoft.com/office/drawing/2014/main" id="{64EC0382-5948-C66E-0A5E-EC5EDDFECA8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Gener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10050" y="28575"/>
              <a:ext cx="1828800" cy="12858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485775</xdr:colOff>
      <xdr:row>0</xdr:row>
      <xdr:rowOff>0</xdr:rowOff>
    </xdr:from>
    <xdr:to>
      <xdr:col>9</xdr:col>
      <xdr:colOff>28575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Sucursal-Jornada">
              <a:extLst>
                <a:ext uri="{FF2B5EF4-FFF2-40B4-BE49-F238E27FC236}">
                  <a16:creationId xmlns:a16="http://schemas.microsoft.com/office/drawing/2014/main" id="{9BD57DD5-A497-4136-2508-864AC5869D7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-Jornad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29350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381000</xdr:colOff>
      <xdr:row>0</xdr:row>
      <xdr:rowOff>0</xdr:rowOff>
    </xdr:from>
    <xdr:to>
      <xdr:col>14</xdr:col>
      <xdr:colOff>685800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Medico">
              <a:extLst>
                <a:ext uri="{FF2B5EF4-FFF2-40B4-BE49-F238E27FC236}">
                  <a16:creationId xmlns:a16="http://schemas.microsoft.com/office/drawing/2014/main" id="{CC449B13-6A93-4744-838E-F5EFA1E321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dic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96575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323850</xdr:colOff>
      <xdr:row>0</xdr:row>
      <xdr:rowOff>0</xdr:rowOff>
    </xdr:from>
    <xdr:to>
      <xdr:col>11</xdr:col>
      <xdr:colOff>628650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specialidad">
              <a:extLst>
                <a:ext uri="{FF2B5EF4-FFF2-40B4-BE49-F238E27FC236}">
                  <a16:creationId xmlns:a16="http://schemas.microsoft.com/office/drawing/2014/main" id="{6FC486F1-D7A4-6463-CD4D-815400DFEE5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speciali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53425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95250</xdr:colOff>
      <xdr:row>0</xdr:row>
      <xdr:rowOff>0</xdr:rowOff>
    </xdr:from>
    <xdr:to>
      <xdr:col>17</xdr:col>
      <xdr:colOff>400050</xdr:colOff>
      <xdr:row>14</xdr:row>
      <xdr:rowOff>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Edad">
              <a:extLst>
                <a:ext uri="{FF2B5EF4-FFF2-40B4-BE49-F238E27FC236}">
                  <a16:creationId xmlns:a16="http://schemas.microsoft.com/office/drawing/2014/main" id="{2E036917-F8CE-D450-0419-1E6B53FD1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ad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696825" y="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5862.54095451389" createdVersion="8" refreshedVersion="8" minRefreshableVersion="3" recordCount="370" xr:uid="{502788AB-CB82-4B89-A412-CE0B73F3321F}">
  <cacheSource type="worksheet">
    <worksheetSource name="Tabla1"/>
  </cacheSource>
  <cacheFields count="10">
    <cacheField name="Num_Documento" numFmtId="0">
      <sharedItems containsSemiMixedTypes="0" containsString="0" containsNumber="1" minValue="5688861" maxValue="10986088955"/>
    </cacheField>
    <cacheField name="Paciente" numFmtId="0">
      <sharedItems count="370">
        <s v="Yesny Maibelin Arenas Acelas"/>
        <s v="Claudia Smith Murillo Acevedo"/>
        <s v="Yusselly Carolina Serrano Acevedo"/>
        <s v="Cesar Fabian Duarte Acevedo"/>
        <s v="Edward Esteban Vargas Acosta"/>
        <s v="Jesika Paola Sanchez Afanador"/>
        <s v="Ana Judith Chinchilla Aguilar"/>
        <s v="Ingrid Nayibe Delgado Aguillon"/>
        <s v="Alvaro Javier Parra Albarracin"/>
        <s v="Diana Maria Flórez Albino"/>
        <s v="Mayra Alejandra Pardo Aljuri"/>
        <s v="Martha Patricia Pardo Almeida"/>
        <s v="Juan Pablo Rodriguez Amaya"/>
        <s v="Carlos Andres Vargas Amaya"/>
        <s v="Maria Fernanda Rueda Angel"/>
        <s v="Johanna Patricia Angarita Antolinez"/>
        <s v="Nicolas Eduardo Carvajal Arciniegas"/>
        <s v="Juan Carlos Peñaloza Ardila"/>
        <s v="Edna Rocío García Ardila"/>
        <s v="Silvia Paola Orduz Arena"/>
        <s v="Giovanny Fernando Toro Arenales"/>
        <s v="John Esteban Cardenas Arenas"/>
        <s v="Diana Carolina Cruz Arenas"/>
        <s v="Jhon Fredy Villalba Arevalo"/>
        <s v="Leidy Yesenia Toledo Arevalo"/>
        <s v="Ricardo Andres Lobo Arguello"/>
        <s v="Genny Andrea Ojeda Arguello"/>
        <s v="Christian Eduardo Barragan Arias"/>
        <s v="Miguel Angel Gamarra Arias"/>
        <s v="Carlos Andres Anaya Ariza"/>
        <s v="Boristh Alberto Beltran Ariza"/>
        <s v="Jenny Esperanza Cogollo Arteaga"/>
        <s v="Carlos Arturo Avila Avila"/>
        <s v="Masmela Ingrid De Avila"/>
        <s v="Laura Marcela López Ayala"/>
        <s v="José Luis Villamizar Badillo"/>
        <s v="Lorena María Carvajal Badillo"/>
        <s v="Andrea Carolina Vargas Baez"/>
        <s v="Andrea Marcela Duran Baez"/>
        <s v="Diana Mireya Cárdenas Balaguera"/>
        <s v="Adriana Milena Buitrago Barajas"/>
        <s v="Luz Amparo Murillo Barajas"/>
        <s v="Mary Zurley Santamaria Barbosa"/>
        <s v="Jennifer Andrea Nieves Barrera"/>
        <s v="Noris Paola Huertas Baslanoa"/>
        <s v="Maria Del Gonzalez Basto"/>
        <s v="Claudia Liliana Jaimes Bastos"/>
        <s v="Joan Sebastian Caicedo Bautista"/>
        <s v="Luz Dary Cruz Bautista"/>
        <s v="Adriana Milena Toscano Bautista"/>
        <s v="César Ivan Corredor Becerra"/>
        <s v="Manuel Fernando Gomez Becerra"/>
        <s v="Yenny Rocío Toscano Beltrán"/>
        <s v="Jose Manuel Navas Bermudez"/>
        <s v="Cesar Augusto Pardo Bermúdez"/>
        <s v="Eveling Ines Gonzalez Blanschke"/>
        <s v="Luz Elena Patiño Bonilla"/>
        <s v="Sneydith Katerine Picon Briceño"/>
        <s v="Luz Dary Trujillo Briceño"/>
        <s v="Maria Isabel Florez Caballero"/>
        <s v="Ruben Alexander Rios Peña"/>
        <s v="Ana Marcela Zapata Caballero"/>
        <s v="Elkín Eduardo Contreras Cabeza"/>
        <s v="Daily Karina Cardozo Cáceres"/>
        <s v="Laritza Tatiana Acevedo Cáceres"/>
        <s v="Eddy Johanna Noriega Cáceres"/>
        <s v="Diana Marcela Tarazona Camacho"/>
        <s v="Wilson Yesid Camacho Camacho"/>
        <s v="Eddy Johanna Cano Camargo"/>
        <s v="Jhonatan Andres Sequeda Camargo"/>
        <s v="Yenny Marcela Casas Camargo"/>
        <s v="Jonnathan Ferney Luna Camargo"/>
        <s v="Francisco Jose Celis Camargo"/>
        <s v="Claudia Lucia Nuñez Camelo"/>
        <s v="Yury Marcela Paez Campos"/>
        <s v="Laura Liliana Vasquez Campos"/>
        <s v="Ana Maria Gamboa Cañizares"/>
        <s v="Marcela Del Santana Carreño"/>
        <s v="Luis Guillermo Barrera Carreño"/>
        <s v="Julian David Carreño Carrillo"/>
        <s v="Jazmin Yulian Toloza Carrillo"/>
        <s v="Rudy Alexander Sanchez Carvajal"/>
        <s v="John Henry Bonilla Carvajal"/>
        <s v="Karol Andrea Gomez Casas"/>
        <s v="Leidy Yesenia Alvarez Castaño"/>
        <s v="Jeny Paola Santos Castillo"/>
        <s v="Cindy Xiomara Espinosa Castro"/>
        <s v="Yeny Paola Parra Castro"/>
        <s v="Jenny Marcela Quintero Celis"/>
        <s v="Diana Alejandra Hernández Celis"/>
        <s v="Edinnson Giovanny Hernandez Celis"/>
        <s v="Maribel Yaqueline Porras Chacón"/>
        <s v="Diana Slendy Cordero Chacón"/>
        <s v="Blanca Yamile Nova Chacón"/>
        <s v="Myriam Alejandra Delgado Chacón"/>
        <s v="Marlen Johanna Lozano Chaparro"/>
        <s v="Deisy Adriana Villamizar Contreras"/>
        <s v="Maryury Lizette Carrillo Cordero"/>
        <s v="Diana Marcela Patiño Corredor"/>
        <s v="Yuly Christina Reynel Corredor"/>
        <s v="Oscar Eduardo Reinel Corredor"/>
        <s v="Juan Manuel Avellaneda Cortes"/>
        <s v="Sergio Andres Ardila Corzo"/>
        <s v="Jennifer Andrea Rondon Cuevas"/>
        <s v="Massiel Karina Galindo Daza"/>
        <s v="Sergio Oswaldo Duarte Delgado"/>
        <s v="Juan Pablo Pinzón Delgado"/>
        <s v="Deisy Johana Pinzon Delgado"/>
        <s v="Ingrid Juliana Arenas Diaz"/>
        <s v="Fanny Yaneth Sierra Diaz"/>
        <s v="Alba Johana Garcia Diaz"/>
        <s v="Gabriel Leonardo Rueda Diaz"/>
        <s v="Jennifer Paola Mejia Diaz"/>
        <s v="Monica Juliana Ruiz Duarte"/>
        <s v="Diego Andres Pardo Duarte"/>
        <s v="Vera Lucia Diaz Duarte"/>
        <s v="Zeidy Johanna García Duarte"/>
        <s v="Camilo Andres Munera Dueñas"/>
        <s v="Yudy Alejandra Martinez Duque"/>
        <s v="Jhon Edinson Nova Entralgo"/>
        <s v="Madga Marina Obeso Fajardo"/>
        <s v="Claudia Juliana Urbina Figueroa"/>
        <s v="Maria Carolina Ovalle Flores"/>
        <s v="Diego Felipe Cadena Florez"/>
        <s v="Maria Fernanda Vargas Forero"/>
        <s v="Claudia Liliana Mendez Franco"/>
        <s v="Eveling Julieth Carvajal Franco"/>
        <s v="Carlos Alberto Gomez Galvis"/>
        <s v="Deybi Johanna Cardenas Garavito"/>
        <s v="Kelly Susan Yuranny Garavito"/>
        <s v="Braulio Andres Mosquera Garces"/>
        <s v="Jairo Andres Garcia García"/>
        <s v="Jorge Armando Roa García"/>
        <s v="Liseht Johana Martinez García"/>
        <s v="Luz Marina Fajardo García"/>
        <s v="Hefzi Katherine Sepulveda García"/>
        <s v="Maria Madeleyne Chacon García"/>
        <s v="Lina Maria Rodriguez García"/>
        <s v="Monica Paola Pimiento Garrido"/>
        <s v="Erick Johann Pino Gasca"/>
        <s v="Elkin Antonio Camargo Gil"/>
        <s v="Aida Juliet Palomino Gil"/>
        <s v="Leydi Johana Orejuela Gomez"/>
        <s v="Ana Delia Garcia Gomez"/>
        <s v="Liliana Marcela Ortiz Gomez"/>
        <s v="Sandra Milena Merchan Gomez"/>
        <s v="Astrid Milena Villalba Gómez"/>
        <s v="Ronald Martín Maldonado Gómez"/>
        <s v="Paola Andrea Ardila González"/>
        <s v="Jeffrier Duvan Abaunza González"/>
        <s v="Silvia Paola Valdivieso González"/>
        <s v="Derly Cecilia Pimentel González"/>
        <s v="Luz Dary Pedrozo Goyeneche"/>
        <s v="Nathaly Johana Guerrero Grateron"/>
        <s v="Edwin Alexander Romero Guarin"/>
        <s v="Luz Annys Suarez Guerrero"/>
        <s v="Aixa Mildreb Chaparro Guerrero"/>
        <s v="Leidy Yohana Martinez Hernández"/>
        <s v="Hector Hernando Hernandez Hernández"/>
        <s v="Maria Fernanda Gomez Hernández"/>
        <s v="Claudia Maritza Ramirez Hernández"/>
        <s v="Mónica Lizette Serrano Hernández"/>
        <s v="Leydi Johana Almeida Hernández"/>
        <s v="Carlos Enrique Gonzalez Herrera"/>
        <s v="Diana Marcela Oliveros Herrera"/>
        <s v="Erika Lizeth Aguilar Herrera"/>
        <s v="Yeiny Yareth Nuñez Herrera"/>
        <s v="David Andres Ardila Herrera"/>
        <s v="Carlos Andres Bernate Izquierdo"/>
        <s v="Aumerle De Bernate Izquierdo"/>
        <s v="Constanza Paola Cruz Jaimes"/>
        <s v="Ruth Mayerly Garnica Jaimes"/>
        <s v="Maria Margarita Pedraza Jaimes"/>
        <s v="Miguel Angel Leaño Jaimes"/>
        <s v="Monica Julieth Rojas Jaimes"/>
        <s v="Ingrid Zuley Florez Jaimes"/>
        <s v="Maria Fernanda Durán Jaimes"/>
        <s v="Jose Arturo Gonzalez Jaramillo"/>
        <s v="Erika Sulay Abaunza Jerez"/>
        <s v="Diana Carolina Mendez Jerez"/>
        <s v="Laura Constanza Martinez Jerez"/>
        <s v="Cesar Andres Niño Jimenez"/>
        <s v="Ivan Dario Riveros Jurado"/>
        <s v="Myriam Yessenia Urbina Laguado"/>
        <s v="Lisseth Mayerly Torres Landazábal"/>
        <s v="Ingrid Katherine Marin Larrota"/>
        <s v="Karen Marcela Cortes Leon"/>
        <s v="Betsy Paola Aguilar León"/>
        <s v="Cindy Paola Marquez Lesmes"/>
        <s v="Andrea Paola Calderon López"/>
        <s v="Manuel Roberto Lopez López"/>
        <s v="Carlos Alberto Villalobos Lozano"/>
        <s v="Nancy Ley Pautt Madero"/>
        <s v="Sandra Milena Valencia Maldonado"/>
        <s v="Diana Rocio Valencia Maldonado"/>
        <s v="Leidy Marcela Barajas Mancipe"/>
        <s v="Ivonne Nathalia Pinto Manrique"/>
        <s v="Diana Marcela Guarin Mantilla"/>
        <s v="Maria Eugenia Garcia Mantilla"/>
        <s v="Yenny Ferley Prieto Mantilla"/>
        <s v="Maria Fernanda Pardo Mantilla"/>
        <s v="Leidy Johanna Mendez Mantilla"/>
        <s v="Yenny Carola Hernandez Manzano"/>
        <s v="Genny Patricia Briñez Martínez"/>
        <s v="Pedro Eduardo Oviedo Martínez"/>
        <s v="Orlando Jose Vale Martínez"/>
        <s v="Jenny Katherine Nosa Martínez"/>
        <s v="Yadira Liseth Higuera Matajira"/>
        <s v="Eddy Cristina Suarez Matta"/>
        <s v="Johanna Maria Aguirre Medina"/>
        <s v="Andrea Paola Sandoval Mejia"/>
        <s v="Mary Carolina Pinzon Melgarejo"/>
        <s v="Sandra Milena Ochoa Mendoza"/>
        <s v="Ruth Milena Molina Mendoza"/>
        <s v="Mabeelyn Constanza Vanegas Mendoza"/>
        <s v="Luis Manuel Camaño Millan"/>
        <s v="Erick Jefferson Mayorga Mojica"/>
        <s v="Erika Marcela Arboleda Monsalve"/>
        <s v="Nury Yurley Rojas Monsalve"/>
        <s v="Sandra Milena Martinez Montero"/>
        <s v="Ingrid Sofia Delgadillo Morales"/>
        <s v="Laura Rocio Forero Moreno"/>
        <s v="Jenny Paola Peña Moreno"/>
        <s v="Edward Fabian Correa Mosquera"/>
        <s v="Diana Andrea Pinto Muñoz"/>
        <s v="Karol Juliana Celis Muñoz"/>
        <s v="Tania Yessica Lizarazo Muñoz"/>
        <s v="Claudia Patricia Mantilla Navarro"/>
        <s v="Jenny Rocio Mantilla Navarro"/>
        <s v="Deisy Alexandra Tarazona Nova"/>
        <s v="Julian David Rivera Nova"/>
        <s v="Honathan Augusto Pedraza Núñez"/>
        <s v="John Alexander Rueda Núñez"/>
        <s v="Yury Marcela Barrera Núñez"/>
        <s v="Eduardo Alberto Ferreira Ochoa"/>
        <s v="Edys Sulvey Mojica Olachica"/>
        <s v="Laura Natalia Garcia Ordoñez"/>
        <s v="Julvia Lizeth Bejarano Orduz"/>
        <s v="Kelly Juliana Reyes Orduz"/>
        <s v="Diecy Fernando Sanchez Orozco"/>
        <s v="Maria Rosa Ovalle Orozco"/>
        <s v="Yuly Andrea Saavedra Ortega"/>
        <s v="Diana Carolina Carvajal Ortega"/>
        <s v="Leidy Stefani Umaña Ortega"/>
        <s v="Leidy Milena Lipez Ortiz"/>
        <s v="Yuly Andrea Lipez Ortiz"/>
        <s v="Maria Ines Poveda Ortiz"/>
        <s v="Yuly Lizeth Ramirez Osorio"/>
        <s v="Sindy Vanessa Aparicio Ospina"/>
        <s v="Laura Marcela Alvarado Ospino"/>
        <s v="Olga Rocio García Oviedo"/>
        <s v="Claudia Liliana Solano Pacheco"/>
        <s v="Cindy Johana Carrascal Palomino"/>
        <s v="Jeisson Alberto Ortiz Pardo"/>
        <s v="Carol Viviana Hillon Pardo"/>
        <s v="Yerly Tatiana Gomez Parra"/>
        <s v="Sergio Alfonso Silva Parra"/>
        <s v="Honnathan Stewar Albanes Parra"/>
        <s v="Eddy Rocio Parra Parra"/>
        <s v="Yurany Lizett Triana Patiño"/>
        <s v="Edgar Stven Vera Pava"/>
        <s v="Diana Katherine Rueda Pedraza"/>
        <s v="Fabian Andres Rueda Peña"/>
        <s v="Francy Mayerly Bautista Peña"/>
        <s v="Cindy Jannette Duitama Peñaranda"/>
        <s v="Lili Milena Martinez Peñuela"/>
        <s v="Eime Katherine Galvan Perez"/>
        <s v="Leidy Vanessa Romero Perez"/>
        <s v="Sergio Andres Estupiñan Perez"/>
        <s v="Michely Andrea Gómez Pérez"/>
        <s v="Jose Fabian Leguizamon Perilla"/>
        <s v="Luz Dary Echeverry Pico"/>
        <s v="Yesenia Yuslay Gualdron Pico"/>
        <s v="Ruth Alejandra Trujillo Pilonieta"/>
        <s v="Alvaro Javier García Pineda"/>
        <s v="Edinson Mauricio Vesga Pinilla"/>
        <s v="Mary Hibeth Dominguez Pinto"/>
        <s v="Navor Devinson León Pinzón"/>
        <s v="Fabio Andres Castellanos Pinzón"/>
        <s v="Andrea Zamary Rueda Plata"/>
        <s v="Alveiro Yosimar Bautista Porras"/>
        <s v="Lenyth Amparo Jurado Portilla"/>
        <s v="Andrea Carolina Jaimes Quintero"/>
        <s v="José Luis Osorio Quintero"/>
        <s v="Karol Viviana Villamizar Quiroga"/>
        <s v="Fredy Armando Gomez Ramírez"/>
        <s v="Edwin Mauricio Villegas Ramírez"/>
        <s v="Freddy Alfonso Tarazona Ramírez"/>
        <s v="Ruth Alexandra Rodriguez Ramírez"/>
        <s v="Yuly Paola Vargas Ramírez"/>
        <s v="Fabian Eduardo Osma Ramírez"/>
        <s v="Blanca Nelly Duque Ramírez"/>
        <s v="Maria Consuelo Rangel Rangel"/>
        <s v="Sergio Andres Murillo Reyes"/>
        <s v="Dina Yorley Niño Rios"/>
        <s v="Angie Viviana Jaimes Rios"/>
        <s v="Jhonatan Mauricio Mendoza Rivera"/>
        <s v="Darlin Nathaly Rodriguez Rivera"/>
        <s v="Leisza Maritza Robles Rivera"/>
        <s v="Claudia Patricia Cortez Rivera"/>
        <s v="Jair Alexis Rodríguez Rivera"/>
        <s v="Sandra Milena Mora Rivero"/>
        <s v="Leidy Mayerly Hernandez Roa"/>
        <s v="Alvaro Jair Rojas Roa"/>
        <s v="Gerson Julian Grueso Rodríguez"/>
        <s v="Luz Angelica Arevalo Rodríguez"/>
        <s v="Silvia Juliana Peña Rodríguez"/>
        <s v="Oscar Mauricio Ardila Rodríguez"/>
        <s v="Maira Alejandra Villamizar Rodríguez"/>
        <s v="Carlos Javier Escobar Rodríguez"/>
        <s v="Mayra Alejandra Castillo Rodríguez"/>
        <s v="Andrés Mauricio Linares Rojas"/>
        <s v="Dania Magerly Tuta Rojas"/>
        <s v="Silvia Juliana Reyes Rojas"/>
        <s v="Diego Fernando Diaz Rojas"/>
        <s v="Cindy Katherine Ayala Rojas"/>
        <s v="Luisa Fernanda Cardenas Rojas"/>
        <s v="Carlos Alberto Gomez Romero"/>
        <s v="Diego Daniel Rodriguez Romero"/>
        <s v="Leidy Yadira Peñuela Rueda"/>
        <s v="Lida Ester Peñuela Rueda"/>
        <s v="Martha Liliana Pineda Rugeles"/>
        <s v="Saira Maria Martinez Saenz"/>
        <s v="Oscar Javier Torres Sanabria"/>
        <s v="Laura Esther Contreras Sandoval"/>
        <s v="Silvia Marcela Niño Santamaria"/>
        <s v="Jennifer Johanna Duarte Santos"/>
        <s v="Sonia Patricia Porras Sarmiento"/>
        <s v="Adriana Milena Rueda Sarmiento"/>
        <s v="Elkin Javier Duarte Sarmiento"/>
        <s v="Yenny Alexandra Alarcón Sepúlveda"/>
        <s v="Jennifer Stifen Pico Silva"/>
        <s v="Zayra Juliana Pabon Silva"/>
        <s v="Hector Jose Delgado Silva"/>
        <s v="Jenny Jhoana Olaya Sorza"/>
        <s v="Diana Marcela Ramirez Suarez"/>
        <s v="Nelly Patricia Mantilla Suarez"/>
        <s v="Paola Andrea Mantilla Suarez"/>
        <s v="Claudia Patricia Garcia Tarazona"/>
        <s v="Ingry Tatiana Lopez Tarazona"/>
        <s v="Diana Marcela Calderon Thomas"/>
        <s v="Edwin Fabian Diaz Toro"/>
        <s v="Jesus David Serrano Torres"/>
        <s v="Yajanys Del Hernandez Torres"/>
        <s v="Yerlith Yaneth Fajardo Torres"/>
        <s v="Silvia Juliana Mejia Torres"/>
        <s v="Dirley Katherine Niño Torres"/>
        <s v="Sandra Liliana Sierra Uribe"/>
        <s v="Jazmin Andrea Montoya Urrea"/>
        <s v="Silvia Patricia Ramirez Vale"/>
        <s v="John Freddy Peña Vargas"/>
        <s v="Lisseth Yajaira Martinez Vargas"/>
        <s v="Dilma Yaneth Sandoval Vargas"/>
        <s v="Smith Johana Sarmiento Vargas"/>
        <s v="Dary Milena Olaya Vargas"/>
        <s v="Juan De Pinto Vargas"/>
        <s v="Jenny Paola Bohorquez Vasquez"/>
        <s v="Diana Maria Vargas Vega"/>
        <s v="Claudia Patricia Vargas Vega"/>
        <s v="Miriam Rosalba Rojas Vega"/>
        <s v="Hayder Fernando Perdomo Verdugo"/>
        <s v="Jaime Aldemar Cespedes Vesga"/>
        <s v="Paola Cristina Pinzon Villabona"/>
        <s v="Lidy Yaneth Cabeza Villamizar"/>
        <s v="Cesar Andrey Lamus Villamizar"/>
        <s v="Angelica Maria Aguilar Villamizar"/>
        <s v="Yenny Carolina Aguilar Villamizar"/>
        <s v="Johana Marcela Ramirez Villamizar"/>
        <s v="Laura Marcela Pedrozo Zapata"/>
        <s v="Jimmy Alejandro Gomez Zuluaga"/>
      </sharedItems>
    </cacheField>
    <cacheField name="Edad" numFmtId="1">
      <sharedItems containsSemiMixedTypes="0" containsString="0" containsNumber="1" containsInteger="1" minValue="17" maxValue="65" count="44">
        <n v="37"/>
        <n v="28"/>
        <n v="41"/>
        <n v="26"/>
        <n v="30"/>
        <n v="23"/>
        <n v="50"/>
        <n v="38"/>
        <n v="53"/>
        <n v="33"/>
        <n v="19"/>
        <n v="61"/>
        <n v="29"/>
        <n v="56"/>
        <n v="27"/>
        <n v="22"/>
        <n v="51"/>
        <n v="44"/>
        <n v="39"/>
        <n v="34"/>
        <n v="42"/>
        <n v="31"/>
        <n v="45"/>
        <n v="20"/>
        <n v="24"/>
        <n v="25"/>
        <n v="36"/>
        <n v="35"/>
        <n v="62"/>
        <n v="60"/>
        <n v="47"/>
        <n v="48"/>
        <n v="21"/>
        <n v="40"/>
        <n v="63"/>
        <n v="55"/>
        <n v="52"/>
        <n v="65"/>
        <n v="18"/>
        <n v="32"/>
        <n v="43"/>
        <n v="17"/>
        <n v="54"/>
        <n v="58"/>
      </sharedItems>
    </cacheField>
    <cacheField name="Genero" numFmtId="0">
      <sharedItems count="2">
        <s v="Femenino"/>
        <s v="masculino"/>
      </sharedItems>
    </cacheField>
    <cacheField name="Fec_Nacimiento" numFmtId="164">
      <sharedItems/>
    </cacheField>
    <cacheField name="Cuota Moderadora" numFmtId="165">
      <sharedItems containsSemiMixedTypes="0" containsString="0" containsNumber="1" containsInteger="1" minValue="7500" maxValue="20500"/>
    </cacheField>
    <cacheField name="Sucursal-Jornada" numFmtId="0">
      <sharedItems count="9">
        <s v="Cabecera-Día"/>
        <s v="Floridablanca-Tarde"/>
        <s v="Floridablanca-Noche"/>
        <s v="Cabecera-Tarde"/>
        <s v="Cañaveral-Tarde"/>
        <s v="Cañaveral-Noche"/>
        <s v="Floridablanca-Día"/>
        <s v="Cabecera-Noche"/>
        <s v="Cañaveral-Día"/>
      </sharedItems>
    </cacheField>
    <cacheField name="Medico" numFmtId="0">
      <sharedItems count="30">
        <s v="Sergio Oswaldo Duarte Delgado"/>
        <s v="Mayerly  Villamizar Rueda"/>
        <s v="Erick Johann Pino  Gasca"/>
        <s v="Adriana  Suarez "/>
        <s v="Jenny Jhoana Olaya Sorza"/>
        <s v="Mariluz  Díaz Chía"/>
        <s v="Ruben Dario Rosas Caballero"/>
        <s v="Robinson  Robles Rivera"/>
        <s v="Carlos Andres Bernate Izquierdo"/>
        <s v="Claudia Juliana Urbina Figueroa"/>
        <s v="Luz Marina Fajardo Garcia"/>
        <s v="Fernando Alonso Gil "/>
        <s v="Catherine  Barrera Jimenez"/>
        <s v="Sergio Andres Estupiñan Perez"/>
        <s v="Edwin Fabian Diaz Toro"/>
        <s v="Mayra Alejandra Castillo Rodríguez"/>
        <s v="Ignacio  Gaitan Palacios"/>
        <s v="Edgar Farid Torres Chacon"/>
        <s v="Claudia  Patricia Cortez Rivera"/>
        <s v="Mónica Lizette Serrano Hernández"/>
        <s v="Francisco Jose Celis Camargo"/>
        <s v="Leisza Maritza Robles Rivera"/>
        <s v="Carlos Alberto Villalobos Lozano"/>
        <s v="Nelly Patricia Mantilla Suarez"/>
        <s v="Edwin  Barrera Muñoz"/>
        <s v="Gabriel Leonardo Rueda Diaz"/>
        <s v="Freddy  Gutierrez "/>
        <s v="Paola Andrea Ardila Gonzalez"/>
        <s v="Yuly Christina Reynel Corredor"/>
        <s v="Carlos Andres Mahecha "/>
      </sharedItems>
    </cacheField>
    <cacheField name="Especialidad" numFmtId="0">
      <sharedItems count="11">
        <s v="Ginecólogo"/>
        <s v="Sicólogo"/>
        <s v="Dermatólogo"/>
        <s v="Ortopedista"/>
        <s v="Oftalmólogo"/>
        <s v="Neumólogo"/>
        <s v="Cardiólogo"/>
        <s v="General"/>
        <s v="Otorrino"/>
        <s v="Reumatologo"/>
        <s v="Fisiatra"/>
      </sharedItems>
    </cacheField>
    <cacheField name="Valor Consulta" numFmtId="167">
      <sharedItems containsSemiMixedTypes="0" containsString="0" containsNumber="1" containsInteger="1" minValue="50000" maxValue="89000"/>
    </cacheField>
  </cacheFields>
  <extLst>
    <ext xmlns:x14="http://schemas.microsoft.com/office/spreadsheetml/2009/9/main" uri="{725AE2AE-9491-48be-B2B4-4EB974FC3084}">
      <x14:pivotCacheDefinition pivotCacheId="69301783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0">
  <r>
    <n v="1095789004"/>
    <x v="0"/>
    <x v="0"/>
    <x v="0"/>
    <s v="23-02-1979"/>
    <n v="18794"/>
    <x v="0"/>
    <x v="0"/>
    <x v="0"/>
    <n v="56000"/>
  </r>
  <r>
    <n v="63526350"/>
    <x v="1"/>
    <x v="1"/>
    <x v="0"/>
    <s v="1-06-1966"/>
    <n v="9500"/>
    <x v="1"/>
    <x v="1"/>
    <x v="1"/>
    <n v="81000"/>
  </r>
  <r>
    <n v="1098662147"/>
    <x v="2"/>
    <x v="2"/>
    <x v="0"/>
    <s v="4-05-1970"/>
    <n v="11400"/>
    <x v="1"/>
    <x v="2"/>
    <x v="2"/>
    <n v="67000"/>
  </r>
  <r>
    <n v="91529174"/>
    <x v="3"/>
    <x v="3"/>
    <x v="1"/>
    <s v="4-05-1968"/>
    <n v="11400"/>
    <x v="2"/>
    <x v="3"/>
    <x v="3"/>
    <n v="79000"/>
  </r>
  <r>
    <n v="1098644533"/>
    <x v="4"/>
    <x v="0"/>
    <x v="1"/>
    <s v="27-06-1970"/>
    <n v="9400"/>
    <x v="3"/>
    <x v="4"/>
    <x v="4"/>
    <n v="50000"/>
  </r>
  <r>
    <n v="1092341610"/>
    <x v="5"/>
    <x v="4"/>
    <x v="0"/>
    <s v="4-05-1966"/>
    <n v="9400"/>
    <x v="4"/>
    <x v="1"/>
    <x v="1"/>
    <n v="77000"/>
  </r>
  <r>
    <n v="63539491"/>
    <x v="6"/>
    <x v="5"/>
    <x v="0"/>
    <s v="23-02-1972"/>
    <n v="9400"/>
    <x v="1"/>
    <x v="5"/>
    <x v="3"/>
    <n v="65000"/>
  </r>
  <r>
    <n v="63540725"/>
    <x v="7"/>
    <x v="6"/>
    <x v="0"/>
    <s v="5-01-1970"/>
    <n v="9400"/>
    <x v="0"/>
    <x v="6"/>
    <x v="5"/>
    <n v="54000"/>
  </r>
  <r>
    <n v="1102358103"/>
    <x v="8"/>
    <x v="7"/>
    <x v="1"/>
    <s v="4-01-1972"/>
    <n v="9400"/>
    <x v="0"/>
    <x v="7"/>
    <x v="5"/>
    <n v="78000"/>
  </r>
  <r>
    <n v="37559612"/>
    <x v="9"/>
    <x v="8"/>
    <x v="0"/>
    <s v="16-03-1972"/>
    <n v="9400"/>
    <x v="5"/>
    <x v="8"/>
    <x v="6"/>
    <n v="81000"/>
  </r>
  <r>
    <n v="1098644986"/>
    <x v="10"/>
    <x v="9"/>
    <x v="0"/>
    <s v="10-03-1972"/>
    <n v="9027"/>
    <x v="6"/>
    <x v="9"/>
    <x v="0"/>
    <n v="65000"/>
  </r>
  <r>
    <n v="37618486"/>
    <x v="11"/>
    <x v="10"/>
    <x v="0"/>
    <s v="4-01-1972"/>
    <n v="8400"/>
    <x v="4"/>
    <x v="10"/>
    <x v="4"/>
    <n v="59000"/>
  </r>
  <r>
    <n v="13717746"/>
    <x v="12"/>
    <x v="7"/>
    <x v="1"/>
    <s v="14-08-1970"/>
    <n v="18794"/>
    <x v="6"/>
    <x v="11"/>
    <x v="2"/>
    <n v="54000"/>
  </r>
  <r>
    <n v="1098643148"/>
    <x v="13"/>
    <x v="4"/>
    <x v="1"/>
    <s v="14-08-1970"/>
    <n v="18794"/>
    <x v="1"/>
    <x v="2"/>
    <x v="2"/>
    <n v="61000"/>
  </r>
  <r>
    <n v="1098673643"/>
    <x v="14"/>
    <x v="11"/>
    <x v="0"/>
    <s v="24-08-1968"/>
    <n v="18794"/>
    <x v="7"/>
    <x v="12"/>
    <x v="6"/>
    <n v="80000"/>
  </r>
  <r>
    <n v="37514387"/>
    <x v="15"/>
    <x v="12"/>
    <x v="0"/>
    <s v="26-10-1970"/>
    <n v="18794"/>
    <x v="1"/>
    <x v="13"/>
    <x v="3"/>
    <n v="71000"/>
  </r>
  <r>
    <n v="1098683389"/>
    <x v="16"/>
    <x v="7"/>
    <x v="1"/>
    <s v="24-08-1970"/>
    <n v="18794"/>
    <x v="0"/>
    <x v="14"/>
    <x v="3"/>
    <n v="87000"/>
  </r>
  <r>
    <n v="1095799279"/>
    <x v="17"/>
    <x v="13"/>
    <x v="1"/>
    <s v="28-12-1970"/>
    <n v="18794"/>
    <x v="8"/>
    <x v="7"/>
    <x v="5"/>
    <n v="58000"/>
  </r>
  <r>
    <n v="1098643615"/>
    <x v="18"/>
    <x v="14"/>
    <x v="0"/>
    <s v="14-08-1966"/>
    <n v="15300"/>
    <x v="8"/>
    <x v="15"/>
    <x v="3"/>
    <n v="59000"/>
  </r>
  <r>
    <n v="63540030"/>
    <x v="19"/>
    <x v="15"/>
    <x v="0"/>
    <s v="20-10-1974"/>
    <n v="15300"/>
    <x v="1"/>
    <x v="1"/>
    <x v="1"/>
    <n v="85000"/>
  </r>
  <r>
    <n v="1098616605"/>
    <x v="20"/>
    <x v="2"/>
    <x v="1"/>
    <s v="14-08-1970"/>
    <n v="15300"/>
    <x v="0"/>
    <x v="14"/>
    <x v="3"/>
    <n v="59000"/>
  </r>
  <r>
    <n v="1038062180"/>
    <x v="21"/>
    <x v="4"/>
    <x v="1"/>
    <s v="7-05-1968"/>
    <n v="15300"/>
    <x v="6"/>
    <x v="9"/>
    <x v="0"/>
    <n v="63000"/>
  </r>
  <r>
    <n v="1098605140"/>
    <x v="22"/>
    <x v="16"/>
    <x v="0"/>
    <s v="10-03-1972"/>
    <n v="15300"/>
    <x v="3"/>
    <x v="16"/>
    <x v="7"/>
    <n v="53000"/>
  </r>
  <r>
    <n v="1032366820"/>
    <x v="23"/>
    <x v="17"/>
    <x v="1"/>
    <s v="3-08-1965"/>
    <n v="15300"/>
    <x v="1"/>
    <x v="17"/>
    <x v="0"/>
    <n v="85000"/>
  </r>
  <r>
    <n v="1098702189"/>
    <x v="24"/>
    <x v="9"/>
    <x v="0"/>
    <s v="4-05-1968"/>
    <n v="15300"/>
    <x v="8"/>
    <x v="3"/>
    <x v="3"/>
    <n v="85000"/>
  </r>
  <r>
    <n v="1095802881"/>
    <x v="25"/>
    <x v="4"/>
    <x v="1"/>
    <s v="4-05-1968"/>
    <n v="9400"/>
    <x v="7"/>
    <x v="18"/>
    <x v="1"/>
    <n v="87000"/>
  </r>
  <r>
    <n v="1095807208"/>
    <x v="26"/>
    <x v="14"/>
    <x v="0"/>
    <s v="27-06-1970"/>
    <n v="9400"/>
    <x v="0"/>
    <x v="19"/>
    <x v="5"/>
    <n v="78000"/>
  </r>
  <r>
    <n v="13514330"/>
    <x v="27"/>
    <x v="15"/>
    <x v="1"/>
    <s v="21-09-1968"/>
    <n v="9400"/>
    <x v="2"/>
    <x v="12"/>
    <x v="6"/>
    <n v="87000"/>
  </r>
  <r>
    <n v="1095916390"/>
    <x v="28"/>
    <x v="9"/>
    <x v="1"/>
    <s v="23-02-1979"/>
    <n v="9400"/>
    <x v="6"/>
    <x v="0"/>
    <x v="0"/>
    <n v="69000"/>
  </r>
  <r>
    <n v="80926411"/>
    <x v="29"/>
    <x v="16"/>
    <x v="1"/>
    <s v="15-06-1974"/>
    <n v="9400"/>
    <x v="1"/>
    <x v="17"/>
    <x v="0"/>
    <n v="56000"/>
  </r>
  <r>
    <n v="91294479"/>
    <x v="30"/>
    <x v="9"/>
    <x v="1"/>
    <s v="14-08-1970"/>
    <n v="9400"/>
    <x v="8"/>
    <x v="14"/>
    <x v="3"/>
    <n v="80000"/>
  </r>
  <r>
    <n v="1070595472"/>
    <x v="31"/>
    <x v="6"/>
    <x v="0"/>
    <s v="28-12-1966"/>
    <n v="9400"/>
    <x v="0"/>
    <x v="15"/>
    <x v="3"/>
    <n v="57000"/>
  </r>
  <r>
    <n v="1098642747"/>
    <x v="32"/>
    <x v="18"/>
    <x v="1"/>
    <s v="4-01-1972"/>
    <n v="9400"/>
    <x v="0"/>
    <x v="20"/>
    <x v="8"/>
    <n v="62000"/>
  </r>
  <r>
    <n v="22524973"/>
    <x v="33"/>
    <x v="4"/>
    <x v="0"/>
    <s v="10-03-1972"/>
    <n v="9400"/>
    <x v="3"/>
    <x v="5"/>
    <x v="3"/>
    <n v="64000"/>
  </r>
  <r>
    <n v="1095791352"/>
    <x v="34"/>
    <x v="15"/>
    <x v="0"/>
    <s v="27-06-1970"/>
    <n v="13800"/>
    <x v="4"/>
    <x v="10"/>
    <x v="4"/>
    <n v="79000"/>
  </r>
  <r>
    <n v="1098639774"/>
    <x v="35"/>
    <x v="1"/>
    <x v="1"/>
    <s v="14-08-1970"/>
    <n v="13800"/>
    <x v="0"/>
    <x v="21"/>
    <x v="4"/>
    <n v="53000"/>
  </r>
  <r>
    <n v="32889624"/>
    <x v="36"/>
    <x v="7"/>
    <x v="0"/>
    <s v="21-01-1974"/>
    <n v="13800"/>
    <x v="7"/>
    <x v="18"/>
    <x v="1"/>
    <n v="66000"/>
  </r>
  <r>
    <n v="63554601"/>
    <x v="37"/>
    <x v="19"/>
    <x v="0"/>
    <s v="21-01-1974"/>
    <n v="13800"/>
    <x v="0"/>
    <x v="20"/>
    <x v="8"/>
    <n v="89000"/>
  </r>
  <r>
    <n v="1098657492"/>
    <x v="38"/>
    <x v="20"/>
    <x v="0"/>
    <s v="21-09-1968"/>
    <n v="13800"/>
    <x v="5"/>
    <x v="12"/>
    <x v="6"/>
    <n v="53000"/>
  </r>
  <r>
    <n v="1098406009"/>
    <x v="39"/>
    <x v="16"/>
    <x v="0"/>
    <s v="14-08-1968"/>
    <n v="13800"/>
    <x v="3"/>
    <x v="22"/>
    <x v="6"/>
    <n v="59000"/>
  </r>
  <r>
    <n v="1098620530"/>
    <x v="40"/>
    <x v="20"/>
    <x v="0"/>
    <s v="14-08-1966"/>
    <n v="13800"/>
    <x v="6"/>
    <x v="15"/>
    <x v="3"/>
    <n v="62000"/>
  </r>
  <r>
    <n v="63341342"/>
    <x v="41"/>
    <x v="3"/>
    <x v="0"/>
    <s v="4-05-1970"/>
    <n v="13800"/>
    <x v="0"/>
    <x v="19"/>
    <x v="5"/>
    <n v="75000"/>
  </r>
  <r>
    <n v="1005148916"/>
    <x v="42"/>
    <x v="0"/>
    <x v="0"/>
    <s v="4-01-1972"/>
    <n v="13800"/>
    <x v="8"/>
    <x v="20"/>
    <x v="8"/>
    <n v="56000"/>
  </r>
  <r>
    <n v="1098702837"/>
    <x v="43"/>
    <x v="3"/>
    <x v="0"/>
    <s v="24-08-1968"/>
    <n v="13800"/>
    <x v="7"/>
    <x v="12"/>
    <x v="6"/>
    <n v="66000"/>
  </r>
  <r>
    <n v="45694233"/>
    <x v="44"/>
    <x v="21"/>
    <x v="0"/>
    <s v="5-10-1970"/>
    <n v="13800"/>
    <x v="8"/>
    <x v="19"/>
    <x v="5"/>
    <n v="78000"/>
  </r>
  <r>
    <n v="63437333"/>
    <x v="45"/>
    <x v="1"/>
    <x v="0"/>
    <s v="24-08-1968"/>
    <n v="11400"/>
    <x v="5"/>
    <x v="3"/>
    <x v="3"/>
    <n v="55000"/>
  </r>
  <r>
    <n v="63511338"/>
    <x v="46"/>
    <x v="22"/>
    <x v="0"/>
    <s v="20-10-1974"/>
    <n v="11400"/>
    <x v="8"/>
    <x v="21"/>
    <x v="4"/>
    <n v="75000"/>
  </r>
  <r>
    <n v="1098647912"/>
    <x v="47"/>
    <x v="0"/>
    <x v="1"/>
    <s v="16-03-1972"/>
    <n v="18794"/>
    <x v="3"/>
    <x v="23"/>
    <x v="5"/>
    <n v="62000"/>
  </r>
  <r>
    <n v="63547940"/>
    <x v="48"/>
    <x v="19"/>
    <x v="0"/>
    <s v="26-10-1968"/>
    <n v="18794"/>
    <x v="2"/>
    <x v="12"/>
    <x v="6"/>
    <n v="53000"/>
  </r>
  <r>
    <n v="37722219"/>
    <x v="49"/>
    <x v="14"/>
    <x v="0"/>
    <s v="1-06-1970"/>
    <n v="18794"/>
    <x v="8"/>
    <x v="11"/>
    <x v="2"/>
    <n v="58000"/>
  </r>
  <r>
    <n v="13872865"/>
    <x v="50"/>
    <x v="23"/>
    <x v="1"/>
    <s v="16-03-1972"/>
    <n v="18794"/>
    <x v="7"/>
    <x v="8"/>
    <x v="6"/>
    <n v="65000"/>
  </r>
  <r>
    <n v="1095796655"/>
    <x v="51"/>
    <x v="19"/>
    <x v="1"/>
    <s v="5-10-1970"/>
    <n v="18794"/>
    <x v="1"/>
    <x v="4"/>
    <x v="4"/>
    <n v="55000"/>
  </r>
  <r>
    <n v="1099363810"/>
    <x v="52"/>
    <x v="7"/>
    <x v="0"/>
    <s v="27-06-1970"/>
    <n v="18794"/>
    <x v="3"/>
    <x v="10"/>
    <x v="4"/>
    <n v="55000"/>
  </r>
  <r>
    <n v="91524757"/>
    <x v="53"/>
    <x v="0"/>
    <x v="1"/>
    <s v="14-08-1970"/>
    <n v="18794"/>
    <x v="6"/>
    <x v="14"/>
    <x v="3"/>
    <n v="51000"/>
  </r>
  <r>
    <n v="1098624279"/>
    <x v="54"/>
    <x v="5"/>
    <x v="1"/>
    <s v="4-02-1974"/>
    <n v="18794"/>
    <x v="0"/>
    <x v="20"/>
    <x v="8"/>
    <n v="54000"/>
  </r>
  <r>
    <n v="32883555"/>
    <x v="55"/>
    <x v="6"/>
    <x v="0"/>
    <s v="27-06-1970"/>
    <n v="13700"/>
    <x v="3"/>
    <x v="2"/>
    <x v="2"/>
    <n v="64000"/>
  </r>
  <r>
    <n v="63482915"/>
    <x v="56"/>
    <x v="24"/>
    <x v="0"/>
    <s v="26-10-1970"/>
    <n v="13700"/>
    <x v="7"/>
    <x v="24"/>
    <x v="9"/>
    <n v="74000"/>
  </r>
  <r>
    <n v="1095911429"/>
    <x v="57"/>
    <x v="8"/>
    <x v="0"/>
    <s v="18-08-1974"/>
    <n v="13700"/>
    <x v="1"/>
    <x v="2"/>
    <x v="2"/>
    <n v="89000"/>
  </r>
  <r>
    <n v="63348182"/>
    <x v="58"/>
    <x v="15"/>
    <x v="0"/>
    <s v="3-09-1965"/>
    <n v="13700"/>
    <x v="3"/>
    <x v="17"/>
    <x v="0"/>
    <n v="83000"/>
  </r>
  <r>
    <n v="1095797238"/>
    <x v="59"/>
    <x v="25"/>
    <x v="0"/>
    <s v="4-01-1972"/>
    <n v="13700"/>
    <x v="4"/>
    <x v="16"/>
    <x v="7"/>
    <n v="66000"/>
  </r>
  <r>
    <n v="13749879"/>
    <x v="60"/>
    <x v="2"/>
    <x v="1"/>
    <s v="5-01-1968"/>
    <n v="13700"/>
    <x v="6"/>
    <x v="17"/>
    <x v="0"/>
    <n v="66000"/>
  </r>
  <r>
    <n v="1098649249"/>
    <x v="61"/>
    <x v="0"/>
    <x v="0"/>
    <s v="16-03-1972"/>
    <n v="13700"/>
    <x v="4"/>
    <x v="2"/>
    <x v="2"/>
    <n v="86000"/>
  </r>
  <r>
    <n v="91540674"/>
    <x v="62"/>
    <x v="26"/>
    <x v="1"/>
    <s v="26-10-1970"/>
    <n v="13700"/>
    <x v="0"/>
    <x v="6"/>
    <x v="5"/>
    <n v="84000"/>
  </r>
  <r>
    <n v="1095795966"/>
    <x v="63"/>
    <x v="25"/>
    <x v="0"/>
    <s v="18-08-1974"/>
    <n v="13700"/>
    <x v="6"/>
    <x v="25"/>
    <x v="10"/>
    <n v="86000"/>
  </r>
  <r>
    <n v="63563282"/>
    <x v="64"/>
    <x v="27"/>
    <x v="0"/>
    <s v="24-08-1968"/>
    <n v="9500"/>
    <x v="8"/>
    <x v="9"/>
    <x v="0"/>
    <n v="61000"/>
  </r>
  <r>
    <n v="1098627253"/>
    <x v="65"/>
    <x v="28"/>
    <x v="0"/>
    <s v="14-08-1968"/>
    <n v="9500"/>
    <x v="0"/>
    <x v="9"/>
    <x v="0"/>
    <n v="58000"/>
  </r>
  <r>
    <n v="63543877"/>
    <x v="66"/>
    <x v="19"/>
    <x v="0"/>
    <s v="26-10-1968"/>
    <n v="9500"/>
    <x v="3"/>
    <x v="22"/>
    <x v="6"/>
    <n v="81000"/>
  </r>
  <r>
    <n v="13959537"/>
    <x v="67"/>
    <x v="21"/>
    <x v="1"/>
    <s v="5-10-1970"/>
    <n v="9500"/>
    <x v="3"/>
    <x v="4"/>
    <x v="4"/>
    <n v="51000"/>
  </r>
  <r>
    <n v="37862059"/>
    <x v="68"/>
    <x v="0"/>
    <x v="0"/>
    <s v="21-01-1974"/>
    <n v="9500"/>
    <x v="6"/>
    <x v="11"/>
    <x v="2"/>
    <n v="70000"/>
  </r>
  <r>
    <n v="1098634767"/>
    <x v="69"/>
    <x v="9"/>
    <x v="1"/>
    <s v="4-05-1970"/>
    <n v="9500"/>
    <x v="0"/>
    <x v="6"/>
    <x v="5"/>
    <n v="78000"/>
  </r>
  <r>
    <n v="1098689582"/>
    <x v="70"/>
    <x v="19"/>
    <x v="0"/>
    <s v="14-08-1970"/>
    <n v="9500"/>
    <x v="8"/>
    <x v="6"/>
    <x v="5"/>
    <n v="58000"/>
  </r>
  <r>
    <n v="10986088955"/>
    <x v="71"/>
    <x v="25"/>
    <x v="1"/>
    <s v="16-03-1972"/>
    <n v="9500"/>
    <x v="2"/>
    <x v="8"/>
    <x v="6"/>
    <n v="83000"/>
  </r>
  <r>
    <n v="13715152"/>
    <x v="72"/>
    <x v="29"/>
    <x v="1"/>
    <s v="18-08-1974"/>
    <n v="11800"/>
    <x v="0"/>
    <x v="26"/>
    <x v="4"/>
    <n v="66000"/>
  </r>
  <r>
    <n v="63503887"/>
    <x v="73"/>
    <x v="2"/>
    <x v="0"/>
    <s v="4-01-1972"/>
    <n v="11800"/>
    <x v="6"/>
    <x v="21"/>
    <x v="4"/>
    <n v="68000"/>
  </r>
  <r>
    <n v="1095797712"/>
    <x v="74"/>
    <x v="0"/>
    <x v="0"/>
    <s v="27-06-1970"/>
    <n v="11800"/>
    <x v="3"/>
    <x v="10"/>
    <x v="4"/>
    <n v="77000"/>
  </r>
  <r>
    <n v="63452379"/>
    <x v="75"/>
    <x v="17"/>
    <x v="0"/>
    <s v="10-03-1972"/>
    <n v="11800"/>
    <x v="6"/>
    <x v="14"/>
    <x v="3"/>
    <n v="88000"/>
  </r>
  <r>
    <n v="1098713205"/>
    <x v="76"/>
    <x v="27"/>
    <x v="0"/>
    <s v="10-03-1972"/>
    <n v="11800"/>
    <x v="6"/>
    <x v="14"/>
    <x v="3"/>
    <n v="87000"/>
  </r>
  <r>
    <n v="1064837974"/>
    <x v="77"/>
    <x v="0"/>
    <x v="0"/>
    <s v="16-03-1972"/>
    <n v="18794"/>
    <x v="7"/>
    <x v="8"/>
    <x v="6"/>
    <n v="67000"/>
  </r>
  <r>
    <n v="1098613824"/>
    <x v="78"/>
    <x v="10"/>
    <x v="1"/>
    <s v="16-03-1972"/>
    <n v="18794"/>
    <x v="3"/>
    <x v="2"/>
    <x v="2"/>
    <n v="77000"/>
  </r>
  <r>
    <n v="91528872"/>
    <x v="79"/>
    <x v="15"/>
    <x v="1"/>
    <s v="14-08-1968"/>
    <n v="18794"/>
    <x v="3"/>
    <x v="22"/>
    <x v="6"/>
    <n v="87000"/>
  </r>
  <r>
    <n v="1098682891"/>
    <x v="80"/>
    <x v="19"/>
    <x v="0"/>
    <s v="16-03-1972"/>
    <n v="18794"/>
    <x v="1"/>
    <x v="23"/>
    <x v="5"/>
    <n v="88000"/>
  </r>
  <r>
    <n v="1095913534"/>
    <x v="81"/>
    <x v="9"/>
    <x v="0"/>
    <s v="23-02-1972"/>
    <n v="18794"/>
    <x v="1"/>
    <x v="4"/>
    <x v="4"/>
    <n v="70000"/>
  </r>
  <r>
    <n v="1098653332"/>
    <x v="82"/>
    <x v="10"/>
    <x v="1"/>
    <s v="21-09-1968"/>
    <n v="18794"/>
    <x v="7"/>
    <x v="12"/>
    <x v="6"/>
    <n v="87000"/>
  </r>
  <r>
    <n v="1095921980"/>
    <x v="83"/>
    <x v="0"/>
    <x v="0"/>
    <s v="16-03-1972"/>
    <n v="18794"/>
    <x v="6"/>
    <x v="27"/>
    <x v="7"/>
    <n v="74000"/>
  </r>
  <r>
    <n v="1098644074"/>
    <x v="84"/>
    <x v="7"/>
    <x v="0"/>
    <s v="24-08-1968"/>
    <n v="18794"/>
    <x v="5"/>
    <x v="3"/>
    <x v="3"/>
    <n v="66000"/>
  </r>
  <r>
    <n v="1098672686"/>
    <x v="85"/>
    <x v="5"/>
    <x v="0"/>
    <s v="14-08-1966"/>
    <n v="8500"/>
    <x v="6"/>
    <x v="15"/>
    <x v="3"/>
    <n v="55000"/>
  </r>
  <r>
    <n v="1095805112"/>
    <x v="86"/>
    <x v="0"/>
    <x v="0"/>
    <s v="26-10-1970"/>
    <n v="8500"/>
    <x v="0"/>
    <x v="19"/>
    <x v="5"/>
    <n v="82000"/>
  </r>
  <r>
    <n v="37544305"/>
    <x v="87"/>
    <x v="18"/>
    <x v="0"/>
    <s v="26-10-1968"/>
    <n v="8500"/>
    <x v="2"/>
    <x v="3"/>
    <x v="3"/>
    <n v="78000"/>
  </r>
  <r>
    <n v="1098697464"/>
    <x v="88"/>
    <x v="30"/>
    <x v="0"/>
    <s v="23-02-1972"/>
    <n v="8500"/>
    <x v="4"/>
    <x v="5"/>
    <x v="3"/>
    <n v="61000"/>
  </r>
  <r>
    <n v="37863212"/>
    <x v="89"/>
    <x v="0"/>
    <x v="0"/>
    <s v="18-08-1974"/>
    <n v="8500"/>
    <x v="0"/>
    <x v="28"/>
    <x v="2"/>
    <n v="84000"/>
  </r>
  <r>
    <n v="1095804143"/>
    <x v="90"/>
    <x v="31"/>
    <x v="1"/>
    <s v="16-03-1972"/>
    <n v="8500"/>
    <x v="2"/>
    <x v="8"/>
    <x v="6"/>
    <n v="76000"/>
  </r>
  <r>
    <n v="63527561"/>
    <x v="91"/>
    <x v="32"/>
    <x v="0"/>
    <s v="27-06-1970"/>
    <n v="8500"/>
    <x v="6"/>
    <x v="25"/>
    <x v="10"/>
    <n v="67000"/>
  </r>
  <r>
    <n v="1098637515"/>
    <x v="92"/>
    <x v="6"/>
    <x v="0"/>
    <s v="23-02-1972"/>
    <n v="8500"/>
    <x v="0"/>
    <x v="7"/>
    <x v="5"/>
    <n v="70000"/>
  </r>
  <r>
    <n v="63454040"/>
    <x v="93"/>
    <x v="8"/>
    <x v="0"/>
    <s v="23-02-1979"/>
    <n v="8500"/>
    <x v="4"/>
    <x v="13"/>
    <x v="3"/>
    <n v="72000"/>
  </r>
  <r>
    <n v="1098602377"/>
    <x v="94"/>
    <x v="6"/>
    <x v="0"/>
    <s v="16-03-1972"/>
    <n v="8500"/>
    <x v="3"/>
    <x v="23"/>
    <x v="5"/>
    <n v="75000"/>
  </r>
  <r>
    <n v="37721594"/>
    <x v="95"/>
    <x v="15"/>
    <x v="0"/>
    <s v="20-10-1974"/>
    <n v="8500"/>
    <x v="6"/>
    <x v="15"/>
    <x v="3"/>
    <n v="68000"/>
  </r>
  <r>
    <n v="1098649562"/>
    <x v="96"/>
    <x v="14"/>
    <x v="0"/>
    <s v="16-03-1972"/>
    <n v="12700"/>
    <x v="2"/>
    <x v="8"/>
    <x v="6"/>
    <n v="71000"/>
  </r>
  <r>
    <n v="1095914538"/>
    <x v="97"/>
    <x v="18"/>
    <x v="0"/>
    <s v="10-03-1972"/>
    <n v="12700"/>
    <x v="0"/>
    <x v="27"/>
    <x v="7"/>
    <n v="70000"/>
  </r>
  <r>
    <n v="1104068869"/>
    <x v="98"/>
    <x v="21"/>
    <x v="0"/>
    <s v="4-05-1970"/>
    <n v="12700"/>
    <x v="6"/>
    <x v="25"/>
    <x v="10"/>
    <n v="62000"/>
  </r>
  <r>
    <n v="63517394"/>
    <x v="99"/>
    <x v="33"/>
    <x v="0"/>
    <s v="5-01-1970"/>
    <n v="12700"/>
    <x v="6"/>
    <x v="26"/>
    <x v="4"/>
    <n v="71000"/>
  </r>
  <r>
    <n v="91514413"/>
    <x v="100"/>
    <x v="0"/>
    <x v="1"/>
    <s v="16-03-1972"/>
    <n v="12700"/>
    <x v="6"/>
    <x v="27"/>
    <x v="7"/>
    <n v="69000"/>
  </r>
  <r>
    <n v="1098624135"/>
    <x v="101"/>
    <x v="28"/>
    <x v="1"/>
    <s v="23-02-1972"/>
    <n v="12700"/>
    <x v="0"/>
    <x v="28"/>
    <x v="2"/>
    <n v="53000"/>
  </r>
  <r>
    <n v="1098697626"/>
    <x v="102"/>
    <x v="0"/>
    <x v="1"/>
    <s v="1-06-1970"/>
    <n v="12700"/>
    <x v="0"/>
    <x v="11"/>
    <x v="2"/>
    <n v="62000"/>
  </r>
  <r>
    <n v="1098670127"/>
    <x v="103"/>
    <x v="21"/>
    <x v="0"/>
    <s v="5-05-1966"/>
    <n v="12700"/>
    <x v="3"/>
    <x v="1"/>
    <x v="1"/>
    <n v="57000"/>
  </r>
  <r>
    <n v="63364316"/>
    <x v="104"/>
    <x v="34"/>
    <x v="0"/>
    <s v="10-03-1972"/>
    <n v="18794"/>
    <x v="4"/>
    <x v="22"/>
    <x v="6"/>
    <n v="69000"/>
  </r>
  <r>
    <n v="1098671080"/>
    <x v="105"/>
    <x v="33"/>
    <x v="1"/>
    <s v="4-02-1974"/>
    <n v="18794"/>
    <x v="6"/>
    <x v="17"/>
    <x v="0"/>
    <n v="76000"/>
  </r>
  <r>
    <n v="1098635041"/>
    <x v="106"/>
    <x v="17"/>
    <x v="1"/>
    <s v="20-10-1974"/>
    <n v="8500"/>
    <x v="8"/>
    <x v="28"/>
    <x v="2"/>
    <n v="69000"/>
  </r>
  <r>
    <n v="1098658859"/>
    <x v="107"/>
    <x v="5"/>
    <x v="0"/>
    <s v="10-03-1979"/>
    <n v="8500"/>
    <x v="4"/>
    <x v="13"/>
    <x v="3"/>
    <n v="81000"/>
  </r>
  <r>
    <n v="1098700260"/>
    <x v="108"/>
    <x v="27"/>
    <x v="0"/>
    <s v="10-03-1972"/>
    <n v="8500"/>
    <x v="0"/>
    <x v="28"/>
    <x v="2"/>
    <n v="51000"/>
  </r>
  <r>
    <n v="1095790985"/>
    <x v="109"/>
    <x v="25"/>
    <x v="0"/>
    <s v="4-01-1972"/>
    <n v="8500"/>
    <x v="0"/>
    <x v="20"/>
    <x v="8"/>
    <n v="61000"/>
  </r>
  <r>
    <n v="37749669"/>
    <x v="110"/>
    <x v="28"/>
    <x v="0"/>
    <s v="10-03-1972"/>
    <n v="8500"/>
    <x v="6"/>
    <x v="27"/>
    <x v="7"/>
    <n v="52000"/>
  </r>
  <r>
    <n v="1098648094"/>
    <x v="111"/>
    <x v="5"/>
    <x v="1"/>
    <s v="21-01-1974"/>
    <n v="8500"/>
    <x v="8"/>
    <x v="26"/>
    <x v="4"/>
    <n v="59000"/>
  </r>
  <r>
    <n v="1098700076"/>
    <x v="112"/>
    <x v="20"/>
    <x v="0"/>
    <s v="23-02-1972"/>
    <n v="8500"/>
    <x v="1"/>
    <x v="5"/>
    <x v="3"/>
    <n v="82000"/>
  </r>
  <r>
    <n v="1098678979"/>
    <x v="113"/>
    <x v="11"/>
    <x v="0"/>
    <s v="4-01-1972"/>
    <n v="8500"/>
    <x v="3"/>
    <x v="10"/>
    <x v="4"/>
    <n v="80000"/>
  </r>
  <r>
    <n v="1095798941"/>
    <x v="114"/>
    <x v="24"/>
    <x v="1"/>
    <s v="28-12-1970"/>
    <n v="8500"/>
    <x v="8"/>
    <x v="20"/>
    <x v="8"/>
    <n v="66000"/>
  </r>
  <r>
    <n v="1098614975"/>
    <x v="115"/>
    <x v="25"/>
    <x v="0"/>
    <s v="10-03-1972"/>
    <n v="9400"/>
    <x v="3"/>
    <x v="22"/>
    <x v="6"/>
    <n v="81000"/>
  </r>
  <r>
    <n v="37861439"/>
    <x v="116"/>
    <x v="11"/>
    <x v="0"/>
    <s v="20-10-1974"/>
    <n v="9400"/>
    <x v="6"/>
    <x v="18"/>
    <x v="1"/>
    <n v="71000"/>
  </r>
  <r>
    <n v="1075653429"/>
    <x v="117"/>
    <x v="4"/>
    <x v="1"/>
    <s v="23-02-1972"/>
    <n v="9400"/>
    <x v="4"/>
    <x v="10"/>
    <x v="4"/>
    <n v="51000"/>
  </r>
  <r>
    <n v="63545974"/>
    <x v="118"/>
    <x v="35"/>
    <x v="0"/>
    <s v="21-09-1968"/>
    <n v="8500"/>
    <x v="0"/>
    <x v="3"/>
    <x v="3"/>
    <n v="64000"/>
  </r>
  <r>
    <n v="91539045"/>
    <x v="119"/>
    <x v="19"/>
    <x v="1"/>
    <s v="24-08-1968"/>
    <n v="8500"/>
    <x v="4"/>
    <x v="22"/>
    <x v="6"/>
    <n v="67000"/>
  </r>
  <r>
    <n v="37551817"/>
    <x v="120"/>
    <x v="32"/>
    <x v="0"/>
    <s v="26-10-1970"/>
    <n v="8500"/>
    <x v="8"/>
    <x v="28"/>
    <x v="2"/>
    <n v="57000"/>
  </r>
  <r>
    <n v="67017079"/>
    <x v="121"/>
    <x v="7"/>
    <x v="0"/>
    <s v="5-01-1970"/>
    <n v="8500"/>
    <x v="6"/>
    <x v="26"/>
    <x v="4"/>
    <n v="65000"/>
  </r>
  <r>
    <n v="63547981"/>
    <x v="122"/>
    <x v="4"/>
    <x v="0"/>
    <s v="24-08-1968"/>
    <n v="11000"/>
    <x v="3"/>
    <x v="24"/>
    <x v="9"/>
    <n v="68000"/>
  </r>
  <r>
    <n v="1032377677"/>
    <x v="123"/>
    <x v="3"/>
    <x v="1"/>
    <s v="16-03-1972"/>
    <n v="18794"/>
    <x v="2"/>
    <x v="8"/>
    <x v="6"/>
    <n v="55000"/>
  </r>
  <r>
    <n v="1098699491"/>
    <x v="124"/>
    <x v="36"/>
    <x v="0"/>
    <s v="10-03-1972"/>
    <n v="18794"/>
    <x v="4"/>
    <x v="16"/>
    <x v="7"/>
    <n v="79000"/>
  </r>
  <r>
    <n v="28152673"/>
    <x v="125"/>
    <x v="0"/>
    <x v="0"/>
    <s v="10-03-1979"/>
    <n v="18794"/>
    <x v="1"/>
    <x v="13"/>
    <x v="3"/>
    <n v="58000"/>
  </r>
  <r>
    <n v="1098696399"/>
    <x v="126"/>
    <x v="22"/>
    <x v="0"/>
    <s v="14-08-1970"/>
    <n v="18794"/>
    <x v="8"/>
    <x v="28"/>
    <x v="2"/>
    <n v="52000"/>
  </r>
  <r>
    <n v="13542788"/>
    <x v="127"/>
    <x v="5"/>
    <x v="1"/>
    <s v="20-10-1974"/>
    <n v="18794"/>
    <x v="4"/>
    <x v="2"/>
    <x v="2"/>
    <n v="57000"/>
  </r>
  <r>
    <n v="1098629416"/>
    <x v="128"/>
    <x v="18"/>
    <x v="0"/>
    <s v="27-06-1968"/>
    <n v="18794"/>
    <x v="5"/>
    <x v="3"/>
    <x v="3"/>
    <n v="80000"/>
  </r>
  <r>
    <n v="63552634"/>
    <x v="129"/>
    <x v="32"/>
    <x v="0"/>
    <s v="10-03-1972"/>
    <n v="18794"/>
    <x v="1"/>
    <x v="5"/>
    <x v="3"/>
    <n v="70000"/>
  </r>
  <r>
    <n v="1098656657"/>
    <x v="130"/>
    <x v="29"/>
    <x v="1"/>
    <s v="5-10-1970"/>
    <n v="18794"/>
    <x v="0"/>
    <x v="19"/>
    <x v="5"/>
    <n v="70000"/>
  </r>
  <r>
    <n v="1098642798"/>
    <x v="131"/>
    <x v="16"/>
    <x v="1"/>
    <s v="23-02-1972"/>
    <n v="18794"/>
    <x v="6"/>
    <x v="7"/>
    <x v="5"/>
    <n v="59000"/>
  </r>
  <r>
    <n v="1098640959"/>
    <x v="132"/>
    <x v="0"/>
    <x v="1"/>
    <s v="26-10-1970"/>
    <n v="18794"/>
    <x v="0"/>
    <x v="6"/>
    <x v="5"/>
    <n v="57000"/>
  </r>
  <r>
    <n v="1098607445"/>
    <x v="133"/>
    <x v="3"/>
    <x v="0"/>
    <s v="16-03-1972"/>
    <n v="9400"/>
    <x v="1"/>
    <x v="23"/>
    <x v="5"/>
    <n v="62000"/>
  </r>
  <r>
    <n v="1069716376"/>
    <x v="134"/>
    <x v="14"/>
    <x v="0"/>
    <s v="25-08-1968"/>
    <n v="7600"/>
    <x v="1"/>
    <x v="26"/>
    <x v="4"/>
    <n v="85000"/>
  </r>
  <r>
    <n v="1098688434"/>
    <x v="135"/>
    <x v="9"/>
    <x v="0"/>
    <s v="23-02-1972"/>
    <n v="7600"/>
    <x v="0"/>
    <x v="15"/>
    <x v="3"/>
    <n v="62000"/>
  </r>
  <r>
    <n v="1098636738"/>
    <x v="136"/>
    <x v="37"/>
    <x v="0"/>
    <s v="16-03-1972"/>
    <n v="7600"/>
    <x v="2"/>
    <x v="8"/>
    <x v="6"/>
    <n v="72000"/>
  </r>
  <r>
    <n v="1098647803"/>
    <x v="137"/>
    <x v="4"/>
    <x v="0"/>
    <s v="15-06-1965"/>
    <n v="7600"/>
    <x v="3"/>
    <x v="6"/>
    <x v="5"/>
    <n v="70000"/>
  </r>
  <r>
    <n v="1098713679"/>
    <x v="138"/>
    <x v="33"/>
    <x v="0"/>
    <s v="23-02-1979"/>
    <n v="7600"/>
    <x v="8"/>
    <x v="0"/>
    <x v="0"/>
    <n v="70000"/>
  </r>
  <r>
    <n v="1001064380"/>
    <x v="139"/>
    <x v="20"/>
    <x v="1"/>
    <s v="16-06-1974"/>
    <n v="7600"/>
    <x v="1"/>
    <x v="17"/>
    <x v="0"/>
    <n v="50000"/>
  </r>
  <r>
    <n v="91185925"/>
    <x v="140"/>
    <x v="32"/>
    <x v="1"/>
    <s v="5-10-1970"/>
    <n v="7600"/>
    <x v="7"/>
    <x v="24"/>
    <x v="2"/>
    <n v="50000"/>
  </r>
  <r>
    <n v="1095916222"/>
    <x v="141"/>
    <x v="9"/>
    <x v="0"/>
    <s v="16-06-1974"/>
    <n v="7600"/>
    <x v="0"/>
    <x v="25"/>
    <x v="10"/>
    <n v="60000"/>
  </r>
  <r>
    <n v="63556987"/>
    <x v="142"/>
    <x v="21"/>
    <x v="0"/>
    <s v="5-10-1970"/>
    <n v="11637"/>
    <x v="4"/>
    <x v="2"/>
    <x v="2"/>
    <n v="50000"/>
  </r>
  <r>
    <n v="1098687956"/>
    <x v="143"/>
    <x v="14"/>
    <x v="0"/>
    <s v="1-06-1970"/>
    <n v="16357"/>
    <x v="0"/>
    <x v="11"/>
    <x v="2"/>
    <n v="56000"/>
  </r>
  <r>
    <n v="1098678414"/>
    <x v="144"/>
    <x v="38"/>
    <x v="0"/>
    <s v="23-02-1979"/>
    <n v="8500"/>
    <x v="0"/>
    <x v="0"/>
    <x v="0"/>
    <n v="83000"/>
  </r>
  <r>
    <n v="1098641024"/>
    <x v="145"/>
    <x v="5"/>
    <x v="0"/>
    <s v="16-03-1972"/>
    <n v="13600"/>
    <x v="3"/>
    <x v="23"/>
    <x v="5"/>
    <n v="77000"/>
  </r>
  <r>
    <n v="63534775"/>
    <x v="146"/>
    <x v="27"/>
    <x v="0"/>
    <s v="27-06-1968"/>
    <n v="13600"/>
    <x v="3"/>
    <x v="22"/>
    <x v="6"/>
    <n v="55000"/>
  </r>
  <r>
    <n v="91535857"/>
    <x v="147"/>
    <x v="20"/>
    <x v="1"/>
    <s v="14-08-1970"/>
    <n v="13600"/>
    <x v="3"/>
    <x v="10"/>
    <x v="4"/>
    <n v="68000"/>
  </r>
  <r>
    <n v="1095786636"/>
    <x v="148"/>
    <x v="24"/>
    <x v="0"/>
    <s v="18-08-1974"/>
    <n v="13600"/>
    <x v="0"/>
    <x v="26"/>
    <x v="4"/>
    <n v="88000"/>
  </r>
  <r>
    <n v="1033708844"/>
    <x v="149"/>
    <x v="29"/>
    <x v="1"/>
    <s v="24-08-1968"/>
    <n v="13600"/>
    <x v="6"/>
    <x v="3"/>
    <x v="3"/>
    <n v="63000"/>
  </r>
  <r>
    <n v="63548503"/>
    <x v="150"/>
    <x v="10"/>
    <x v="0"/>
    <s v="4-05-1970"/>
    <n v="13600"/>
    <x v="5"/>
    <x v="24"/>
    <x v="2"/>
    <n v="71000"/>
  </r>
  <r>
    <n v="1098659077"/>
    <x v="151"/>
    <x v="27"/>
    <x v="0"/>
    <s v="10-03-1972"/>
    <n v="13600"/>
    <x v="7"/>
    <x v="22"/>
    <x v="6"/>
    <n v="72000"/>
  </r>
  <r>
    <n v="37548184"/>
    <x v="152"/>
    <x v="5"/>
    <x v="0"/>
    <s v="21-09-1970"/>
    <n v="13600"/>
    <x v="0"/>
    <x v="19"/>
    <x v="5"/>
    <n v="87000"/>
  </r>
  <r>
    <n v="1102359577"/>
    <x v="153"/>
    <x v="39"/>
    <x v="0"/>
    <s v="5-01-1970"/>
    <n v="13600"/>
    <x v="6"/>
    <x v="14"/>
    <x v="3"/>
    <n v="64000"/>
  </r>
  <r>
    <n v="1095794073"/>
    <x v="154"/>
    <x v="38"/>
    <x v="1"/>
    <s v="4-01-1972"/>
    <n v="11500"/>
    <x v="0"/>
    <x v="14"/>
    <x v="3"/>
    <n v="50000"/>
  </r>
  <r>
    <n v="1090428247"/>
    <x v="155"/>
    <x v="32"/>
    <x v="0"/>
    <s v="21-09-1968"/>
    <n v="11500"/>
    <x v="2"/>
    <x v="29"/>
    <x v="8"/>
    <n v="81000"/>
  </r>
  <r>
    <n v="37861541"/>
    <x v="156"/>
    <x v="20"/>
    <x v="0"/>
    <s v="5-10-1970"/>
    <n v="11500"/>
    <x v="6"/>
    <x v="21"/>
    <x v="4"/>
    <n v="67000"/>
  </r>
  <r>
    <n v="669406939.60000002"/>
    <x v="157"/>
    <x v="25"/>
    <x v="0"/>
    <s v="21-09-1968"/>
    <n v="18794"/>
    <x v="6"/>
    <x v="9"/>
    <x v="0"/>
    <n v="63000"/>
  </r>
  <r>
    <n v="668276478"/>
    <x v="158"/>
    <x v="4"/>
    <x v="1"/>
    <s v="24-08-1970"/>
    <n v="18794"/>
    <x v="3"/>
    <x v="13"/>
    <x v="3"/>
    <n v="78000"/>
  </r>
  <r>
    <n v="667146016.39999998"/>
    <x v="159"/>
    <x v="11"/>
    <x v="0"/>
    <s v="10-03-1972"/>
    <n v="18794"/>
    <x v="6"/>
    <x v="27"/>
    <x v="7"/>
    <n v="54000"/>
  </r>
  <r>
    <n v="666015554.79999995"/>
    <x v="160"/>
    <x v="3"/>
    <x v="0"/>
    <s v="10-03-1972"/>
    <n v="18794"/>
    <x v="3"/>
    <x v="24"/>
    <x v="9"/>
    <n v="80000"/>
  </r>
  <r>
    <n v="664885093.20000005"/>
    <x v="161"/>
    <x v="39"/>
    <x v="0"/>
    <s v="4-02-1974"/>
    <n v="18794"/>
    <x v="6"/>
    <x v="26"/>
    <x v="4"/>
    <n v="76000"/>
  </r>
  <r>
    <n v="663754631.60000002"/>
    <x v="162"/>
    <x v="25"/>
    <x v="0"/>
    <s v="21-01-1974"/>
    <n v="18794"/>
    <x v="4"/>
    <x v="5"/>
    <x v="3"/>
    <n v="59000"/>
  </r>
  <r>
    <n v="662624170"/>
    <x v="163"/>
    <x v="8"/>
    <x v="1"/>
    <s v="10-03-1972"/>
    <n v="18794"/>
    <x v="8"/>
    <x v="27"/>
    <x v="7"/>
    <n v="87000"/>
  </r>
  <r>
    <n v="661493708.39999998"/>
    <x v="164"/>
    <x v="40"/>
    <x v="0"/>
    <s v="14-08-1970"/>
    <n v="9400"/>
    <x v="1"/>
    <x v="4"/>
    <x v="4"/>
    <n v="85000"/>
  </r>
  <r>
    <n v="660363246.79999995"/>
    <x v="165"/>
    <x v="33"/>
    <x v="0"/>
    <s v="24-08-1970"/>
    <n v="9400"/>
    <x v="4"/>
    <x v="5"/>
    <x v="3"/>
    <n v="76000"/>
  </r>
  <r>
    <n v="659232785.20000005"/>
    <x v="166"/>
    <x v="10"/>
    <x v="0"/>
    <s v="14-08-1970"/>
    <n v="9400"/>
    <x v="0"/>
    <x v="7"/>
    <x v="5"/>
    <n v="59000"/>
  </r>
  <r>
    <n v="658102323.60000002"/>
    <x v="167"/>
    <x v="39"/>
    <x v="1"/>
    <s v="21-09-1970"/>
    <n v="15300"/>
    <x v="6"/>
    <x v="21"/>
    <x v="4"/>
    <n v="87000"/>
  </r>
  <r>
    <n v="656971862"/>
    <x v="168"/>
    <x v="8"/>
    <x v="1"/>
    <s v="5-10-1970"/>
    <n v="15300"/>
    <x v="6"/>
    <x v="26"/>
    <x v="4"/>
    <n v="69000"/>
  </r>
  <r>
    <n v="655841400.39999998"/>
    <x v="169"/>
    <x v="38"/>
    <x v="1"/>
    <s v="5-10-1970"/>
    <n v="15300"/>
    <x v="0"/>
    <x v="6"/>
    <x v="5"/>
    <n v="85000"/>
  </r>
  <r>
    <n v="654710938.79999995"/>
    <x v="170"/>
    <x v="6"/>
    <x v="0"/>
    <s v="28-12-1966"/>
    <n v="15300"/>
    <x v="6"/>
    <x v="15"/>
    <x v="3"/>
    <n v="63000"/>
  </r>
  <r>
    <n v="1098675256"/>
    <x v="171"/>
    <x v="10"/>
    <x v="0"/>
    <s v="18-08-1974"/>
    <n v="15300"/>
    <x v="7"/>
    <x v="18"/>
    <x v="1"/>
    <n v="88000"/>
  </r>
  <r>
    <n v="1098689818"/>
    <x v="172"/>
    <x v="39"/>
    <x v="0"/>
    <s v="26-10-1968"/>
    <n v="15300"/>
    <x v="4"/>
    <x v="22"/>
    <x v="6"/>
    <n v="86000"/>
  </r>
  <r>
    <n v="1098675366"/>
    <x v="173"/>
    <x v="24"/>
    <x v="1"/>
    <s v="10-03-1972"/>
    <n v="15300"/>
    <x v="6"/>
    <x v="27"/>
    <x v="7"/>
    <n v="78000"/>
  </r>
  <r>
    <n v="1098695454"/>
    <x v="174"/>
    <x v="25"/>
    <x v="0"/>
    <s v="24-08-1970"/>
    <n v="15300"/>
    <x v="1"/>
    <x v="13"/>
    <x v="3"/>
    <n v="89000"/>
  </r>
  <r>
    <n v="1095802864"/>
    <x v="175"/>
    <x v="40"/>
    <x v="0"/>
    <s v="21-09-1966"/>
    <n v="20500"/>
    <x v="1"/>
    <x v="1"/>
    <x v="1"/>
    <n v="80000"/>
  </r>
  <r>
    <n v="1098670611"/>
    <x v="176"/>
    <x v="32"/>
    <x v="0"/>
    <s v="18-08-1974"/>
    <n v="20500"/>
    <x v="8"/>
    <x v="3"/>
    <x v="3"/>
    <n v="64000"/>
  </r>
  <r>
    <n v="1020402335"/>
    <x v="177"/>
    <x v="24"/>
    <x v="1"/>
    <s v="23-02-1979"/>
    <n v="20500"/>
    <x v="0"/>
    <x v="0"/>
    <x v="0"/>
    <n v="63000"/>
  </r>
  <r>
    <n v="63530498"/>
    <x v="178"/>
    <x v="5"/>
    <x v="0"/>
    <s v="23-02-1972"/>
    <n v="20500"/>
    <x v="0"/>
    <x v="9"/>
    <x v="0"/>
    <n v="54000"/>
  </r>
  <r>
    <n v="1098648551"/>
    <x v="179"/>
    <x v="38"/>
    <x v="0"/>
    <s v="26-10-1970"/>
    <n v="20500"/>
    <x v="8"/>
    <x v="19"/>
    <x v="5"/>
    <n v="64000"/>
  </r>
  <r>
    <n v="1098615966"/>
    <x v="180"/>
    <x v="39"/>
    <x v="0"/>
    <s v="21-09-1968"/>
    <n v="20500"/>
    <x v="2"/>
    <x v="29"/>
    <x v="8"/>
    <n v="76000"/>
  </r>
  <r>
    <n v="1095805798"/>
    <x v="181"/>
    <x v="38"/>
    <x v="1"/>
    <s v="24-08-1970"/>
    <n v="20500"/>
    <x v="1"/>
    <x v="4"/>
    <x v="4"/>
    <n v="85000"/>
  </r>
  <r>
    <n v="91520098"/>
    <x v="182"/>
    <x v="40"/>
    <x v="1"/>
    <s v="5-10-1970"/>
    <n v="20500"/>
    <x v="8"/>
    <x v="20"/>
    <x v="8"/>
    <n v="56000"/>
  </r>
  <r>
    <n v="1102361472"/>
    <x v="183"/>
    <x v="10"/>
    <x v="0"/>
    <s v="23-02-1972"/>
    <n v="20500"/>
    <x v="6"/>
    <x v="15"/>
    <x v="3"/>
    <n v="57000"/>
  </r>
  <r>
    <n v="1098687096"/>
    <x v="184"/>
    <x v="39"/>
    <x v="0"/>
    <s v="28-12-1970"/>
    <n v="20500"/>
    <x v="0"/>
    <x v="28"/>
    <x v="2"/>
    <n v="86000"/>
  </r>
  <r>
    <n v="1095922446"/>
    <x v="185"/>
    <x v="24"/>
    <x v="0"/>
    <s v="4-01-1972"/>
    <n v="9600"/>
    <x v="3"/>
    <x v="5"/>
    <x v="3"/>
    <n v="76000"/>
  </r>
  <r>
    <n v="1098677915"/>
    <x v="186"/>
    <x v="40"/>
    <x v="0"/>
    <s v="27-06-1968"/>
    <n v="9600"/>
    <x v="6"/>
    <x v="9"/>
    <x v="0"/>
    <n v="60000"/>
  </r>
  <r>
    <n v="1098695049"/>
    <x v="187"/>
    <x v="36"/>
    <x v="0"/>
    <s v="16-03-1972"/>
    <n v="9600"/>
    <x v="2"/>
    <x v="8"/>
    <x v="6"/>
    <n v="62000"/>
  </r>
  <r>
    <n v="1098676724"/>
    <x v="188"/>
    <x v="19"/>
    <x v="0"/>
    <s v="10-03-1972"/>
    <n v="9600"/>
    <x v="3"/>
    <x v="10"/>
    <x v="4"/>
    <n v="70000"/>
  </r>
  <r>
    <n v="1098617202"/>
    <x v="189"/>
    <x v="7"/>
    <x v="0"/>
    <s v="5-01-1970"/>
    <n v="9600"/>
    <x v="6"/>
    <x v="11"/>
    <x v="2"/>
    <n v="72000"/>
  </r>
  <r>
    <n v="1019003163"/>
    <x v="190"/>
    <x v="10"/>
    <x v="1"/>
    <s v="20-10-1974"/>
    <n v="7600"/>
    <x v="7"/>
    <x v="18"/>
    <x v="1"/>
    <n v="82000"/>
  </r>
  <r>
    <n v="80227422"/>
    <x v="191"/>
    <x v="2"/>
    <x v="1"/>
    <s v="18-08-1974"/>
    <n v="7600"/>
    <x v="1"/>
    <x v="26"/>
    <x v="4"/>
    <n v="58000"/>
  </r>
  <r>
    <n v="1098608926"/>
    <x v="192"/>
    <x v="5"/>
    <x v="0"/>
    <s v="21-01-1974"/>
    <n v="7600"/>
    <x v="0"/>
    <x v="11"/>
    <x v="2"/>
    <n v="66000"/>
  </r>
  <r>
    <n v="37551131"/>
    <x v="193"/>
    <x v="36"/>
    <x v="0"/>
    <s v="23-02-1979"/>
    <n v="7600"/>
    <x v="1"/>
    <x v="13"/>
    <x v="3"/>
    <n v="66000"/>
  </r>
  <r>
    <n v="28155760"/>
    <x v="194"/>
    <x v="40"/>
    <x v="0"/>
    <s v="1-06-1966"/>
    <n v="7600"/>
    <x v="4"/>
    <x v="1"/>
    <x v="1"/>
    <n v="77000"/>
  </r>
  <r>
    <n v="63555692"/>
    <x v="195"/>
    <x v="1"/>
    <x v="0"/>
    <s v="10-03-1972"/>
    <n v="7600"/>
    <x v="5"/>
    <x v="12"/>
    <x v="6"/>
    <n v="78000"/>
  </r>
  <r>
    <n v="37514242"/>
    <x v="196"/>
    <x v="5"/>
    <x v="0"/>
    <s v="14-08-1970"/>
    <n v="7600"/>
    <x v="1"/>
    <x v="13"/>
    <x v="3"/>
    <n v="77000"/>
  </r>
  <r>
    <n v="37618003"/>
    <x v="197"/>
    <x v="22"/>
    <x v="0"/>
    <s v="21-09-1970"/>
    <n v="9400"/>
    <x v="1"/>
    <x v="2"/>
    <x v="2"/>
    <n v="76000"/>
  </r>
  <r>
    <n v="63451716"/>
    <x v="198"/>
    <x v="13"/>
    <x v="0"/>
    <s v="23-02-1972"/>
    <n v="9400"/>
    <x v="3"/>
    <x v="10"/>
    <x v="4"/>
    <n v="66000"/>
  </r>
  <r>
    <n v="1098646952"/>
    <x v="199"/>
    <x v="32"/>
    <x v="0"/>
    <s v="27-06-1970"/>
    <n v="9400"/>
    <x v="4"/>
    <x v="2"/>
    <x v="2"/>
    <n v="73000"/>
  </r>
  <r>
    <n v="63528899"/>
    <x v="200"/>
    <x v="0"/>
    <x v="0"/>
    <s v="23-02-1972"/>
    <n v="9400"/>
    <x v="1"/>
    <x v="4"/>
    <x v="4"/>
    <n v="60000"/>
  </r>
  <r>
    <n v="1098665498"/>
    <x v="201"/>
    <x v="40"/>
    <x v="0"/>
    <s v="28-12-1970"/>
    <n v="9400"/>
    <x v="0"/>
    <x v="14"/>
    <x v="3"/>
    <n v="60000"/>
  </r>
  <r>
    <n v="38644053"/>
    <x v="202"/>
    <x v="18"/>
    <x v="0"/>
    <s v="1-06-1970"/>
    <n v="9400"/>
    <x v="8"/>
    <x v="20"/>
    <x v="8"/>
    <n v="64000"/>
  </r>
  <r>
    <n v="55222866"/>
    <x v="203"/>
    <x v="41"/>
    <x v="0"/>
    <s v="24-08-1970"/>
    <n v="9400"/>
    <x v="3"/>
    <x v="4"/>
    <x v="4"/>
    <n v="89000"/>
  </r>
  <r>
    <n v="13923427"/>
    <x v="204"/>
    <x v="29"/>
    <x v="1"/>
    <s v="5-10-1970"/>
    <n v="20500"/>
    <x v="3"/>
    <x v="16"/>
    <x v="7"/>
    <n v="70000"/>
  </r>
  <r>
    <n v="1095798612"/>
    <x v="205"/>
    <x v="16"/>
    <x v="1"/>
    <s v="26-10-1970"/>
    <n v="20500"/>
    <x v="0"/>
    <x v="28"/>
    <x v="2"/>
    <n v="73000"/>
  </r>
  <r>
    <n v="1098683151"/>
    <x v="206"/>
    <x v="4"/>
    <x v="0"/>
    <s v="23-02-1972"/>
    <n v="20500"/>
    <x v="1"/>
    <x v="5"/>
    <x v="3"/>
    <n v="66000"/>
  </r>
  <r>
    <n v="37617013"/>
    <x v="207"/>
    <x v="40"/>
    <x v="0"/>
    <s v="14-08-1970"/>
    <n v="20500"/>
    <x v="3"/>
    <x v="16"/>
    <x v="7"/>
    <n v="65000"/>
  </r>
  <r>
    <n v="1098625671"/>
    <x v="208"/>
    <x v="32"/>
    <x v="0"/>
    <s v="23-02-1979"/>
    <n v="20500"/>
    <x v="6"/>
    <x v="0"/>
    <x v="0"/>
    <n v="85000"/>
  </r>
  <r>
    <n v="1088269543"/>
    <x v="209"/>
    <x v="14"/>
    <x v="0"/>
    <s v="16-03-1972"/>
    <n v="12342"/>
    <x v="1"/>
    <x v="23"/>
    <x v="5"/>
    <n v="59000"/>
  </r>
  <r>
    <n v="1098691554"/>
    <x v="210"/>
    <x v="18"/>
    <x v="0"/>
    <s v="16-03-1972"/>
    <n v="17037"/>
    <x v="1"/>
    <x v="23"/>
    <x v="5"/>
    <n v="50000"/>
  </r>
  <r>
    <n v="1095788374"/>
    <x v="211"/>
    <x v="9"/>
    <x v="0"/>
    <s v="16-03-1972"/>
    <n v="12300"/>
    <x v="5"/>
    <x v="8"/>
    <x v="6"/>
    <n v="55000"/>
  </r>
  <r>
    <n v="37726313"/>
    <x v="212"/>
    <x v="0"/>
    <x v="0"/>
    <s v="14-08-1970"/>
    <n v="12300"/>
    <x v="8"/>
    <x v="14"/>
    <x v="3"/>
    <n v="57000"/>
  </r>
  <r>
    <n v="63503693"/>
    <x v="213"/>
    <x v="11"/>
    <x v="0"/>
    <s v="5-01-1970"/>
    <n v="12300"/>
    <x v="8"/>
    <x v="6"/>
    <x v="5"/>
    <n v="86000"/>
  </r>
  <r>
    <n v="1098673576"/>
    <x v="214"/>
    <x v="40"/>
    <x v="0"/>
    <s v="14-08-1970"/>
    <n v="12300"/>
    <x v="3"/>
    <x v="10"/>
    <x v="4"/>
    <n v="59000"/>
  </r>
  <r>
    <n v="1098615613"/>
    <x v="215"/>
    <x v="19"/>
    <x v="1"/>
    <s v="5-01-1970"/>
    <n v="12300"/>
    <x v="3"/>
    <x v="16"/>
    <x v="7"/>
    <n v="52000"/>
  </r>
  <r>
    <n v="1098681804"/>
    <x v="216"/>
    <x v="15"/>
    <x v="1"/>
    <s v="16-03-1972"/>
    <n v="7500"/>
    <x v="8"/>
    <x v="27"/>
    <x v="7"/>
    <n v="75000"/>
  </r>
  <r>
    <n v="43168539"/>
    <x v="217"/>
    <x v="8"/>
    <x v="0"/>
    <s v="23-02-1979"/>
    <n v="7500"/>
    <x v="0"/>
    <x v="0"/>
    <x v="0"/>
    <n v="66000"/>
  </r>
  <r>
    <n v="1095800033"/>
    <x v="218"/>
    <x v="29"/>
    <x v="0"/>
    <s v="20-10-1974"/>
    <n v="7500"/>
    <x v="6"/>
    <x v="6"/>
    <x v="5"/>
    <n v="74000"/>
  </r>
  <r>
    <n v="1098696557"/>
    <x v="219"/>
    <x v="10"/>
    <x v="0"/>
    <s v="26-10-1966"/>
    <n v="7500"/>
    <x v="8"/>
    <x v="15"/>
    <x v="3"/>
    <n v="64000"/>
  </r>
  <r>
    <n v="1095789394"/>
    <x v="220"/>
    <x v="26"/>
    <x v="0"/>
    <s v="16-03-1972"/>
    <n v="7500"/>
    <x v="7"/>
    <x v="8"/>
    <x v="6"/>
    <n v="71000"/>
  </r>
  <r>
    <n v="65558867"/>
    <x v="221"/>
    <x v="32"/>
    <x v="0"/>
    <s v="16-03-1972"/>
    <n v="7500"/>
    <x v="1"/>
    <x v="23"/>
    <x v="5"/>
    <n v="71000"/>
  </r>
  <r>
    <n v="1096482853"/>
    <x v="222"/>
    <x v="24"/>
    <x v="0"/>
    <s v="16-03-1972"/>
    <n v="7500"/>
    <x v="2"/>
    <x v="8"/>
    <x v="6"/>
    <n v="62000"/>
  </r>
  <r>
    <n v="1098647231"/>
    <x v="223"/>
    <x v="20"/>
    <x v="1"/>
    <s v="14-08-1970"/>
    <n v="7500"/>
    <x v="0"/>
    <x v="28"/>
    <x v="2"/>
    <n v="67000"/>
  </r>
  <r>
    <n v="1098633611"/>
    <x v="224"/>
    <x v="40"/>
    <x v="0"/>
    <s v="26-10-1968"/>
    <n v="7500"/>
    <x v="2"/>
    <x v="12"/>
    <x v="6"/>
    <n v="58000"/>
  </r>
  <r>
    <n v="63555306"/>
    <x v="225"/>
    <x v="6"/>
    <x v="0"/>
    <s v="14-08-1970"/>
    <n v="10600"/>
    <x v="8"/>
    <x v="19"/>
    <x v="5"/>
    <n v="71000"/>
  </r>
  <r>
    <n v="1098622533"/>
    <x v="226"/>
    <x v="5"/>
    <x v="0"/>
    <s v="14-08-1968"/>
    <n v="10600"/>
    <x v="5"/>
    <x v="29"/>
    <x v="8"/>
    <n v="68000"/>
  </r>
  <r>
    <n v="63493553"/>
    <x v="227"/>
    <x v="2"/>
    <x v="0"/>
    <s v="16-03-1972"/>
    <n v="10600"/>
    <x v="1"/>
    <x v="1"/>
    <x v="1"/>
    <n v="71000"/>
  </r>
  <r>
    <n v="1098628529"/>
    <x v="228"/>
    <x v="40"/>
    <x v="0"/>
    <s v="14-08-1970"/>
    <n v="10600"/>
    <x v="6"/>
    <x v="14"/>
    <x v="3"/>
    <n v="80000"/>
  </r>
  <r>
    <n v="1098608378"/>
    <x v="229"/>
    <x v="14"/>
    <x v="0"/>
    <s v="16-06-1974"/>
    <n v="10600"/>
    <x v="7"/>
    <x v="24"/>
    <x v="2"/>
    <n v="60000"/>
  </r>
  <r>
    <n v="91018239"/>
    <x v="230"/>
    <x v="21"/>
    <x v="1"/>
    <s v="16-03-1972"/>
    <n v="10600"/>
    <x v="6"/>
    <x v="27"/>
    <x v="7"/>
    <n v="55000"/>
  </r>
  <r>
    <n v="1096948800"/>
    <x v="231"/>
    <x v="0"/>
    <x v="1"/>
    <s v="26-10-1968"/>
    <n v="10600"/>
    <x v="3"/>
    <x v="22"/>
    <x v="6"/>
    <n v="73000"/>
  </r>
  <r>
    <n v="1102548363"/>
    <x v="232"/>
    <x v="29"/>
    <x v="1"/>
    <s v="23-02-1979"/>
    <n v="10600"/>
    <x v="6"/>
    <x v="0"/>
    <x v="0"/>
    <n v="84000"/>
  </r>
  <r>
    <n v="1098686933"/>
    <x v="233"/>
    <x v="36"/>
    <x v="0"/>
    <s v="14-08-1970"/>
    <n v="10600"/>
    <x v="4"/>
    <x v="13"/>
    <x v="3"/>
    <n v="58000"/>
  </r>
  <r>
    <n v="1095906352"/>
    <x v="234"/>
    <x v="10"/>
    <x v="1"/>
    <s v="27-06-1970"/>
    <n v="8500"/>
    <x v="6"/>
    <x v="11"/>
    <x v="2"/>
    <n v="79000"/>
  </r>
  <r>
    <n v="1095809282"/>
    <x v="235"/>
    <x v="21"/>
    <x v="0"/>
    <s v="21-09-1968"/>
    <n v="8500"/>
    <x v="2"/>
    <x v="12"/>
    <x v="6"/>
    <n v="57000"/>
  </r>
  <r>
    <n v="63555114"/>
    <x v="236"/>
    <x v="7"/>
    <x v="0"/>
    <s v="10-03-1979"/>
    <n v="8500"/>
    <x v="1"/>
    <x v="13"/>
    <x v="3"/>
    <n v="80000"/>
  </r>
  <r>
    <n v="63554968"/>
    <x v="237"/>
    <x v="2"/>
    <x v="0"/>
    <s v="1-06-1970"/>
    <n v="8500"/>
    <x v="4"/>
    <x v="16"/>
    <x v="7"/>
    <n v="64000"/>
  </r>
  <r>
    <n v="63530426"/>
    <x v="238"/>
    <x v="8"/>
    <x v="0"/>
    <s v="21-09-1968"/>
    <n v="8500"/>
    <x v="8"/>
    <x v="9"/>
    <x v="0"/>
    <n v="87000"/>
  </r>
  <r>
    <n v="91047510"/>
    <x v="239"/>
    <x v="10"/>
    <x v="1"/>
    <s v="5-01-1968"/>
    <n v="8500"/>
    <x v="6"/>
    <x v="9"/>
    <x v="0"/>
    <n v="72000"/>
  </r>
  <r>
    <n v="1098670921"/>
    <x v="240"/>
    <x v="6"/>
    <x v="0"/>
    <s v="26-10-1970"/>
    <n v="8500"/>
    <x v="0"/>
    <x v="7"/>
    <x v="5"/>
    <n v="72000"/>
  </r>
  <r>
    <n v="1098677939"/>
    <x v="241"/>
    <x v="15"/>
    <x v="0"/>
    <s v="5-10-1968"/>
    <n v="8500"/>
    <x v="2"/>
    <x v="29"/>
    <x v="8"/>
    <n v="57000"/>
  </r>
  <r>
    <n v="1098665040"/>
    <x v="242"/>
    <x v="10"/>
    <x v="0"/>
    <s v="5-10-1970"/>
    <n v="8500"/>
    <x v="4"/>
    <x v="16"/>
    <x v="7"/>
    <n v="76000"/>
  </r>
  <r>
    <n v="1098625411"/>
    <x v="243"/>
    <x v="23"/>
    <x v="0"/>
    <s v="18-08-1974"/>
    <n v="8500"/>
    <x v="2"/>
    <x v="18"/>
    <x v="1"/>
    <n v="60000"/>
  </r>
  <r>
    <n v="37862681"/>
    <x v="244"/>
    <x v="2"/>
    <x v="0"/>
    <s v="4-05-1966"/>
    <n v="10600"/>
    <x v="4"/>
    <x v="1"/>
    <x v="1"/>
    <n v="53000"/>
  </r>
  <r>
    <n v="1098693172"/>
    <x v="245"/>
    <x v="10"/>
    <x v="0"/>
    <s v="21-09-1966"/>
    <n v="10600"/>
    <x v="1"/>
    <x v="1"/>
    <x v="1"/>
    <n v="73000"/>
  </r>
  <r>
    <n v="1102361722"/>
    <x v="246"/>
    <x v="6"/>
    <x v="0"/>
    <s v="5-01-1968"/>
    <n v="10600"/>
    <x v="8"/>
    <x v="9"/>
    <x v="0"/>
    <n v="83000"/>
  </r>
  <r>
    <n v="1098635283"/>
    <x v="247"/>
    <x v="33"/>
    <x v="0"/>
    <s v="10-03-1972"/>
    <n v="10600"/>
    <x v="6"/>
    <x v="6"/>
    <x v="5"/>
    <n v="68000"/>
  </r>
  <r>
    <n v="1098693214"/>
    <x v="248"/>
    <x v="36"/>
    <x v="0"/>
    <s v="24-08-1970"/>
    <n v="10600"/>
    <x v="6"/>
    <x v="6"/>
    <x v="5"/>
    <n v="77000"/>
  </r>
  <r>
    <n v="1143125470"/>
    <x v="249"/>
    <x v="14"/>
    <x v="0"/>
    <s v="23-02-1972"/>
    <n v="10600"/>
    <x v="6"/>
    <x v="21"/>
    <x v="4"/>
    <n v="62000"/>
  </r>
  <r>
    <n v="63485118"/>
    <x v="250"/>
    <x v="21"/>
    <x v="0"/>
    <s v="1-09-1974"/>
    <n v="10600"/>
    <x v="6"/>
    <x v="25"/>
    <x v="10"/>
    <n v="85000"/>
  </r>
  <r>
    <n v="46674926"/>
    <x v="251"/>
    <x v="32"/>
    <x v="0"/>
    <s v="1-09-1974"/>
    <n v="10600"/>
    <x v="7"/>
    <x v="24"/>
    <x v="9"/>
    <n v="66000"/>
  </r>
  <r>
    <n v="1032406751"/>
    <x v="252"/>
    <x v="23"/>
    <x v="0"/>
    <s v="5-10-1968"/>
    <n v="8642"/>
    <x v="5"/>
    <x v="24"/>
    <x v="9"/>
    <n v="60000"/>
  </r>
  <r>
    <n v="1098662916"/>
    <x v="253"/>
    <x v="33"/>
    <x v="1"/>
    <s v="14-08-1970"/>
    <n v="10300"/>
    <x v="3"/>
    <x v="4"/>
    <x v="4"/>
    <n v="60000"/>
  </r>
  <r>
    <n v="63556625"/>
    <x v="254"/>
    <x v="14"/>
    <x v="0"/>
    <s v="5-01-1968"/>
    <n v="10300"/>
    <x v="5"/>
    <x v="18"/>
    <x v="1"/>
    <n v="73000"/>
  </r>
  <r>
    <n v="1098713685"/>
    <x v="255"/>
    <x v="14"/>
    <x v="0"/>
    <s v="23-02-1979"/>
    <n v="10300"/>
    <x v="1"/>
    <x v="13"/>
    <x v="3"/>
    <n v="64000"/>
  </r>
  <r>
    <n v="91538098"/>
    <x v="256"/>
    <x v="9"/>
    <x v="1"/>
    <s v="14-08-1966"/>
    <n v="10300"/>
    <x v="4"/>
    <x v="1"/>
    <x v="1"/>
    <n v="81000"/>
  </r>
  <r>
    <n v="91540958"/>
    <x v="257"/>
    <x v="32"/>
    <x v="1"/>
    <s v="21-09-1970"/>
    <n v="10300"/>
    <x v="6"/>
    <x v="21"/>
    <x v="4"/>
    <n v="84000"/>
  </r>
  <r>
    <n v="1095909681"/>
    <x v="258"/>
    <x v="18"/>
    <x v="0"/>
    <s v="14-08-1966"/>
    <n v="10300"/>
    <x v="0"/>
    <x v="15"/>
    <x v="3"/>
    <n v="82000"/>
  </r>
  <r>
    <n v="63545104"/>
    <x v="259"/>
    <x v="14"/>
    <x v="0"/>
    <s v="24-08-1968"/>
    <n v="10300"/>
    <x v="6"/>
    <x v="9"/>
    <x v="0"/>
    <n v="57000"/>
  </r>
  <r>
    <n v="1098676585"/>
    <x v="260"/>
    <x v="33"/>
    <x v="0"/>
    <s v="23-02-1979"/>
    <n v="10300"/>
    <x v="4"/>
    <x v="13"/>
    <x v="3"/>
    <n v="62000"/>
  </r>
  <r>
    <n v="1098660987"/>
    <x v="261"/>
    <x v="32"/>
    <x v="0"/>
    <s v="5-10-1968"/>
    <n v="10300"/>
    <x v="3"/>
    <x v="22"/>
    <x v="6"/>
    <n v="66000"/>
  </r>
  <r>
    <n v="1065983719"/>
    <x v="262"/>
    <x v="40"/>
    <x v="1"/>
    <s v="10-03-1979"/>
    <n v="15400"/>
    <x v="8"/>
    <x v="28"/>
    <x v="2"/>
    <n v="62000"/>
  </r>
  <r>
    <n v="1098649035"/>
    <x v="263"/>
    <x v="14"/>
    <x v="0"/>
    <s v="21-01-1974"/>
    <n v="15400"/>
    <x v="0"/>
    <x v="25"/>
    <x v="10"/>
    <n v="55000"/>
  </r>
  <r>
    <n v="1102361556"/>
    <x v="264"/>
    <x v="24"/>
    <x v="0"/>
    <s v="1-06-1968"/>
    <n v="15400"/>
    <x v="7"/>
    <x v="18"/>
    <x v="1"/>
    <n v="86000"/>
  </r>
  <r>
    <n v="1098631836"/>
    <x v="265"/>
    <x v="6"/>
    <x v="0"/>
    <s v="27-06-1968"/>
    <n v="15400"/>
    <x v="7"/>
    <x v="18"/>
    <x v="1"/>
    <n v="82000"/>
  </r>
  <r>
    <n v="1098671921"/>
    <x v="266"/>
    <x v="39"/>
    <x v="0"/>
    <s v="16-03-1972"/>
    <n v="15400"/>
    <x v="7"/>
    <x v="8"/>
    <x v="6"/>
    <n v="65000"/>
  </r>
  <r>
    <n v="1095805718"/>
    <x v="267"/>
    <x v="14"/>
    <x v="0"/>
    <s v="5-01-1970"/>
    <n v="15400"/>
    <x v="6"/>
    <x v="25"/>
    <x v="10"/>
    <n v="56000"/>
  </r>
  <r>
    <n v="1098668361"/>
    <x v="268"/>
    <x v="22"/>
    <x v="1"/>
    <s v="5-01-1970"/>
    <n v="15400"/>
    <x v="4"/>
    <x v="26"/>
    <x v="4"/>
    <n v="78000"/>
  </r>
  <r>
    <n v="63543415"/>
    <x v="269"/>
    <x v="6"/>
    <x v="0"/>
    <s v="16-06-1974"/>
    <n v="15400"/>
    <x v="0"/>
    <x v="20"/>
    <x v="8"/>
    <n v="55000"/>
  </r>
  <r>
    <n v="88223032"/>
    <x v="270"/>
    <x v="40"/>
    <x v="1"/>
    <s v="16-03-1972"/>
    <n v="15400"/>
    <x v="6"/>
    <x v="27"/>
    <x v="7"/>
    <n v="76000"/>
  </r>
  <r>
    <n v="37747804"/>
    <x v="271"/>
    <x v="24"/>
    <x v="0"/>
    <s v="26-10-1970"/>
    <n v="15400"/>
    <x v="1"/>
    <x v="13"/>
    <x v="3"/>
    <n v="58000"/>
  </r>
  <r>
    <n v="1098697972"/>
    <x v="272"/>
    <x v="6"/>
    <x v="0"/>
    <s v="24-08-1968"/>
    <n v="11400"/>
    <x v="2"/>
    <x v="3"/>
    <x v="3"/>
    <n v="62000"/>
  </r>
  <r>
    <n v="1098705648"/>
    <x v="273"/>
    <x v="22"/>
    <x v="0"/>
    <s v="14-08-1970"/>
    <n v="11400"/>
    <x v="6"/>
    <x v="11"/>
    <x v="2"/>
    <n v="69000"/>
  </r>
  <r>
    <n v="1095920840"/>
    <x v="274"/>
    <x v="14"/>
    <x v="1"/>
    <s v="1-09-1974"/>
    <n v="11400"/>
    <x v="8"/>
    <x v="9"/>
    <x v="0"/>
    <n v="80000"/>
  </r>
  <r>
    <n v="1098662740"/>
    <x v="275"/>
    <x v="10"/>
    <x v="1"/>
    <s v="1-06-1970"/>
    <n v="11400"/>
    <x v="4"/>
    <x v="16"/>
    <x v="7"/>
    <n v="79000"/>
  </r>
  <r>
    <n v="37514779"/>
    <x v="276"/>
    <x v="42"/>
    <x v="0"/>
    <s v="5-01-1968"/>
    <n v="11400"/>
    <x v="6"/>
    <x v="9"/>
    <x v="0"/>
    <n v="79000"/>
  </r>
  <r>
    <n v="91472649"/>
    <x v="277"/>
    <x v="6"/>
    <x v="1"/>
    <s v="20-10-1974"/>
    <n v="11400"/>
    <x v="8"/>
    <x v="21"/>
    <x v="4"/>
    <n v="57000"/>
  </r>
  <r>
    <n v="1102353635"/>
    <x v="278"/>
    <x v="14"/>
    <x v="1"/>
    <s v="20-10-1974"/>
    <n v="11400"/>
    <x v="7"/>
    <x v="18"/>
    <x v="1"/>
    <n v="87000"/>
  </r>
  <r>
    <n v="1098640354"/>
    <x v="279"/>
    <x v="23"/>
    <x v="0"/>
    <s v="27-06-1970"/>
    <n v="9400"/>
    <x v="0"/>
    <x v="14"/>
    <x v="3"/>
    <n v="84000"/>
  </r>
  <r>
    <n v="1098675565"/>
    <x v="280"/>
    <x v="27"/>
    <x v="1"/>
    <s v="21-09-1970"/>
    <n v="9400"/>
    <x v="1"/>
    <x v="5"/>
    <x v="3"/>
    <n v="71000"/>
  </r>
  <r>
    <n v="1098698603"/>
    <x v="281"/>
    <x v="33"/>
    <x v="0"/>
    <s v="16-03-1972"/>
    <n v="9400"/>
    <x v="1"/>
    <x v="23"/>
    <x v="5"/>
    <n v="51000"/>
  </r>
  <r>
    <n v="1095808760"/>
    <x v="282"/>
    <x v="18"/>
    <x v="0"/>
    <s v="21-09-1968"/>
    <n v="9400"/>
    <x v="7"/>
    <x v="29"/>
    <x v="8"/>
    <n v="64000"/>
  </r>
  <r>
    <n v="1098611581"/>
    <x v="283"/>
    <x v="17"/>
    <x v="1"/>
    <s v="14-08-1966"/>
    <n v="9400"/>
    <x v="0"/>
    <x v="15"/>
    <x v="3"/>
    <n v="76000"/>
  </r>
  <r>
    <n v="1098680918"/>
    <x v="284"/>
    <x v="6"/>
    <x v="0"/>
    <s v="16-03-1972"/>
    <n v="9400"/>
    <x v="2"/>
    <x v="8"/>
    <x v="6"/>
    <n v="78000"/>
  </r>
  <r>
    <n v="1102361186"/>
    <x v="285"/>
    <x v="3"/>
    <x v="1"/>
    <s v="21-09-1968"/>
    <n v="9400"/>
    <x v="2"/>
    <x v="12"/>
    <x v="6"/>
    <n v="81000"/>
  </r>
  <r>
    <n v="91524744"/>
    <x v="286"/>
    <x v="6"/>
    <x v="1"/>
    <s v="16-06-1974"/>
    <n v="9400"/>
    <x v="8"/>
    <x v="17"/>
    <x v="0"/>
    <n v="72000"/>
  </r>
  <r>
    <n v="1098668993"/>
    <x v="287"/>
    <x v="32"/>
    <x v="1"/>
    <s v="24-08-1970"/>
    <n v="14500"/>
    <x v="0"/>
    <x v="19"/>
    <x v="5"/>
    <n v="89000"/>
  </r>
  <r>
    <n v="1098652228"/>
    <x v="288"/>
    <x v="33"/>
    <x v="0"/>
    <s v="27-06-1970"/>
    <n v="14500"/>
    <x v="0"/>
    <x v="20"/>
    <x v="8"/>
    <n v="56000"/>
  </r>
  <r>
    <n v="1098635762"/>
    <x v="289"/>
    <x v="39"/>
    <x v="0"/>
    <s v="16-03-1972"/>
    <n v="14500"/>
    <x v="1"/>
    <x v="23"/>
    <x v="5"/>
    <n v="83000"/>
  </r>
  <r>
    <n v="1095798442"/>
    <x v="290"/>
    <x v="28"/>
    <x v="1"/>
    <s v="24-08-1970"/>
    <n v="14500"/>
    <x v="1"/>
    <x v="13"/>
    <x v="3"/>
    <n v="68000"/>
  </r>
  <r>
    <n v="1098612196"/>
    <x v="291"/>
    <x v="6"/>
    <x v="0"/>
    <s v="16-06-1974"/>
    <n v="14500"/>
    <x v="0"/>
    <x v="25"/>
    <x v="10"/>
    <n v="79000"/>
  </r>
  <r>
    <n v="1095807395"/>
    <x v="292"/>
    <x v="5"/>
    <x v="0"/>
    <s v="16-03-1972"/>
    <n v="14500"/>
    <x v="1"/>
    <x v="23"/>
    <x v="5"/>
    <n v="85000"/>
  </r>
  <r>
    <n v="13511344"/>
    <x v="293"/>
    <x v="0"/>
    <x v="1"/>
    <s v="16-03-1972"/>
    <n v="14500"/>
    <x v="8"/>
    <x v="27"/>
    <x v="7"/>
    <n v="54000"/>
  </r>
  <r>
    <n v="63532811"/>
    <x v="294"/>
    <x v="32"/>
    <x v="0"/>
    <s v="4-01-1972"/>
    <n v="14500"/>
    <x v="8"/>
    <x v="7"/>
    <x v="5"/>
    <n v="75000"/>
  </r>
  <r>
    <n v="1095918675"/>
    <x v="295"/>
    <x v="14"/>
    <x v="0"/>
    <s v="24-08-1968"/>
    <n v="14500"/>
    <x v="2"/>
    <x v="29"/>
    <x v="8"/>
    <n v="85000"/>
  </r>
  <r>
    <n v="1100890861"/>
    <x v="296"/>
    <x v="6"/>
    <x v="1"/>
    <s v="4-01-1972"/>
    <n v="11500"/>
    <x v="8"/>
    <x v="21"/>
    <x v="4"/>
    <n v="77000"/>
  </r>
  <r>
    <n v="1095794799"/>
    <x v="297"/>
    <x v="5"/>
    <x v="0"/>
    <s v="27-06-1970"/>
    <n v="11500"/>
    <x v="1"/>
    <x v="2"/>
    <x v="2"/>
    <n v="74000"/>
  </r>
  <r>
    <n v="1098633337"/>
    <x v="298"/>
    <x v="0"/>
    <x v="0"/>
    <s v="21-01-1974"/>
    <n v="11500"/>
    <x v="8"/>
    <x v="26"/>
    <x v="4"/>
    <n v="53000"/>
  </r>
  <r>
    <n v="63553254"/>
    <x v="299"/>
    <x v="29"/>
    <x v="0"/>
    <s v="16-06-1974"/>
    <n v="11500"/>
    <x v="8"/>
    <x v="26"/>
    <x v="4"/>
    <n v="83000"/>
  </r>
  <r>
    <n v="1095799085"/>
    <x v="300"/>
    <x v="6"/>
    <x v="1"/>
    <s v="20-10-1974"/>
    <n v="11500"/>
    <x v="0"/>
    <x v="19"/>
    <x v="5"/>
    <n v="64000"/>
  </r>
  <r>
    <n v="37549270"/>
    <x v="301"/>
    <x v="43"/>
    <x v="0"/>
    <s v="10-03-1972"/>
    <n v="11500"/>
    <x v="1"/>
    <x v="4"/>
    <x v="4"/>
    <n v="56000"/>
  </r>
  <r>
    <n v="1102361319"/>
    <x v="302"/>
    <x v="33"/>
    <x v="0"/>
    <s v="21-09-1968"/>
    <n v="11500"/>
    <x v="5"/>
    <x v="3"/>
    <x v="3"/>
    <n v="68000"/>
  </r>
  <r>
    <n v="1098654378"/>
    <x v="303"/>
    <x v="0"/>
    <x v="1"/>
    <s v="24-08-1966"/>
    <n v="11500"/>
    <x v="0"/>
    <x v="15"/>
    <x v="3"/>
    <n v="62000"/>
  </r>
  <r>
    <n v="1095803599"/>
    <x v="304"/>
    <x v="14"/>
    <x v="1"/>
    <s v="10-03-1972"/>
    <n v="11500"/>
    <x v="8"/>
    <x v="27"/>
    <x v="7"/>
    <n v="65000"/>
  </r>
  <r>
    <n v="28151659"/>
    <x v="305"/>
    <x v="5"/>
    <x v="0"/>
    <s v="23-02-1972"/>
    <n v="11500"/>
    <x v="1"/>
    <x v="5"/>
    <x v="3"/>
    <n v="55000"/>
  </r>
  <r>
    <n v="1098684698"/>
    <x v="306"/>
    <x v="22"/>
    <x v="0"/>
    <s v="16-03-1972"/>
    <n v="11500"/>
    <x v="8"/>
    <x v="27"/>
    <x v="7"/>
    <n v="86000"/>
  </r>
  <r>
    <n v="91533198"/>
    <x v="307"/>
    <x v="32"/>
    <x v="1"/>
    <s v="16-03-1972"/>
    <n v="10400"/>
    <x v="1"/>
    <x v="23"/>
    <x v="5"/>
    <n v="76000"/>
  </r>
  <r>
    <n v="1091052312"/>
    <x v="308"/>
    <x v="19"/>
    <x v="0"/>
    <s v="20-10-1974"/>
    <n v="10400"/>
    <x v="0"/>
    <x v="25"/>
    <x v="10"/>
    <n v="71000"/>
  </r>
  <r>
    <n v="91486230"/>
    <x v="309"/>
    <x v="40"/>
    <x v="1"/>
    <s v="21-01-1974"/>
    <n v="10400"/>
    <x v="2"/>
    <x v="29"/>
    <x v="8"/>
    <n v="74000"/>
  </r>
  <r>
    <n v="1098647957"/>
    <x v="310"/>
    <x v="3"/>
    <x v="0"/>
    <s v="16-06-1974"/>
    <n v="10400"/>
    <x v="8"/>
    <x v="26"/>
    <x v="4"/>
    <n v="66000"/>
  </r>
  <r>
    <n v="1130641271"/>
    <x v="311"/>
    <x v="33"/>
    <x v="1"/>
    <s v="16-06-1974"/>
    <n v="10400"/>
    <x v="5"/>
    <x v="29"/>
    <x v="8"/>
    <n v="57000"/>
  </r>
  <r>
    <n v="63451309"/>
    <x v="312"/>
    <x v="22"/>
    <x v="0"/>
    <s v="10-03-1979"/>
    <n v="10400"/>
    <x v="4"/>
    <x v="13"/>
    <x v="3"/>
    <n v="67000"/>
  </r>
  <r>
    <n v="1095800693"/>
    <x v="313"/>
    <x v="8"/>
    <x v="0"/>
    <s v="26-10-1968"/>
    <n v="10400"/>
    <x v="7"/>
    <x v="22"/>
    <x v="6"/>
    <n v="56000"/>
  </r>
  <r>
    <n v="1098665856"/>
    <x v="314"/>
    <x v="10"/>
    <x v="1"/>
    <s v="5-01-1970"/>
    <n v="11092"/>
    <x v="6"/>
    <x v="25"/>
    <x v="10"/>
    <n v="86000"/>
  </r>
  <r>
    <n v="1098663037"/>
    <x v="315"/>
    <x v="5"/>
    <x v="0"/>
    <s v="20-10-1974"/>
    <n v="15400"/>
    <x v="7"/>
    <x v="24"/>
    <x v="2"/>
    <n v="60000"/>
  </r>
  <r>
    <n v="34330896"/>
    <x v="316"/>
    <x v="2"/>
    <x v="0"/>
    <s v="21-09-1968"/>
    <n v="15400"/>
    <x v="2"/>
    <x v="29"/>
    <x v="8"/>
    <n v="75000"/>
  </r>
  <r>
    <n v="1098675742"/>
    <x v="317"/>
    <x v="9"/>
    <x v="1"/>
    <s v="23-02-1979"/>
    <n v="15400"/>
    <x v="8"/>
    <x v="0"/>
    <x v="0"/>
    <n v="57000"/>
  </r>
  <r>
    <n v="1098605519"/>
    <x v="318"/>
    <x v="25"/>
    <x v="1"/>
    <s v="14-08-1968"/>
    <n v="15400"/>
    <x v="7"/>
    <x v="18"/>
    <x v="1"/>
    <n v="52000"/>
  </r>
  <r>
    <n v="63559837"/>
    <x v="319"/>
    <x v="5"/>
    <x v="0"/>
    <s v="14-08-1970"/>
    <n v="15400"/>
    <x v="0"/>
    <x v="7"/>
    <x v="5"/>
    <n v="84000"/>
  </r>
  <r>
    <n v="1098623678"/>
    <x v="320"/>
    <x v="1"/>
    <x v="0"/>
    <s v="23-02-1972"/>
    <n v="15400"/>
    <x v="6"/>
    <x v="21"/>
    <x v="4"/>
    <n v="77000"/>
  </r>
  <r>
    <n v="1098643147"/>
    <x v="321"/>
    <x v="39"/>
    <x v="0"/>
    <s v="4-01-1972"/>
    <n v="15400"/>
    <x v="0"/>
    <x v="20"/>
    <x v="8"/>
    <n v="58000"/>
  </r>
  <r>
    <n v="1098692601"/>
    <x v="322"/>
    <x v="5"/>
    <x v="0"/>
    <s v="14-08-1970"/>
    <n v="15400"/>
    <x v="8"/>
    <x v="14"/>
    <x v="3"/>
    <n v="69000"/>
  </r>
  <r>
    <n v="13543859"/>
    <x v="323"/>
    <x v="8"/>
    <x v="1"/>
    <s v="21-09-1968"/>
    <n v="15400"/>
    <x v="5"/>
    <x v="12"/>
    <x v="6"/>
    <n v="75000"/>
  </r>
  <r>
    <n v="63546544"/>
    <x v="324"/>
    <x v="27"/>
    <x v="0"/>
    <s v="5-05-1970"/>
    <n v="15400"/>
    <x v="6"/>
    <x v="6"/>
    <x v="5"/>
    <n v="62000"/>
  </r>
  <r>
    <n v="1098669694"/>
    <x v="325"/>
    <x v="40"/>
    <x v="0"/>
    <s v="21-09-1968"/>
    <n v="15400"/>
    <x v="2"/>
    <x v="29"/>
    <x v="8"/>
    <n v="69000"/>
  </r>
  <r>
    <n v="1098649780"/>
    <x v="326"/>
    <x v="29"/>
    <x v="0"/>
    <s v="24-08-1966"/>
    <n v="15400"/>
    <x v="1"/>
    <x v="1"/>
    <x v="1"/>
    <n v="63000"/>
  </r>
  <r>
    <n v="63559551"/>
    <x v="327"/>
    <x v="5"/>
    <x v="0"/>
    <s v="21-09-1970"/>
    <n v="15400"/>
    <x v="8"/>
    <x v="21"/>
    <x v="4"/>
    <n v="72000"/>
  </r>
  <r>
    <n v="1098678705"/>
    <x v="328"/>
    <x v="14"/>
    <x v="0"/>
    <s v="5-01-1968"/>
    <n v="15400"/>
    <x v="8"/>
    <x v="3"/>
    <x v="3"/>
    <n v="68000"/>
  </r>
  <r>
    <n v="1082904130"/>
    <x v="329"/>
    <x v="3"/>
    <x v="1"/>
    <s v="4-01-1972"/>
    <n v="15400"/>
    <x v="6"/>
    <x v="21"/>
    <x v="4"/>
    <n v="54000"/>
  </r>
  <r>
    <n v="1095913359"/>
    <x v="330"/>
    <x v="27"/>
    <x v="0"/>
    <s v="14-08-1970"/>
    <n v="10400"/>
    <x v="8"/>
    <x v="7"/>
    <x v="5"/>
    <n v="65000"/>
  </r>
  <r>
    <n v="1098675668"/>
    <x v="331"/>
    <x v="27"/>
    <x v="0"/>
    <s v="27-06-1970"/>
    <n v="10400"/>
    <x v="1"/>
    <x v="2"/>
    <x v="2"/>
    <n v="53000"/>
  </r>
  <r>
    <n v="1098642759"/>
    <x v="332"/>
    <x v="32"/>
    <x v="0"/>
    <s v="10-03-1972"/>
    <n v="10400"/>
    <x v="7"/>
    <x v="12"/>
    <x v="6"/>
    <n v="67000"/>
  </r>
  <r>
    <n v="1102349983"/>
    <x v="333"/>
    <x v="27"/>
    <x v="1"/>
    <s v="14-08-1970"/>
    <n v="10400"/>
    <x v="6"/>
    <x v="14"/>
    <x v="3"/>
    <n v="56000"/>
  </r>
  <r>
    <n v="53008555"/>
    <x v="334"/>
    <x v="40"/>
    <x v="0"/>
    <s v="19-09-1968"/>
    <n v="10400"/>
    <x v="1"/>
    <x v="26"/>
    <x v="4"/>
    <n v="87000"/>
  </r>
  <r>
    <n v="1095920422"/>
    <x v="335"/>
    <x v="6"/>
    <x v="0"/>
    <s v="20-10-1974"/>
    <n v="10400"/>
    <x v="8"/>
    <x v="6"/>
    <x v="5"/>
    <n v="78000"/>
  </r>
  <r>
    <n v="1098664940"/>
    <x v="336"/>
    <x v="8"/>
    <x v="0"/>
    <s v="4-02-1974"/>
    <n v="10400"/>
    <x v="1"/>
    <x v="26"/>
    <x v="4"/>
    <n v="71000"/>
  </r>
  <r>
    <n v="1098707978"/>
    <x v="337"/>
    <x v="27"/>
    <x v="0"/>
    <s v="21-09-1970"/>
    <n v="10400"/>
    <x v="1"/>
    <x v="6"/>
    <x v="5"/>
    <n v="85000"/>
  </r>
  <r>
    <n v="63550243"/>
    <x v="338"/>
    <x v="25"/>
    <x v="0"/>
    <s v="24-01-1974"/>
    <n v="8500"/>
    <x v="0"/>
    <x v="11"/>
    <x v="2"/>
    <n v="83000"/>
  </r>
  <r>
    <n v="1098661933"/>
    <x v="339"/>
    <x v="27"/>
    <x v="0"/>
    <s v="23-02-1979"/>
    <n v="8500"/>
    <x v="0"/>
    <x v="0"/>
    <x v="0"/>
    <n v="85000"/>
  </r>
  <r>
    <n v="37745286"/>
    <x v="340"/>
    <x v="27"/>
    <x v="0"/>
    <s v="21-01-1974"/>
    <n v="8500"/>
    <x v="0"/>
    <x v="6"/>
    <x v="5"/>
    <n v="63000"/>
  </r>
  <r>
    <n v="1098655692"/>
    <x v="341"/>
    <x v="20"/>
    <x v="1"/>
    <s v="21-01-1974"/>
    <n v="8500"/>
    <x v="0"/>
    <x v="26"/>
    <x v="4"/>
    <n v="85000"/>
  </r>
  <r>
    <n v="1098663663"/>
    <x v="342"/>
    <x v="10"/>
    <x v="1"/>
    <s v="27-06-1970"/>
    <n v="10500"/>
    <x v="6"/>
    <x v="7"/>
    <x v="5"/>
    <n v="67000"/>
  </r>
  <r>
    <n v="1098674335"/>
    <x v="343"/>
    <x v="40"/>
    <x v="0"/>
    <s v="10-03-1972"/>
    <n v="10500"/>
    <x v="8"/>
    <x v="21"/>
    <x v="4"/>
    <n v="89000"/>
  </r>
  <r>
    <n v="63557946"/>
    <x v="344"/>
    <x v="32"/>
    <x v="0"/>
    <s v="4-01-1972"/>
    <n v="10500"/>
    <x v="8"/>
    <x v="20"/>
    <x v="8"/>
    <n v="80000"/>
  </r>
  <r>
    <n v="1095808388"/>
    <x v="345"/>
    <x v="28"/>
    <x v="0"/>
    <s v="23-02-1972"/>
    <n v="10500"/>
    <x v="3"/>
    <x v="22"/>
    <x v="6"/>
    <n v="79000"/>
  </r>
  <r>
    <n v="63563391"/>
    <x v="346"/>
    <x v="9"/>
    <x v="0"/>
    <s v="5-01-1968"/>
    <n v="15400"/>
    <x v="5"/>
    <x v="18"/>
    <x v="1"/>
    <n v="82000"/>
  </r>
  <r>
    <n v="1102351647"/>
    <x v="347"/>
    <x v="14"/>
    <x v="0"/>
    <s v="14-08-1970"/>
    <n v="15400"/>
    <x v="0"/>
    <x v="7"/>
    <x v="5"/>
    <n v="83000"/>
  </r>
  <r>
    <n v="63539377"/>
    <x v="348"/>
    <x v="12"/>
    <x v="0"/>
    <s v="27-06-1970"/>
    <n v="15400"/>
    <x v="3"/>
    <x v="16"/>
    <x v="7"/>
    <n v="52000"/>
  </r>
  <r>
    <n v="1095802066"/>
    <x v="349"/>
    <x v="33"/>
    <x v="0"/>
    <s v="14-08-1970"/>
    <n v="15400"/>
    <x v="0"/>
    <x v="7"/>
    <x v="5"/>
    <n v="79000"/>
  </r>
  <r>
    <n v="1098668111"/>
    <x v="350"/>
    <x v="20"/>
    <x v="1"/>
    <s v="21-01-1974"/>
    <n v="15400"/>
    <x v="4"/>
    <x v="16"/>
    <x v="7"/>
    <n v="57000"/>
  </r>
  <r>
    <n v="1098658705"/>
    <x v="351"/>
    <x v="18"/>
    <x v="0"/>
    <s v="16-03-1972"/>
    <n v="15400"/>
    <x v="4"/>
    <x v="23"/>
    <x v="5"/>
    <n v="71000"/>
  </r>
  <r>
    <n v="37728136"/>
    <x v="352"/>
    <x v="0"/>
    <x v="0"/>
    <s v="3-09-1965"/>
    <n v="8500"/>
    <x v="6"/>
    <x v="25"/>
    <x v="10"/>
    <n v="87000"/>
  </r>
  <r>
    <n v="37620760"/>
    <x v="353"/>
    <x v="40"/>
    <x v="0"/>
    <s v="27-06-1968"/>
    <n v="8500"/>
    <x v="4"/>
    <x v="22"/>
    <x v="6"/>
    <n v="67000"/>
  </r>
  <r>
    <n v="37840241"/>
    <x v="354"/>
    <x v="29"/>
    <x v="0"/>
    <s v="26-10-1970"/>
    <n v="8500"/>
    <x v="1"/>
    <x v="4"/>
    <x v="4"/>
    <n v="66000"/>
  </r>
  <r>
    <n v="5688861"/>
    <x v="355"/>
    <x v="27"/>
    <x v="1"/>
    <s v="5-10-1970"/>
    <n v="8500"/>
    <x v="6"/>
    <x v="21"/>
    <x v="4"/>
    <n v="63000"/>
  </r>
  <r>
    <n v="1083890241"/>
    <x v="356"/>
    <x v="4"/>
    <x v="0"/>
    <s v="10-03-1972"/>
    <n v="8500"/>
    <x v="6"/>
    <x v="27"/>
    <x v="7"/>
    <n v="52000"/>
  </r>
  <r>
    <n v="63454218"/>
    <x v="357"/>
    <x v="21"/>
    <x v="0"/>
    <s v="5-01-1966"/>
    <n v="8500"/>
    <x v="4"/>
    <x v="1"/>
    <x v="1"/>
    <n v="56000"/>
  </r>
  <r>
    <n v="1098648177"/>
    <x v="358"/>
    <x v="25"/>
    <x v="0"/>
    <s v="4-01-1972"/>
    <n v="10600"/>
    <x v="0"/>
    <x v="20"/>
    <x v="8"/>
    <n v="62000"/>
  </r>
  <r>
    <n v="63527108"/>
    <x v="359"/>
    <x v="40"/>
    <x v="0"/>
    <s v="27-06-1970"/>
    <n v="10600"/>
    <x v="4"/>
    <x v="10"/>
    <x v="4"/>
    <n v="81000"/>
  </r>
  <r>
    <n v="1098657039"/>
    <x v="360"/>
    <x v="1"/>
    <x v="1"/>
    <s v="14-08-1970"/>
    <n v="10600"/>
    <x v="6"/>
    <x v="25"/>
    <x v="10"/>
    <n v="63000"/>
  </r>
  <r>
    <n v="91525538"/>
    <x v="361"/>
    <x v="12"/>
    <x v="1"/>
    <s v="5-10-1970"/>
    <n v="10600"/>
    <x v="3"/>
    <x v="5"/>
    <x v="3"/>
    <n v="89000"/>
  </r>
  <r>
    <n v="1095913220"/>
    <x v="362"/>
    <x v="6"/>
    <x v="0"/>
    <s v="21-09-1970"/>
    <n v="10600"/>
    <x v="8"/>
    <x v="6"/>
    <x v="5"/>
    <n v="87000"/>
  </r>
  <r>
    <n v="63552962"/>
    <x v="363"/>
    <x v="27"/>
    <x v="0"/>
    <s v="5-05-1970"/>
    <n v="15400"/>
    <x v="0"/>
    <x v="20"/>
    <x v="8"/>
    <n v="79000"/>
  </r>
  <r>
    <n v="91536086"/>
    <x v="364"/>
    <x v="8"/>
    <x v="1"/>
    <s v="14-08-1966"/>
    <n v="15400"/>
    <x v="1"/>
    <x v="1"/>
    <x v="1"/>
    <n v="72000"/>
  </r>
  <r>
    <n v="28218650"/>
    <x v="365"/>
    <x v="43"/>
    <x v="0"/>
    <s v="20-10-1974"/>
    <n v="15400"/>
    <x v="4"/>
    <x v="1"/>
    <x v="1"/>
    <n v="85000"/>
  </r>
  <r>
    <n v="1098638146"/>
    <x v="366"/>
    <x v="11"/>
    <x v="0"/>
    <s v="14-08-1966"/>
    <n v="15400"/>
    <x v="6"/>
    <x v="15"/>
    <x v="3"/>
    <n v="89000"/>
  </r>
  <r>
    <n v="63559472"/>
    <x v="367"/>
    <x v="5"/>
    <x v="0"/>
    <s v="5-10-1970"/>
    <n v="15400"/>
    <x v="0"/>
    <x v="28"/>
    <x v="2"/>
    <n v="61000"/>
  </r>
  <r>
    <n v="63561203"/>
    <x v="368"/>
    <x v="4"/>
    <x v="0"/>
    <s v="16-06-1974"/>
    <n v="15400"/>
    <x v="6"/>
    <x v="25"/>
    <x v="10"/>
    <n v="70000"/>
  </r>
  <r>
    <n v="1095792880"/>
    <x v="369"/>
    <x v="40"/>
    <x v="1"/>
    <s v="27-06-1968"/>
    <n v="8500"/>
    <x v="7"/>
    <x v="12"/>
    <x v="6"/>
    <n v="5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791EF5-8254-4796-9E29-03D8AA3330EB}" name="TablaDinámica6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Especialidad">
  <location ref="B18:C30" firstHeaderRow="1" firstDataRow="1" firstDataCol="1"/>
  <pivotFields count="10">
    <pivotField showAll="0"/>
    <pivotField showAll="0"/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showAll="0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axis="axisRow"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dataField="1" numFmtId="167"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  Valor Consulta" fld="9" baseField="0" baseItem="0" numFmtId="167"/>
  </dataFields>
  <formats count="6">
    <format dxfId="107">
      <pivotArea type="all" dataOnly="0" outline="0" fieldPosition="0"/>
    </format>
    <format dxfId="106">
      <pivotArea outline="0" collapsedLevelsAreSubtotals="1" fieldPosition="0"/>
    </format>
    <format dxfId="105">
      <pivotArea field="8" type="button" dataOnly="0" labelOnly="1" outline="0" axis="axisRow" fieldPosition="0"/>
    </format>
    <format dxfId="104">
      <pivotArea dataOnly="0" labelOnly="1" fieldPosition="0">
        <references count="1">
          <reference field="8" count="0"/>
        </references>
      </pivotArea>
    </format>
    <format dxfId="103">
      <pivotArea dataOnly="0" labelOnly="1" grandRow="1" outline="0" fieldPosition="0"/>
    </format>
    <format dxfId="102">
      <pivotArea dataOnly="0" labelOnly="1" outline="0" axis="axisValues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E5435A-CAAB-469A-BAF0-FD6B06C656EE}" name="TablaDinámica5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81:B93" firstHeaderRow="1" firstDataRow="1" firstDataCol="1"/>
  <pivotFields count="10">
    <pivotField showAll="0"/>
    <pivotField showAll="0"/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showAll="0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axis="axisRow"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dataField="1" numFmtId="167"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de Valor Consulta" fld="9" baseField="0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DB3C00-413A-427B-AEF9-E2BCBFE1532B}" name="TablaDinámica4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">
  <location ref="A44:B55" firstHeaderRow="1" firstDataRow="1" firstDataCol="1"/>
  <pivotFields count="10">
    <pivotField showAll="0"/>
    <pivotField dataField="1" showAll="0"/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axis="axisRow" showAll="0" measureFilter="1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numFmtId="167" showAll="0"/>
  </pivotFields>
  <rowFields count="1">
    <field x="7"/>
  </rowFields>
  <rowItems count="11">
    <i>
      <x v="1"/>
    </i>
    <i>
      <x v="2"/>
    </i>
    <i>
      <x v="9"/>
    </i>
    <i>
      <x v="12"/>
    </i>
    <i>
      <x v="13"/>
    </i>
    <i>
      <x v="17"/>
    </i>
    <i>
      <x v="20"/>
    </i>
    <i>
      <x v="24"/>
    </i>
    <i>
      <x v="26"/>
    </i>
    <i>
      <x v="27"/>
    </i>
    <i t="grand">
      <x/>
    </i>
  </rowItems>
  <colItems count="1">
    <i/>
  </colItems>
  <dataFields count="1">
    <dataField name="Cuenta de Paciente"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7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0872E4-3252-4987-9DDE-DEF706950223}" name="TablaDinámica3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8:B38" firstHeaderRow="1" firstDataRow="1" firstDataCol="1"/>
  <pivotFields count="10">
    <pivotField showAll="0"/>
    <pivotField showAll="0"/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5" showAll="0"/>
    <pivotField axis="axisRow" dataField="1"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showAll="0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numFmtId="167" showAll="0"/>
  </pivotFields>
  <rowFields count="1">
    <field x="6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Cuenta de Sucursal-Jornada" fld="6" subtotal="count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9419B0-A9A5-48E7-8E84-5B45A74E6072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20:B23" firstHeaderRow="1" firstDataRow="1" firstDataCol="1"/>
  <pivotFields count="10">
    <pivotField showAll="0"/>
    <pivotField dataField="1" showAll="0">
      <items count="371">
        <item x="40"/>
        <item x="328"/>
        <item x="49"/>
        <item x="141"/>
        <item x="156"/>
        <item x="110"/>
        <item x="303"/>
        <item x="274"/>
        <item x="8"/>
        <item x="280"/>
        <item x="143"/>
        <item x="6"/>
        <item x="61"/>
        <item x="76"/>
        <item x="282"/>
        <item x="37"/>
        <item x="38"/>
        <item x="189"/>
        <item x="210"/>
        <item x="279"/>
        <item x="311"/>
        <item x="365"/>
        <item x="295"/>
        <item x="146"/>
        <item x="169"/>
        <item x="187"/>
        <item x="291"/>
        <item x="93"/>
        <item x="30"/>
        <item x="130"/>
        <item x="117"/>
        <item x="127"/>
        <item x="317"/>
        <item x="191"/>
        <item x="29"/>
        <item x="168"/>
        <item x="13"/>
        <item x="32"/>
        <item x="163"/>
        <item x="309"/>
        <item x="254"/>
        <item x="181"/>
        <item x="364"/>
        <item x="54"/>
        <item x="3"/>
        <item x="50"/>
        <item x="27"/>
        <item x="264"/>
        <item x="252"/>
        <item x="315"/>
        <item x="188"/>
        <item x="86"/>
        <item x="121"/>
        <item x="46"/>
        <item x="125"/>
        <item x="251"/>
        <item x="73"/>
        <item x="160"/>
        <item x="299"/>
        <item x="338"/>
        <item x="227"/>
        <item x="358"/>
        <item x="1"/>
        <item x="170"/>
        <item x="63"/>
        <item x="312"/>
        <item x="297"/>
        <item x="354"/>
        <item x="167"/>
        <item x="96"/>
        <item x="229"/>
        <item x="107"/>
        <item x="151"/>
        <item x="128"/>
        <item x="89"/>
        <item x="224"/>
        <item x="242"/>
        <item x="22"/>
        <item x="179"/>
        <item x="261"/>
        <item x="340"/>
        <item x="197"/>
        <item x="164"/>
        <item x="98"/>
        <item x="335"/>
        <item x="66"/>
        <item x="9"/>
        <item x="357"/>
        <item x="39"/>
        <item x="194"/>
        <item x="92"/>
        <item x="239"/>
        <item x="114"/>
        <item x="318"/>
        <item x="123"/>
        <item x="314"/>
        <item x="352"/>
        <item x="294"/>
        <item x="346"/>
        <item x="208"/>
        <item x="68"/>
        <item x="65"/>
        <item x="258"/>
        <item x="260"/>
        <item x="90"/>
        <item x="275"/>
        <item x="18"/>
        <item x="234"/>
        <item x="4"/>
        <item x="223"/>
        <item x="154"/>
        <item x="341"/>
        <item x="286"/>
        <item x="235"/>
        <item x="266"/>
        <item x="140"/>
        <item x="62"/>
        <item x="329"/>
        <item x="216"/>
        <item x="139"/>
        <item x="165"/>
        <item x="217"/>
        <item x="178"/>
        <item x="55"/>
        <item x="126"/>
        <item x="262"/>
        <item x="290"/>
        <item x="278"/>
        <item x="109"/>
        <item x="72"/>
        <item x="263"/>
        <item x="287"/>
        <item x="285"/>
        <item x="111"/>
        <item x="26"/>
        <item x="203"/>
        <item x="304"/>
        <item x="20"/>
        <item x="360"/>
        <item x="158"/>
        <item x="333"/>
        <item x="135"/>
        <item x="231"/>
        <item x="257"/>
        <item x="108"/>
        <item x="185"/>
        <item x="7"/>
        <item x="220"/>
        <item x="175"/>
        <item x="339"/>
        <item x="182"/>
        <item x="196"/>
        <item x="361"/>
        <item x="300"/>
        <item x="131"/>
        <item x="348"/>
        <item x="80"/>
        <item x="149"/>
        <item x="253"/>
        <item x="43"/>
        <item x="103"/>
        <item x="326"/>
        <item x="112"/>
        <item x="331"/>
        <item x="31"/>
        <item x="334"/>
        <item x="206"/>
        <item x="88"/>
        <item x="356"/>
        <item x="222"/>
        <item x="228"/>
        <item x="85"/>
        <item x="5"/>
        <item x="342"/>
        <item x="119"/>
        <item x="23"/>
        <item x="69"/>
        <item x="296"/>
        <item x="369"/>
        <item x="47"/>
        <item x="367"/>
        <item x="209"/>
        <item x="15"/>
        <item x="232"/>
        <item x="21"/>
        <item x="350"/>
        <item x="82"/>
        <item x="71"/>
        <item x="132"/>
        <item x="177"/>
        <item x="270"/>
        <item x="283"/>
        <item x="35"/>
        <item x="53"/>
        <item x="17"/>
        <item x="355"/>
        <item x="101"/>
        <item x="106"/>
        <item x="12"/>
        <item x="79"/>
        <item x="230"/>
        <item x="237"/>
        <item x="186"/>
        <item x="83"/>
        <item x="225"/>
        <item x="284"/>
        <item x="238"/>
        <item x="129"/>
        <item x="64"/>
        <item x="180"/>
        <item x="324"/>
        <item x="75"/>
        <item x="249"/>
        <item x="34"/>
        <item x="368"/>
        <item x="236"/>
        <item x="221"/>
        <item x="201"/>
        <item x="195"/>
        <item x="302"/>
        <item x="244"/>
        <item x="243"/>
        <item x="267"/>
        <item x="319"/>
        <item x="84"/>
        <item x="24"/>
        <item x="157"/>
        <item x="298"/>
        <item x="281"/>
        <item x="162"/>
        <item x="142"/>
        <item x="320"/>
        <item x="363"/>
        <item x="265"/>
        <item x="144"/>
        <item x="137"/>
        <item x="133"/>
        <item x="184"/>
        <item x="351"/>
        <item x="36"/>
        <item x="78"/>
        <item x="215"/>
        <item x="316"/>
        <item x="41"/>
        <item x="305"/>
        <item x="155"/>
        <item x="48"/>
        <item x="271"/>
        <item x="152"/>
        <item x="58"/>
        <item x="56"/>
        <item x="134"/>
        <item x="214"/>
        <item x="120"/>
        <item x="308"/>
        <item x="51"/>
        <item x="190"/>
        <item x="77"/>
        <item x="122"/>
        <item x="292"/>
        <item x="45"/>
        <item x="198"/>
        <item x="176"/>
        <item x="159"/>
        <item x="200"/>
        <item x="14"/>
        <item x="124"/>
        <item x="246"/>
        <item x="59"/>
        <item x="136"/>
        <item x="172"/>
        <item x="240"/>
        <item x="91"/>
        <item x="95"/>
        <item x="321"/>
        <item x="11"/>
        <item x="211"/>
        <item x="276"/>
        <item x="42"/>
        <item x="97"/>
        <item x="33"/>
        <item x="104"/>
        <item x="310"/>
        <item x="10"/>
        <item x="269"/>
        <item x="28"/>
        <item x="173"/>
        <item x="359"/>
        <item x="113"/>
        <item x="174"/>
        <item x="161"/>
        <item x="138"/>
        <item x="94"/>
        <item x="183"/>
        <item x="192"/>
        <item x="153"/>
        <item x="277"/>
        <item x="336"/>
        <item x="16"/>
        <item x="44"/>
        <item x="218"/>
        <item x="250"/>
        <item x="205"/>
        <item x="100"/>
        <item x="323"/>
        <item x="307"/>
        <item x="148"/>
        <item x="337"/>
        <item x="362"/>
        <item x="204"/>
        <item x="25"/>
        <item x="147"/>
        <item x="60"/>
        <item x="81"/>
        <item x="273"/>
        <item x="288"/>
        <item x="171"/>
        <item x="213"/>
        <item x="322"/>
        <item x="347"/>
        <item x="219"/>
        <item x="145"/>
        <item x="301"/>
        <item x="212"/>
        <item x="193"/>
        <item x="256"/>
        <item x="102"/>
        <item x="268"/>
        <item x="293"/>
        <item x="105"/>
        <item x="345"/>
        <item x="306"/>
        <item x="313"/>
        <item x="325"/>
        <item x="19"/>
        <item x="150"/>
        <item x="349"/>
        <item x="248"/>
        <item x="353"/>
        <item x="57"/>
        <item x="327"/>
        <item x="226"/>
        <item x="115"/>
        <item x="67"/>
        <item x="207"/>
        <item x="343"/>
        <item x="166"/>
        <item x="330"/>
        <item x="202"/>
        <item x="366"/>
        <item x="199"/>
        <item x="70"/>
        <item x="52"/>
        <item x="87"/>
        <item x="344"/>
        <item x="255"/>
        <item x="272"/>
        <item x="0"/>
        <item x="118"/>
        <item x="245"/>
        <item x="241"/>
        <item x="99"/>
        <item x="247"/>
        <item x="289"/>
        <item x="259"/>
        <item x="233"/>
        <item x="74"/>
        <item x="2"/>
        <item x="332"/>
        <item x="116"/>
        <item t="default"/>
      </items>
    </pivotField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axis="axisRow" showAll="0">
      <items count="3">
        <item x="0"/>
        <item x="1"/>
        <item t="default"/>
      </items>
    </pivotField>
    <pivotField showAll="0"/>
    <pivotField numFmtId="165" showAll="0"/>
    <pivotField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showAll="0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numFmtId="167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uenta de Paciente" fld="1" subtotal="count" showDataAs="percentOfTotal" baseField="3" baseItem="0" numFmtId="1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329FE-43AC-4983-B560-210B5DCC3AE9}" name="TablaDinámica1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B14" firstHeaderRow="1" firstDataRow="1" firstDataCol="1"/>
  <pivotFields count="10">
    <pivotField showAll="0"/>
    <pivotField showAll="0"/>
    <pivotField numFmtId="1" showAll="0">
      <items count="45">
        <item x="41"/>
        <item x="38"/>
        <item x="10"/>
        <item x="23"/>
        <item x="32"/>
        <item x="15"/>
        <item x="5"/>
        <item x="24"/>
        <item x="25"/>
        <item x="3"/>
        <item x="14"/>
        <item x="1"/>
        <item x="12"/>
        <item x="4"/>
        <item x="21"/>
        <item x="39"/>
        <item x="9"/>
        <item x="19"/>
        <item x="27"/>
        <item x="26"/>
        <item x="0"/>
        <item x="7"/>
        <item x="18"/>
        <item x="33"/>
        <item x="2"/>
        <item x="20"/>
        <item x="40"/>
        <item x="17"/>
        <item x="22"/>
        <item x="30"/>
        <item x="31"/>
        <item x="6"/>
        <item x="16"/>
        <item x="36"/>
        <item x="8"/>
        <item x="42"/>
        <item x="35"/>
        <item x="13"/>
        <item x="43"/>
        <item x="29"/>
        <item x="11"/>
        <item x="28"/>
        <item x="34"/>
        <item x="37"/>
        <item t="default"/>
      </items>
    </pivotField>
    <pivotField showAll="0">
      <items count="3">
        <item x="0"/>
        <item x="1"/>
        <item t="default"/>
      </items>
    </pivotField>
    <pivotField showAll="0"/>
    <pivotField numFmtId="165" showAll="0"/>
    <pivotField showAll="0">
      <items count="10">
        <item x="0"/>
        <item x="7"/>
        <item x="3"/>
        <item x="8"/>
        <item x="5"/>
        <item x="4"/>
        <item x="6"/>
        <item x="2"/>
        <item x="1"/>
        <item t="default"/>
      </items>
    </pivotField>
    <pivotField showAll="0">
      <items count="31">
        <item x="3"/>
        <item x="22"/>
        <item x="8"/>
        <item x="29"/>
        <item x="12"/>
        <item x="18"/>
        <item x="9"/>
        <item x="17"/>
        <item x="24"/>
        <item x="14"/>
        <item x="2"/>
        <item x="11"/>
        <item x="20"/>
        <item x="26"/>
        <item x="25"/>
        <item x="16"/>
        <item x="4"/>
        <item x="21"/>
        <item x="10"/>
        <item x="5"/>
        <item x="1"/>
        <item x="15"/>
        <item x="19"/>
        <item x="23"/>
        <item x="27"/>
        <item x="7"/>
        <item x="6"/>
        <item x="13"/>
        <item x="0"/>
        <item x="28"/>
        <item t="default"/>
      </items>
    </pivotField>
    <pivotField axis="axisRow" showAll="0">
      <items count="12">
        <item x="6"/>
        <item x="2"/>
        <item x="10"/>
        <item x="7"/>
        <item x="0"/>
        <item x="5"/>
        <item x="4"/>
        <item x="3"/>
        <item x="8"/>
        <item x="9"/>
        <item x="1"/>
        <item t="default"/>
      </items>
    </pivotField>
    <pivotField dataField="1" numFmtId="167" showAll="0"/>
  </pivotFields>
  <rowFields count="1">
    <field x="8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Valor Consulta" fld="9" subtotal="average" baseField="8" baseItem="0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Genero" xr10:uid="{606F5302-4297-4660-A276-D6556E37B978}" sourceName="Genero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2" name="TablaDinámica6"/>
  </pivotTables>
  <data>
    <tabular pivotCacheId="693017831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_Jornada" xr10:uid="{3282255F-7DC5-4B99-819B-8D41969C9C83}" sourceName="Sucursal-Jornada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2" name="TablaDinámica6"/>
  </pivotTables>
  <data>
    <tabular pivotCacheId="693017831">
      <items count="9">
        <i x="0" s="1"/>
        <i x="7" s="1"/>
        <i x="3" s="1"/>
        <i x="8" s="1"/>
        <i x="5" s="1"/>
        <i x="4" s="1"/>
        <i x="6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dico" xr10:uid="{A66C9587-E5DF-4D35-B7FB-0C7AA9CD1FA3}" sourceName="Medico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2" name="TablaDinámica6"/>
  </pivotTables>
  <data>
    <tabular pivotCacheId="693017831">
      <items count="30">
        <i x="3" s="1"/>
        <i x="22" s="1"/>
        <i x="8" s="1"/>
        <i x="29" s="1"/>
        <i x="12" s="1"/>
        <i x="18" s="1"/>
        <i x="9" s="1"/>
        <i x="17" s="1"/>
        <i x="24" s="1"/>
        <i x="14" s="1"/>
        <i x="2" s="1"/>
        <i x="11" s="1"/>
        <i x="20" s="1"/>
        <i x="26" s="1"/>
        <i x="25" s="1"/>
        <i x="16" s="1"/>
        <i x="4" s="1"/>
        <i x="21" s="1"/>
        <i x="10" s="1"/>
        <i x="5" s="1"/>
        <i x="1" s="1"/>
        <i x="15" s="1"/>
        <i x="19" s="1"/>
        <i x="23" s="1"/>
        <i x="27" s="1"/>
        <i x="7" s="1"/>
        <i x="6" s="1"/>
        <i x="13" s="1"/>
        <i x="0" s="1"/>
        <i x="28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specialidad" xr10:uid="{6278DD87-8179-44BA-9C5F-7863961CF093}" sourceName="Especialidad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2" name="TablaDinámica6"/>
  </pivotTables>
  <data>
    <tabular pivotCacheId="693017831">
      <items count="11">
        <i x="6" s="1"/>
        <i x="2" s="1"/>
        <i x="10" s="1"/>
        <i x="7" s="1"/>
        <i x="0" s="1"/>
        <i x="5" s="1"/>
        <i x="4" s="1"/>
        <i x="3" s="1"/>
        <i x="8" s="1"/>
        <i x="9" s="1"/>
        <i x="1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Edad" xr10:uid="{5D70ED79-707D-4BEC-8C1D-65FBA1C2A8DE}" sourceName="Edad">
  <pivotTables>
    <pivotTable tabId="3" name="TablaDinámica1"/>
    <pivotTable tabId="3" name="TablaDinámica2"/>
    <pivotTable tabId="3" name="TablaDinámica3"/>
    <pivotTable tabId="3" name="TablaDinámica4"/>
    <pivotTable tabId="3" name="TablaDinámica5"/>
    <pivotTable tabId="2" name="TablaDinámica6"/>
  </pivotTables>
  <data>
    <tabular pivotCacheId="693017831">
      <items count="44">
        <i x="41" s="1"/>
        <i x="38" s="1"/>
        <i x="10" s="1"/>
        <i x="23" s="1"/>
        <i x="32" s="1"/>
        <i x="15" s="1"/>
        <i x="5" s="1"/>
        <i x="24" s="1"/>
        <i x="25" s="1"/>
        <i x="3" s="1"/>
        <i x="14" s="1"/>
        <i x="1" s="1"/>
        <i x="12" s="1"/>
        <i x="4" s="1"/>
        <i x="21" s="1"/>
        <i x="39" s="1"/>
        <i x="9" s="1"/>
        <i x="19" s="1"/>
        <i x="27" s="1"/>
        <i x="26" s="1"/>
        <i x="0" s="1"/>
        <i x="7" s="1"/>
        <i x="18" s="1"/>
        <i x="33" s="1"/>
        <i x="2" s="1"/>
        <i x="20" s="1"/>
        <i x="40" s="1"/>
        <i x="17" s="1"/>
        <i x="22" s="1"/>
        <i x="30" s="1"/>
        <i x="31" s="1"/>
        <i x="6" s="1"/>
        <i x="16" s="1"/>
        <i x="36" s="1"/>
        <i x="8" s="1"/>
        <i x="42" s="1"/>
        <i x="35" s="1"/>
        <i x="13" s="1"/>
        <i x="43" s="1"/>
        <i x="29" s="1"/>
        <i x="11" s="1"/>
        <i x="28" s="1"/>
        <i x="34" s="1"/>
        <i x="37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 1" xr10:uid="{6FCA8119-EFDB-404E-B94E-7DDE2A1BA588}" cache="SegmentaciónDeDatos_Genero" caption="Genero" style="SlicerStyleDark3" rowHeight="257175"/>
  <slicer name="Sucursal-Jornada 1" xr10:uid="{17538161-6369-472D-9422-0958F005FACE}" cache="SegmentaciónDeDatos_Sucursal_Jornada" caption="Sucursal-Jornada" style="SlicerStyleDark3" rowHeight="257175"/>
  <slicer name="Especialidad 1" xr10:uid="{2338FDB5-78C7-4AA1-8590-0929C50AAA72}" cache="SegmentaciónDeDatos_Especialidad" caption="Especialidad" startItem="7" style="SlicerStyleDark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Genero" xr10:uid="{DED563E3-4610-42DA-851A-65DE150CB598}" cache="SegmentaciónDeDatos_Genero" caption="Genero" rowHeight="257175"/>
  <slicer name="Sucursal-Jornada" xr10:uid="{568CD5BF-FDA7-4BD2-8785-52F56D5F80AB}" cache="SegmentaciónDeDatos_Sucursal_Jornada" caption="Sucursal-Jornada" rowHeight="257175"/>
  <slicer name="Medico" xr10:uid="{0266417E-9A18-403A-9C9A-7F40D3E0FF5D}" cache="SegmentaciónDeDatos_Medico" caption="Medico" startItem="12" rowHeight="257175"/>
  <slicer name="Especialidad" xr10:uid="{1EFC5B53-8D0C-42C4-8E03-7BE6E1454F9B}" cache="SegmentaciónDeDatos_Especialidad" caption="Especialidad" startItem="3" rowHeight="257175"/>
  <slicer name="Edad" xr10:uid="{299A65C9-33C3-4920-8CD2-4CB6CE7BB294}" cache="SegmentaciónDeDatos_Edad" caption="Edad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6AC7B6-AC76-4EE0-90C4-B7E37498C236}" name="Tabla1" displayName="Tabla1" ref="A1:J371" totalsRowShown="0" headerRowDxfId="108" headerRowBorderDxfId="119" tableBorderDxfId="120" headerRowCellStyle="Normal 2">
  <autoFilter ref="A1:J371" xr:uid="{8D6AC7B6-AC76-4EE0-90C4-B7E37498C236}"/>
  <tableColumns count="10">
    <tableColumn id="1" xr3:uid="{A1EA567E-8436-42BC-8C80-EA711ED8508B}" name="Num_Documento" dataDxfId="118" dataCellStyle="Normal 2"/>
    <tableColumn id="2" xr3:uid="{1370F9DC-D3BD-4CD5-9AE3-772F58D8D517}" name="Paciente" dataDxfId="117" dataCellStyle="Normal 2"/>
    <tableColumn id="3" xr3:uid="{C05786FE-B164-478D-8CA7-BA676C4342A5}" name="Edad" dataDxfId="116" dataCellStyle="Normal 2"/>
    <tableColumn id="4" xr3:uid="{494102C8-11D6-44B6-A328-0E8457C59BE5}" name="Genero" dataDxfId="115" dataCellStyle="Normal 2"/>
    <tableColumn id="5" xr3:uid="{EABCB11D-A6E7-407A-80EB-FE18CB0C0514}" name="Fec_Nacimiento" dataDxfId="114" dataCellStyle="Normal 2"/>
    <tableColumn id="6" xr3:uid="{5E2C5595-79CF-4907-AFEF-382B074E3316}" name="Cuota Moderadora" dataDxfId="113" dataCellStyle="Moneda"/>
    <tableColumn id="7" xr3:uid="{35C212C5-665B-46FA-8524-903ACA4ACE67}" name="Sucursal-Jornada" dataDxfId="112" dataCellStyle="Normal 2"/>
    <tableColumn id="8" xr3:uid="{02D53F25-E949-482E-A540-0824CE8982CD}" name="Medico" dataDxfId="111" dataCellStyle="Normal 2"/>
    <tableColumn id="9" xr3:uid="{07F226E9-0F79-42BF-BB46-35B13CC76529}" name="Especialidad" dataDxfId="110" dataCellStyle="Normal 2"/>
    <tableColumn id="10" xr3:uid="{A0FB1954-74F7-46E9-83CA-310E3C53BB09}" name="Valor Consulta" dataDxfId="109" dataCellStyle="Moneda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7" Type="http://schemas.microsoft.com/office/2007/relationships/slicer" Target="../slicers/slicer2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drawing" Target="../drawings/drawing2.xml"/><Relationship Id="rId5" Type="http://schemas.openxmlformats.org/officeDocument/2006/relationships/pivotTable" Target="../pivotTables/pivotTable6.xml"/><Relationship Id="rId4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4A3BC-EE9B-4515-8AFB-2EEE9C25FBFA}">
  <dimension ref="A1:J371"/>
  <sheetViews>
    <sheetView tabSelected="1" zoomScale="120" zoomScaleNormal="120" workbookViewId="0"/>
  </sheetViews>
  <sheetFormatPr baseColWidth="10" defaultRowHeight="15" x14ac:dyDescent="0.25"/>
  <cols>
    <col min="1" max="1" width="15.42578125" customWidth="1"/>
    <col min="2" max="2" width="29.28515625" bestFit="1" customWidth="1"/>
    <col min="5" max="5" width="14.7109375" customWidth="1"/>
    <col min="6" max="6" width="16.7109375" customWidth="1"/>
    <col min="7" max="7" width="15.85546875" customWidth="1"/>
    <col min="8" max="8" width="25.28515625" bestFit="1" customWidth="1"/>
    <col min="9" max="9" width="12.28515625" customWidth="1"/>
    <col min="10" max="10" width="13.7109375" customWidth="1"/>
  </cols>
  <sheetData>
    <row r="1" spans="1:10" x14ac:dyDescent="0.25">
      <c r="A1" s="28" t="s">
        <v>0</v>
      </c>
      <c r="B1" s="29" t="s">
        <v>1</v>
      </c>
      <c r="C1" s="29" t="s">
        <v>2</v>
      </c>
      <c r="D1" s="29" t="s">
        <v>3</v>
      </c>
      <c r="E1" s="29" t="s">
        <v>4</v>
      </c>
      <c r="F1" s="29" t="s">
        <v>5</v>
      </c>
      <c r="G1" s="29" t="s">
        <v>6</v>
      </c>
      <c r="H1" s="29" t="s">
        <v>7</v>
      </c>
      <c r="I1" s="29" t="s">
        <v>8</v>
      </c>
      <c r="J1" s="30" t="s">
        <v>9</v>
      </c>
    </row>
    <row r="2" spans="1:10" x14ac:dyDescent="0.25">
      <c r="A2" s="22">
        <v>1095789004</v>
      </c>
      <c r="B2" s="1" t="s">
        <v>10</v>
      </c>
      <c r="C2" s="2">
        <v>37</v>
      </c>
      <c r="D2" s="1" t="s">
        <v>11</v>
      </c>
      <c r="E2" s="3" t="s">
        <v>12</v>
      </c>
      <c r="F2" s="4">
        <v>18794</v>
      </c>
      <c r="G2" s="5" t="s">
        <v>13</v>
      </c>
      <c r="H2" s="1" t="s">
        <v>14</v>
      </c>
      <c r="I2" s="6" t="s">
        <v>15</v>
      </c>
      <c r="J2" s="25">
        <v>56000</v>
      </c>
    </row>
    <row r="3" spans="1:10" x14ac:dyDescent="0.25">
      <c r="A3" s="23">
        <v>63526350</v>
      </c>
      <c r="B3" s="7" t="s">
        <v>16</v>
      </c>
      <c r="C3" s="8">
        <v>28</v>
      </c>
      <c r="D3" s="7" t="s">
        <v>11</v>
      </c>
      <c r="E3" s="9" t="s">
        <v>17</v>
      </c>
      <c r="F3" s="10">
        <v>9500</v>
      </c>
      <c r="G3" s="11" t="s">
        <v>18</v>
      </c>
      <c r="H3" s="7" t="s">
        <v>19</v>
      </c>
      <c r="I3" s="12" t="s">
        <v>20</v>
      </c>
      <c r="J3" s="26">
        <v>81000</v>
      </c>
    </row>
    <row r="4" spans="1:10" x14ac:dyDescent="0.25">
      <c r="A4" s="24">
        <v>1098662147</v>
      </c>
      <c r="B4" s="13" t="s">
        <v>21</v>
      </c>
      <c r="C4" s="14">
        <v>41</v>
      </c>
      <c r="D4" s="13" t="s">
        <v>11</v>
      </c>
      <c r="E4" s="15" t="s">
        <v>22</v>
      </c>
      <c r="F4" s="16">
        <v>11400</v>
      </c>
      <c r="G4" s="17" t="s">
        <v>18</v>
      </c>
      <c r="H4" s="13" t="s">
        <v>23</v>
      </c>
      <c r="I4" s="18" t="s">
        <v>24</v>
      </c>
      <c r="J4" s="27">
        <v>67000</v>
      </c>
    </row>
    <row r="5" spans="1:10" x14ac:dyDescent="0.25">
      <c r="A5" s="23">
        <v>91529174</v>
      </c>
      <c r="B5" s="7" t="s">
        <v>25</v>
      </c>
      <c r="C5" s="8">
        <v>26</v>
      </c>
      <c r="D5" s="7" t="s">
        <v>26</v>
      </c>
      <c r="E5" s="9" t="s">
        <v>27</v>
      </c>
      <c r="F5" s="10">
        <v>11400</v>
      </c>
      <c r="G5" s="11" t="s">
        <v>28</v>
      </c>
      <c r="H5" s="7" t="s">
        <v>29</v>
      </c>
      <c r="I5" s="12" t="s">
        <v>30</v>
      </c>
      <c r="J5" s="26">
        <v>79000</v>
      </c>
    </row>
    <row r="6" spans="1:10" x14ac:dyDescent="0.25">
      <c r="A6" s="24">
        <v>1098644533</v>
      </c>
      <c r="B6" s="13" t="s">
        <v>31</v>
      </c>
      <c r="C6" s="14">
        <v>37</v>
      </c>
      <c r="D6" s="13" t="s">
        <v>26</v>
      </c>
      <c r="E6" s="15" t="s">
        <v>32</v>
      </c>
      <c r="F6" s="16">
        <v>9400</v>
      </c>
      <c r="G6" s="17" t="s">
        <v>33</v>
      </c>
      <c r="H6" s="13" t="s">
        <v>34</v>
      </c>
      <c r="I6" s="18" t="s">
        <v>35</v>
      </c>
      <c r="J6" s="27">
        <v>50000</v>
      </c>
    </row>
    <row r="7" spans="1:10" x14ac:dyDescent="0.25">
      <c r="A7" s="23">
        <v>1092341610</v>
      </c>
      <c r="B7" s="7" t="s">
        <v>36</v>
      </c>
      <c r="C7" s="8">
        <v>30</v>
      </c>
      <c r="D7" s="7" t="s">
        <v>11</v>
      </c>
      <c r="E7" s="9" t="s">
        <v>37</v>
      </c>
      <c r="F7" s="10">
        <v>9400</v>
      </c>
      <c r="G7" s="11" t="s">
        <v>38</v>
      </c>
      <c r="H7" s="7" t="s">
        <v>19</v>
      </c>
      <c r="I7" s="12" t="s">
        <v>20</v>
      </c>
      <c r="J7" s="26">
        <v>77000</v>
      </c>
    </row>
    <row r="8" spans="1:10" x14ac:dyDescent="0.25">
      <c r="A8" s="24">
        <v>63539491</v>
      </c>
      <c r="B8" s="13" t="s">
        <v>39</v>
      </c>
      <c r="C8" s="14">
        <v>23</v>
      </c>
      <c r="D8" s="13" t="s">
        <v>11</v>
      </c>
      <c r="E8" s="15" t="s">
        <v>40</v>
      </c>
      <c r="F8" s="16">
        <v>9400</v>
      </c>
      <c r="G8" s="17" t="s">
        <v>18</v>
      </c>
      <c r="H8" s="13" t="s">
        <v>41</v>
      </c>
      <c r="I8" s="18" t="s">
        <v>30</v>
      </c>
      <c r="J8" s="27">
        <v>65000</v>
      </c>
    </row>
    <row r="9" spans="1:10" x14ac:dyDescent="0.25">
      <c r="A9" s="24">
        <v>63540725</v>
      </c>
      <c r="B9" s="13" t="s">
        <v>42</v>
      </c>
      <c r="C9" s="14">
        <v>50</v>
      </c>
      <c r="D9" s="13" t="s">
        <v>11</v>
      </c>
      <c r="E9" s="15" t="s">
        <v>43</v>
      </c>
      <c r="F9" s="16">
        <v>9400</v>
      </c>
      <c r="G9" s="17" t="s">
        <v>13</v>
      </c>
      <c r="H9" s="13" t="s">
        <v>44</v>
      </c>
      <c r="I9" s="18" t="s">
        <v>45</v>
      </c>
      <c r="J9" s="27">
        <v>54000</v>
      </c>
    </row>
    <row r="10" spans="1:10" x14ac:dyDescent="0.25">
      <c r="A10" s="23">
        <v>1102358103</v>
      </c>
      <c r="B10" s="7" t="s">
        <v>46</v>
      </c>
      <c r="C10" s="8">
        <v>38</v>
      </c>
      <c r="D10" s="7" t="s">
        <v>26</v>
      </c>
      <c r="E10" s="9" t="s">
        <v>47</v>
      </c>
      <c r="F10" s="10">
        <v>9400</v>
      </c>
      <c r="G10" s="11" t="s">
        <v>13</v>
      </c>
      <c r="H10" s="7" t="s">
        <v>48</v>
      </c>
      <c r="I10" s="12" t="s">
        <v>45</v>
      </c>
      <c r="J10" s="26">
        <v>78000</v>
      </c>
    </row>
    <row r="11" spans="1:10" x14ac:dyDescent="0.25">
      <c r="A11" s="24">
        <v>37559612</v>
      </c>
      <c r="B11" s="13" t="s">
        <v>49</v>
      </c>
      <c r="C11" s="14">
        <v>53</v>
      </c>
      <c r="D11" s="13" t="s">
        <v>11</v>
      </c>
      <c r="E11" s="15" t="s">
        <v>50</v>
      </c>
      <c r="F11" s="16">
        <v>9400</v>
      </c>
      <c r="G11" s="17" t="s">
        <v>51</v>
      </c>
      <c r="H11" s="13" t="s">
        <v>52</v>
      </c>
      <c r="I11" s="18" t="s">
        <v>53</v>
      </c>
      <c r="J11" s="27">
        <v>81000</v>
      </c>
    </row>
    <row r="12" spans="1:10" x14ac:dyDescent="0.25">
      <c r="A12" s="23">
        <v>1098644986</v>
      </c>
      <c r="B12" s="7" t="s">
        <v>54</v>
      </c>
      <c r="C12" s="8">
        <v>33</v>
      </c>
      <c r="D12" s="7" t="s">
        <v>11</v>
      </c>
      <c r="E12" s="9" t="s">
        <v>55</v>
      </c>
      <c r="F12" s="10">
        <v>9027</v>
      </c>
      <c r="G12" s="11" t="s">
        <v>56</v>
      </c>
      <c r="H12" s="7" t="s">
        <v>57</v>
      </c>
      <c r="I12" s="12" t="s">
        <v>15</v>
      </c>
      <c r="J12" s="26">
        <v>65000</v>
      </c>
    </row>
    <row r="13" spans="1:10" x14ac:dyDescent="0.25">
      <c r="A13" s="24">
        <v>37618486</v>
      </c>
      <c r="B13" s="13" t="s">
        <v>58</v>
      </c>
      <c r="C13" s="14">
        <v>19</v>
      </c>
      <c r="D13" s="13" t="s">
        <v>11</v>
      </c>
      <c r="E13" s="15" t="s">
        <v>47</v>
      </c>
      <c r="F13" s="16">
        <v>8400</v>
      </c>
      <c r="G13" s="17" t="s">
        <v>38</v>
      </c>
      <c r="H13" s="13" t="s">
        <v>59</v>
      </c>
      <c r="I13" s="18" t="s">
        <v>35</v>
      </c>
      <c r="J13" s="27">
        <v>59000</v>
      </c>
    </row>
    <row r="14" spans="1:10" x14ac:dyDescent="0.25">
      <c r="A14" s="24">
        <v>13717746</v>
      </c>
      <c r="B14" s="13" t="s">
        <v>60</v>
      </c>
      <c r="C14" s="14">
        <v>38</v>
      </c>
      <c r="D14" s="13" t="s">
        <v>26</v>
      </c>
      <c r="E14" s="15" t="s">
        <v>61</v>
      </c>
      <c r="F14" s="16">
        <v>18794</v>
      </c>
      <c r="G14" s="17" t="s">
        <v>56</v>
      </c>
      <c r="H14" s="13" t="s">
        <v>62</v>
      </c>
      <c r="I14" s="18" t="s">
        <v>24</v>
      </c>
      <c r="J14" s="27">
        <v>54000</v>
      </c>
    </row>
    <row r="15" spans="1:10" x14ac:dyDescent="0.25">
      <c r="A15" s="23">
        <v>1098643148</v>
      </c>
      <c r="B15" s="7" t="s">
        <v>63</v>
      </c>
      <c r="C15" s="8">
        <v>30</v>
      </c>
      <c r="D15" s="7" t="s">
        <v>26</v>
      </c>
      <c r="E15" s="9" t="s">
        <v>61</v>
      </c>
      <c r="F15" s="10">
        <v>18794</v>
      </c>
      <c r="G15" s="11" t="s">
        <v>18</v>
      </c>
      <c r="H15" s="7" t="s">
        <v>23</v>
      </c>
      <c r="I15" s="12" t="s">
        <v>24</v>
      </c>
      <c r="J15" s="26">
        <v>61000</v>
      </c>
    </row>
    <row r="16" spans="1:10" x14ac:dyDescent="0.25">
      <c r="A16" s="24">
        <v>1098673643</v>
      </c>
      <c r="B16" s="13" t="s">
        <v>64</v>
      </c>
      <c r="C16" s="14">
        <v>61</v>
      </c>
      <c r="D16" s="13" t="s">
        <v>11</v>
      </c>
      <c r="E16" s="15" t="s">
        <v>65</v>
      </c>
      <c r="F16" s="16">
        <v>18794</v>
      </c>
      <c r="G16" s="17" t="s">
        <v>66</v>
      </c>
      <c r="H16" s="13" t="s">
        <v>67</v>
      </c>
      <c r="I16" s="18" t="s">
        <v>53</v>
      </c>
      <c r="J16" s="27">
        <v>80000</v>
      </c>
    </row>
    <row r="17" spans="1:10" x14ac:dyDescent="0.25">
      <c r="A17" s="23">
        <v>37514387</v>
      </c>
      <c r="B17" s="7" t="s">
        <v>68</v>
      </c>
      <c r="C17" s="8">
        <v>29</v>
      </c>
      <c r="D17" s="7" t="s">
        <v>11</v>
      </c>
      <c r="E17" s="9" t="s">
        <v>69</v>
      </c>
      <c r="F17" s="10">
        <v>18794</v>
      </c>
      <c r="G17" s="11" t="s">
        <v>18</v>
      </c>
      <c r="H17" s="7" t="s">
        <v>70</v>
      </c>
      <c r="I17" s="12" t="s">
        <v>30</v>
      </c>
      <c r="J17" s="26">
        <v>71000</v>
      </c>
    </row>
    <row r="18" spans="1:10" x14ac:dyDescent="0.25">
      <c r="A18" s="24">
        <v>1098683389</v>
      </c>
      <c r="B18" s="13" t="s">
        <v>71</v>
      </c>
      <c r="C18" s="14">
        <v>38</v>
      </c>
      <c r="D18" s="13" t="s">
        <v>26</v>
      </c>
      <c r="E18" s="15" t="s">
        <v>72</v>
      </c>
      <c r="F18" s="16">
        <v>18794</v>
      </c>
      <c r="G18" s="17" t="s">
        <v>13</v>
      </c>
      <c r="H18" s="13" t="s">
        <v>73</v>
      </c>
      <c r="I18" s="18" t="s">
        <v>30</v>
      </c>
      <c r="J18" s="27">
        <v>87000</v>
      </c>
    </row>
    <row r="19" spans="1:10" x14ac:dyDescent="0.25">
      <c r="A19" s="24">
        <v>1095799279</v>
      </c>
      <c r="B19" s="13" t="s">
        <v>74</v>
      </c>
      <c r="C19" s="14">
        <v>56</v>
      </c>
      <c r="D19" s="13" t="s">
        <v>26</v>
      </c>
      <c r="E19" s="15" t="s">
        <v>75</v>
      </c>
      <c r="F19" s="16">
        <v>18794</v>
      </c>
      <c r="G19" s="17" t="s">
        <v>76</v>
      </c>
      <c r="H19" s="13" t="s">
        <v>48</v>
      </c>
      <c r="I19" s="18" t="s">
        <v>45</v>
      </c>
      <c r="J19" s="27">
        <v>58000</v>
      </c>
    </row>
    <row r="20" spans="1:10" x14ac:dyDescent="0.25">
      <c r="A20" s="23">
        <v>1098643615</v>
      </c>
      <c r="B20" s="7" t="s">
        <v>77</v>
      </c>
      <c r="C20" s="8">
        <v>27</v>
      </c>
      <c r="D20" s="7" t="s">
        <v>11</v>
      </c>
      <c r="E20" s="9" t="s">
        <v>78</v>
      </c>
      <c r="F20" s="10">
        <v>15300</v>
      </c>
      <c r="G20" s="11" t="s">
        <v>76</v>
      </c>
      <c r="H20" s="7" t="s">
        <v>79</v>
      </c>
      <c r="I20" s="12" t="s">
        <v>30</v>
      </c>
      <c r="J20" s="26">
        <v>59000</v>
      </c>
    </row>
    <row r="21" spans="1:10" x14ac:dyDescent="0.25">
      <c r="A21" s="24">
        <v>63540030</v>
      </c>
      <c r="B21" s="13" t="s">
        <v>80</v>
      </c>
      <c r="C21" s="14">
        <v>22</v>
      </c>
      <c r="D21" s="13" t="s">
        <v>11</v>
      </c>
      <c r="E21" s="15" t="s">
        <v>81</v>
      </c>
      <c r="F21" s="16">
        <v>15300</v>
      </c>
      <c r="G21" s="17" t="s">
        <v>18</v>
      </c>
      <c r="H21" s="13" t="s">
        <v>19</v>
      </c>
      <c r="I21" s="18" t="s">
        <v>20</v>
      </c>
      <c r="J21" s="27">
        <v>85000</v>
      </c>
    </row>
    <row r="22" spans="1:10" x14ac:dyDescent="0.25">
      <c r="A22" s="23">
        <v>1098616605</v>
      </c>
      <c r="B22" s="7" t="s">
        <v>82</v>
      </c>
      <c r="C22" s="8">
        <v>41</v>
      </c>
      <c r="D22" s="7" t="s">
        <v>26</v>
      </c>
      <c r="E22" s="9" t="s">
        <v>61</v>
      </c>
      <c r="F22" s="10">
        <v>15300</v>
      </c>
      <c r="G22" s="11" t="s">
        <v>13</v>
      </c>
      <c r="H22" s="7" t="s">
        <v>73</v>
      </c>
      <c r="I22" s="12" t="s">
        <v>30</v>
      </c>
      <c r="J22" s="26">
        <v>59000</v>
      </c>
    </row>
    <row r="23" spans="1:10" x14ac:dyDescent="0.25">
      <c r="A23" s="24">
        <v>1038062180</v>
      </c>
      <c r="B23" s="13" t="s">
        <v>83</v>
      </c>
      <c r="C23" s="14">
        <v>30</v>
      </c>
      <c r="D23" s="13" t="s">
        <v>26</v>
      </c>
      <c r="E23" s="15" t="s">
        <v>84</v>
      </c>
      <c r="F23" s="16">
        <v>15300</v>
      </c>
      <c r="G23" s="17" t="s">
        <v>56</v>
      </c>
      <c r="H23" s="13" t="s">
        <v>57</v>
      </c>
      <c r="I23" s="18" t="s">
        <v>15</v>
      </c>
      <c r="J23" s="27">
        <v>63000</v>
      </c>
    </row>
    <row r="24" spans="1:10" x14ac:dyDescent="0.25">
      <c r="A24" s="24">
        <v>1098605140</v>
      </c>
      <c r="B24" s="13" t="s">
        <v>85</v>
      </c>
      <c r="C24" s="14">
        <v>51</v>
      </c>
      <c r="D24" s="13" t="s">
        <v>11</v>
      </c>
      <c r="E24" s="15" t="s">
        <v>55</v>
      </c>
      <c r="F24" s="16">
        <v>15300</v>
      </c>
      <c r="G24" s="17" t="s">
        <v>33</v>
      </c>
      <c r="H24" s="13" t="s">
        <v>86</v>
      </c>
      <c r="I24" s="18" t="s">
        <v>87</v>
      </c>
      <c r="J24" s="27">
        <v>53000</v>
      </c>
    </row>
    <row r="25" spans="1:10" x14ac:dyDescent="0.25">
      <c r="A25" s="23">
        <v>1032366820</v>
      </c>
      <c r="B25" s="7" t="s">
        <v>88</v>
      </c>
      <c r="C25" s="8">
        <v>44</v>
      </c>
      <c r="D25" s="7" t="s">
        <v>26</v>
      </c>
      <c r="E25" s="9" t="s">
        <v>89</v>
      </c>
      <c r="F25" s="10">
        <v>15300</v>
      </c>
      <c r="G25" s="11" t="s">
        <v>18</v>
      </c>
      <c r="H25" s="7" t="s">
        <v>90</v>
      </c>
      <c r="I25" s="12" t="s">
        <v>15</v>
      </c>
      <c r="J25" s="26">
        <v>85000</v>
      </c>
    </row>
    <row r="26" spans="1:10" x14ac:dyDescent="0.25">
      <c r="A26" s="24">
        <v>1098702189</v>
      </c>
      <c r="B26" s="13" t="s">
        <v>91</v>
      </c>
      <c r="C26" s="14">
        <v>33</v>
      </c>
      <c r="D26" s="13" t="s">
        <v>11</v>
      </c>
      <c r="E26" s="15" t="s">
        <v>27</v>
      </c>
      <c r="F26" s="16">
        <v>15300</v>
      </c>
      <c r="G26" s="17" t="s">
        <v>76</v>
      </c>
      <c r="H26" s="13" t="s">
        <v>29</v>
      </c>
      <c r="I26" s="18" t="s">
        <v>30</v>
      </c>
      <c r="J26" s="27">
        <v>85000</v>
      </c>
    </row>
    <row r="27" spans="1:10" x14ac:dyDescent="0.25">
      <c r="A27" s="23">
        <v>1095802881</v>
      </c>
      <c r="B27" s="7" t="s">
        <v>92</v>
      </c>
      <c r="C27" s="8">
        <v>30</v>
      </c>
      <c r="D27" s="7" t="s">
        <v>26</v>
      </c>
      <c r="E27" s="9" t="s">
        <v>27</v>
      </c>
      <c r="F27" s="10">
        <v>9400</v>
      </c>
      <c r="G27" s="11" t="s">
        <v>66</v>
      </c>
      <c r="H27" s="7" t="s">
        <v>93</v>
      </c>
      <c r="I27" s="12" t="s">
        <v>20</v>
      </c>
      <c r="J27" s="26">
        <v>87000</v>
      </c>
    </row>
    <row r="28" spans="1:10" x14ac:dyDescent="0.25">
      <c r="A28" s="24">
        <v>1095807208</v>
      </c>
      <c r="B28" s="13" t="s">
        <v>94</v>
      </c>
      <c r="C28" s="14">
        <v>27</v>
      </c>
      <c r="D28" s="13" t="s">
        <v>11</v>
      </c>
      <c r="E28" s="15" t="s">
        <v>32</v>
      </c>
      <c r="F28" s="16">
        <v>9400</v>
      </c>
      <c r="G28" s="17" t="s">
        <v>13</v>
      </c>
      <c r="H28" s="13" t="s">
        <v>95</v>
      </c>
      <c r="I28" s="18" t="s">
        <v>45</v>
      </c>
      <c r="J28" s="27">
        <v>78000</v>
      </c>
    </row>
    <row r="29" spans="1:10" x14ac:dyDescent="0.25">
      <c r="A29" s="24">
        <v>13514330</v>
      </c>
      <c r="B29" s="13" t="s">
        <v>96</v>
      </c>
      <c r="C29" s="14">
        <v>22</v>
      </c>
      <c r="D29" s="13" t="s">
        <v>26</v>
      </c>
      <c r="E29" s="15" t="s">
        <v>97</v>
      </c>
      <c r="F29" s="16">
        <v>9400</v>
      </c>
      <c r="G29" s="17" t="s">
        <v>28</v>
      </c>
      <c r="H29" s="13" t="s">
        <v>67</v>
      </c>
      <c r="I29" s="18" t="s">
        <v>53</v>
      </c>
      <c r="J29" s="27">
        <v>87000</v>
      </c>
    </row>
    <row r="30" spans="1:10" x14ac:dyDescent="0.25">
      <c r="A30" s="23">
        <v>1095916390</v>
      </c>
      <c r="B30" s="7" t="s">
        <v>98</v>
      </c>
      <c r="C30" s="8">
        <v>33</v>
      </c>
      <c r="D30" s="7" t="s">
        <v>26</v>
      </c>
      <c r="E30" s="9" t="s">
        <v>12</v>
      </c>
      <c r="F30" s="10">
        <v>9400</v>
      </c>
      <c r="G30" s="11" t="s">
        <v>56</v>
      </c>
      <c r="H30" s="7" t="s">
        <v>14</v>
      </c>
      <c r="I30" s="12" t="s">
        <v>15</v>
      </c>
      <c r="J30" s="26">
        <v>69000</v>
      </c>
    </row>
    <row r="31" spans="1:10" x14ac:dyDescent="0.25">
      <c r="A31" s="24">
        <v>80926411</v>
      </c>
      <c r="B31" s="13" t="s">
        <v>99</v>
      </c>
      <c r="C31" s="14">
        <v>51</v>
      </c>
      <c r="D31" s="13" t="s">
        <v>26</v>
      </c>
      <c r="E31" s="15" t="s">
        <v>100</v>
      </c>
      <c r="F31" s="16">
        <v>9400</v>
      </c>
      <c r="G31" s="17" t="s">
        <v>18</v>
      </c>
      <c r="H31" s="13" t="s">
        <v>90</v>
      </c>
      <c r="I31" s="18" t="s">
        <v>15</v>
      </c>
      <c r="J31" s="27">
        <v>56000</v>
      </c>
    </row>
    <row r="32" spans="1:10" x14ac:dyDescent="0.25">
      <c r="A32" s="23">
        <v>91294479</v>
      </c>
      <c r="B32" s="7" t="s">
        <v>101</v>
      </c>
      <c r="C32" s="8">
        <v>33</v>
      </c>
      <c r="D32" s="7" t="s">
        <v>26</v>
      </c>
      <c r="E32" s="9" t="s">
        <v>61</v>
      </c>
      <c r="F32" s="10">
        <v>9400</v>
      </c>
      <c r="G32" s="11" t="s">
        <v>76</v>
      </c>
      <c r="H32" s="7" t="s">
        <v>73</v>
      </c>
      <c r="I32" s="12" t="s">
        <v>30</v>
      </c>
      <c r="J32" s="26">
        <v>80000</v>
      </c>
    </row>
    <row r="33" spans="1:10" x14ac:dyDescent="0.25">
      <c r="A33" s="24">
        <v>1070595472</v>
      </c>
      <c r="B33" s="13" t="s">
        <v>102</v>
      </c>
      <c r="C33" s="14">
        <v>50</v>
      </c>
      <c r="D33" s="13" t="s">
        <v>11</v>
      </c>
      <c r="E33" s="15" t="s">
        <v>103</v>
      </c>
      <c r="F33" s="16">
        <v>9400</v>
      </c>
      <c r="G33" s="17" t="s">
        <v>13</v>
      </c>
      <c r="H33" s="13" t="s">
        <v>79</v>
      </c>
      <c r="I33" s="18" t="s">
        <v>30</v>
      </c>
      <c r="J33" s="27">
        <v>57000</v>
      </c>
    </row>
    <row r="34" spans="1:10" x14ac:dyDescent="0.25">
      <c r="A34" s="24">
        <v>1098642747</v>
      </c>
      <c r="B34" s="13" t="s">
        <v>104</v>
      </c>
      <c r="C34" s="14">
        <v>39</v>
      </c>
      <c r="D34" s="13" t="s">
        <v>26</v>
      </c>
      <c r="E34" s="15" t="s">
        <v>47</v>
      </c>
      <c r="F34" s="16">
        <v>9400</v>
      </c>
      <c r="G34" s="17" t="s">
        <v>13</v>
      </c>
      <c r="H34" s="13" t="s">
        <v>105</v>
      </c>
      <c r="I34" s="18" t="s">
        <v>106</v>
      </c>
      <c r="J34" s="27">
        <v>62000</v>
      </c>
    </row>
    <row r="35" spans="1:10" x14ac:dyDescent="0.25">
      <c r="A35" s="23">
        <v>22524973</v>
      </c>
      <c r="B35" s="7" t="s">
        <v>107</v>
      </c>
      <c r="C35" s="8">
        <v>30</v>
      </c>
      <c r="D35" s="7" t="s">
        <v>11</v>
      </c>
      <c r="E35" s="9" t="s">
        <v>55</v>
      </c>
      <c r="F35" s="10">
        <v>9400</v>
      </c>
      <c r="G35" s="11" t="s">
        <v>33</v>
      </c>
      <c r="H35" s="7" t="s">
        <v>41</v>
      </c>
      <c r="I35" s="12" t="s">
        <v>30</v>
      </c>
      <c r="J35" s="26">
        <v>64000</v>
      </c>
    </row>
    <row r="36" spans="1:10" x14ac:dyDescent="0.25">
      <c r="A36" s="24">
        <v>1095791352</v>
      </c>
      <c r="B36" s="13" t="s">
        <v>108</v>
      </c>
      <c r="C36" s="14">
        <v>22</v>
      </c>
      <c r="D36" s="13" t="s">
        <v>11</v>
      </c>
      <c r="E36" s="15" t="s">
        <v>32</v>
      </c>
      <c r="F36" s="16">
        <v>13800</v>
      </c>
      <c r="G36" s="17" t="s">
        <v>38</v>
      </c>
      <c r="H36" s="13" t="s">
        <v>59</v>
      </c>
      <c r="I36" s="18" t="s">
        <v>35</v>
      </c>
      <c r="J36" s="27">
        <v>79000</v>
      </c>
    </row>
    <row r="37" spans="1:10" x14ac:dyDescent="0.25">
      <c r="A37" s="23">
        <v>1098639774</v>
      </c>
      <c r="B37" s="7" t="s">
        <v>109</v>
      </c>
      <c r="C37" s="8">
        <v>28</v>
      </c>
      <c r="D37" s="7" t="s">
        <v>26</v>
      </c>
      <c r="E37" s="9" t="s">
        <v>61</v>
      </c>
      <c r="F37" s="10">
        <v>13800</v>
      </c>
      <c r="G37" s="11" t="s">
        <v>13</v>
      </c>
      <c r="H37" s="7" t="s">
        <v>110</v>
      </c>
      <c r="I37" s="12" t="s">
        <v>35</v>
      </c>
      <c r="J37" s="26">
        <v>53000</v>
      </c>
    </row>
    <row r="38" spans="1:10" x14ac:dyDescent="0.25">
      <c r="A38" s="24">
        <v>32889624</v>
      </c>
      <c r="B38" s="13" t="s">
        <v>111</v>
      </c>
      <c r="C38" s="14">
        <v>38</v>
      </c>
      <c r="D38" s="13" t="s">
        <v>11</v>
      </c>
      <c r="E38" s="15" t="s">
        <v>112</v>
      </c>
      <c r="F38" s="16">
        <v>13800</v>
      </c>
      <c r="G38" s="17" t="s">
        <v>66</v>
      </c>
      <c r="H38" s="13" t="s">
        <v>93</v>
      </c>
      <c r="I38" s="18" t="s">
        <v>20</v>
      </c>
      <c r="J38" s="27">
        <v>66000</v>
      </c>
    </row>
    <row r="39" spans="1:10" x14ac:dyDescent="0.25">
      <c r="A39" s="24">
        <v>63554601</v>
      </c>
      <c r="B39" s="13" t="s">
        <v>113</v>
      </c>
      <c r="C39" s="14">
        <v>34</v>
      </c>
      <c r="D39" s="13" t="s">
        <v>11</v>
      </c>
      <c r="E39" s="15" t="s">
        <v>112</v>
      </c>
      <c r="F39" s="16">
        <v>13800</v>
      </c>
      <c r="G39" s="17" t="s">
        <v>13</v>
      </c>
      <c r="H39" s="13" t="s">
        <v>105</v>
      </c>
      <c r="I39" s="18" t="s">
        <v>106</v>
      </c>
      <c r="J39" s="27">
        <v>89000</v>
      </c>
    </row>
    <row r="40" spans="1:10" x14ac:dyDescent="0.25">
      <c r="A40" s="23">
        <v>1098657492</v>
      </c>
      <c r="B40" s="7" t="s">
        <v>114</v>
      </c>
      <c r="C40" s="8">
        <v>42</v>
      </c>
      <c r="D40" s="7" t="s">
        <v>11</v>
      </c>
      <c r="E40" s="9" t="s">
        <v>97</v>
      </c>
      <c r="F40" s="10">
        <v>13800</v>
      </c>
      <c r="G40" s="11" t="s">
        <v>51</v>
      </c>
      <c r="H40" s="7" t="s">
        <v>67</v>
      </c>
      <c r="I40" s="12" t="s">
        <v>53</v>
      </c>
      <c r="J40" s="26">
        <v>53000</v>
      </c>
    </row>
    <row r="41" spans="1:10" x14ac:dyDescent="0.25">
      <c r="A41" s="24">
        <v>1098406009</v>
      </c>
      <c r="B41" s="13" t="s">
        <v>115</v>
      </c>
      <c r="C41" s="14">
        <v>51</v>
      </c>
      <c r="D41" s="13" t="s">
        <v>11</v>
      </c>
      <c r="E41" s="15" t="s">
        <v>116</v>
      </c>
      <c r="F41" s="16">
        <v>13800</v>
      </c>
      <c r="G41" s="17" t="s">
        <v>33</v>
      </c>
      <c r="H41" s="13" t="s">
        <v>117</v>
      </c>
      <c r="I41" s="18" t="s">
        <v>53</v>
      </c>
      <c r="J41" s="27">
        <v>59000</v>
      </c>
    </row>
    <row r="42" spans="1:10" x14ac:dyDescent="0.25">
      <c r="A42" s="23">
        <v>1098620530</v>
      </c>
      <c r="B42" s="7" t="s">
        <v>118</v>
      </c>
      <c r="C42" s="8">
        <v>42</v>
      </c>
      <c r="D42" s="7" t="s">
        <v>11</v>
      </c>
      <c r="E42" s="9" t="s">
        <v>78</v>
      </c>
      <c r="F42" s="10">
        <v>13800</v>
      </c>
      <c r="G42" s="11" t="s">
        <v>56</v>
      </c>
      <c r="H42" s="7" t="s">
        <v>79</v>
      </c>
      <c r="I42" s="12" t="s">
        <v>30</v>
      </c>
      <c r="J42" s="26">
        <v>62000</v>
      </c>
    </row>
    <row r="43" spans="1:10" x14ac:dyDescent="0.25">
      <c r="A43" s="24">
        <v>63341342</v>
      </c>
      <c r="B43" s="13" t="s">
        <v>119</v>
      </c>
      <c r="C43" s="14">
        <v>26</v>
      </c>
      <c r="D43" s="13" t="s">
        <v>11</v>
      </c>
      <c r="E43" s="15" t="s">
        <v>22</v>
      </c>
      <c r="F43" s="16">
        <v>13800</v>
      </c>
      <c r="G43" s="17" t="s">
        <v>13</v>
      </c>
      <c r="H43" s="13" t="s">
        <v>95</v>
      </c>
      <c r="I43" s="18" t="s">
        <v>45</v>
      </c>
      <c r="J43" s="27">
        <v>75000</v>
      </c>
    </row>
    <row r="44" spans="1:10" x14ac:dyDescent="0.25">
      <c r="A44" s="24">
        <v>1005148916</v>
      </c>
      <c r="B44" s="13" t="s">
        <v>120</v>
      </c>
      <c r="C44" s="14">
        <v>37</v>
      </c>
      <c r="D44" s="13" t="s">
        <v>11</v>
      </c>
      <c r="E44" s="15" t="s">
        <v>47</v>
      </c>
      <c r="F44" s="16">
        <v>13800</v>
      </c>
      <c r="G44" s="17" t="s">
        <v>76</v>
      </c>
      <c r="H44" s="13" t="s">
        <v>105</v>
      </c>
      <c r="I44" s="18" t="s">
        <v>106</v>
      </c>
      <c r="J44" s="27">
        <v>56000</v>
      </c>
    </row>
    <row r="45" spans="1:10" x14ac:dyDescent="0.25">
      <c r="A45" s="23">
        <v>1098702837</v>
      </c>
      <c r="B45" s="7" t="s">
        <v>121</v>
      </c>
      <c r="C45" s="8">
        <v>26</v>
      </c>
      <c r="D45" s="7" t="s">
        <v>11</v>
      </c>
      <c r="E45" s="9" t="s">
        <v>65</v>
      </c>
      <c r="F45" s="10">
        <v>13800</v>
      </c>
      <c r="G45" s="11" t="s">
        <v>66</v>
      </c>
      <c r="H45" s="7" t="s">
        <v>67</v>
      </c>
      <c r="I45" s="12" t="s">
        <v>53</v>
      </c>
      <c r="J45" s="26">
        <v>66000</v>
      </c>
    </row>
    <row r="46" spans="1:10" x14ac:dyDescent="0.25">
      <c r="A46" s="24">
        <v>45694233</v>
      </c>
      <c r="B46" s="13" t="s">
        <v>122</v>
      </c>
      <c r="C46" s="14">
        <v>31</v>
      </c>
      <c r="D46" s="13" t="s">
        <v>11</v>
      </c>
      <c r="E46" s="15" t="s">
        <v>123</v>
      </c>
      <c r="F46" s="16">
        <v>13800</v>
      </c>
      <c r="G46" s="17" t="s">
        <v>76</v>
      </c>
      <c r="H46" s="13" t="s">
        <v>95</v>
      </c>
      <c r="I46" s="18" t="s">
        <v>45</v>
      </c>
      <c r="J46" s="27">
        <v>78000</v>
      </c>
    </row>
    <row r="47" spans="1:10" x14ac:dyDescent="0.25">
      <c r="A47" s="23">
        <v>63437333</v>
      </c>
      <c r="B47" s="7" t="s">
        <v>124</v>
      </c>
      <c r="C47" s="8">
        <v>28</v>
      </c>
      <c r="D47" s="7" t="s">
        <v>11</v>
      </c>
      <c r="E47" s="9" t="s">
        <v>65</v>
      </c>
      <c r="F47" s="10">
        <v>11400</v>
      </c>
      <c r="G47" s="11" t="s">
        <v>51</v>
      </c>
      <c r="H47" s="7" t="s">
        <v>29</v>
      </c>
      <c r="I47" s="12" t="s">
        <v>30</v>
      </c>
      <c r="J47" s="26">
        <v>55000</v>
      </c>
    </row>
    <row r="48" spans="1:10" x14ac:dyDescent="0.25">
      <c r="A48" s="24">
        <v>63511338</v>
      </c>
      <c r="B48" s="13" t="s">
        <v>125</v>
      </c>
      <c r="C48" s="14">
        <v>45</v>
      </c>
      <c r="D48" s="13" t="s">
        <v>11</v>
      </c>
      <c r="E48" s="15" t="s">
        <v>81</v>
      </c>
      <c r="F48" s="16">
        <v>11400</v>
      </c>
      <c r="G48" s="17" t="s">
        <v>76</v>
      </c>
      <c r="H48" s="13" t="s">
        <v>110</v>
      </c>
      <c r="I48" s="18" t="s">
        <v>35</v>
      </c>
      <c r="J48" s="27">
        <v>75000</v>
      </c>
    </row>
    <row r="49" spans="1:10" x14ac:dyDescent="0.25">
      <c r="A49" s="24">
        <v>1098647912</v>
      </c>
      <c r="B49" s="13" t="s">
        <v>126</v>
      </c>
      <c r="C49" s="14">
        <v>37</v>
      </c>
      <c r="D49" s="13" t="s">
        <v>26</v>
      </c>
      <c r="E49" s="15" t="s">
        <v>50</v>
      </c>
      <c r="F49" s="16">
        <v>18794</v>
      </c>
      <c r="G49" s="17" t="s">
        <v>33</v>
      </c>
      <c r="H49" s="13" t="s">
        <v>127</v>
      </c>
      <c r="I49" s="18" t="s">
        <v>45</v>
      </c>
      <c r="J49" s="27">
        <v>62000</v>
      </c>
    </row>
    <row r="50" spans="1:10" x14ac:dyDescent="0.25">
      <c r="A50" s="23">
        <v>63547940</v>
      </c>
      <c r="B50" s="7" t="s">
        <v>128</v>
      </c>
      <c r="C50" s="8">
        <v>34</v>
      </c>
      <c r="D50" s="7" t="s">
        <v>11</v>
      </c>
      <c r="E50" s="9" t="s">
        <v>129</v>
      </c>
      <c r="F50" s="10">
        <v>18794</v>
      </c>
      <c r="G50" s="11" t="s">
        <v>28</v>
      </c>
      <c r="H50" s="7" t="s">
        <v>67</v>
      </c>
      <c r="I50" s="12" t="s">
        <v>53</v>
      </c>
      <c r="J50" s="26">
        <v>53000</v>
      </c>
    </row>
    <row r="51" spans="1:10" x14ac:dyDescent="0.25">
      <c r="A51" s="24">
        <v>37722219</v>
      </c>
      <c r="B51" s="13" t="s">
        <v>130</v>
      </c>
      <c r="C51" s="14">
        <v>27</v>
      </c>
      <c r="D51" s="13" t="s">
        <v>11</v>
      </c>
      <c r="E51" s="15" t="s">
        <v>131</v>
      </c>
      <c r="F51" s="16">
        <v>18794</v>
      </c>
      <c r="G51" s="17" t="s">
        <v>76</v>
      </c>
      <c r="H51" s="13" t="s">
        <v>62</v>
      </c>
      <c r="I51" s="18" t="s">
        <v>24</v>
      </c>
      <c r="J51" s="27">
        <v>58000</v>
      </c>
    </row>
    <row r="52" spans="1:10" x14ac:dyDescent="0.25">
      <c r="A52" s="23">
        <v>13872865</v>
      </c>
      <c r="B52" s="7" t="s">
        <v>132</v>
      </c>
      <c r="C52" s="8">
        <v>20</v>
      </c>
      <c r="D52" s="7" t="s">
        <v>26</v>
      </c>
      <c r="E52" s="9" t="s">
        <v>50</v>
      </c>
      <c r="F52" s="10">
        <v>18794</v>
      </c>
      <c r="G52" s="11" t="s">
        <v>66</v>
      </c>
      <c r="H52" s="7" t="s">
        <v>52</v>
      </c>
      <c r="I52" s="12" t="s">
        <v>53</v>
      </c>
      <c r="J52" s="26">
        <v>65000</v>
      </c>
    </row>
    <row r="53" spans="1:10" x14ac:dyDescent="0.25">
      <c r="A53" s="24">
        <v>1095796655</v>
      </c>
      <c r="B53" s="13" t="s">
        <v>133</v>
      </c>
      <c r="C53" s="14">
        <v>34</v>
      </c>
      <c r="D53" s="13" t="s">
        <v>26</v>
      </c>
      <c r="E53" s="15" t="s">
        <v>123</v>
      </c>
      <c r="F53" s="16">
        <v>18794</v>
      </c>
      <c r="G53" s="17" t="s">
        <v>18</v>
      </c>
      <c r="H53" s="13" t="s">
        <v>34</v>
      </c>
      <c r="I53" s="18" t="s">
        <v>35</v>
      </c>
      <c r="J53" s="27">
        <v>55000</v>
      </c>
    </row>
    <row r="54" spans="1:10" x14ac:dyDescent="0.25">
      <c r="A54" s="24">
        <v>1099363810</v>
      </c>
      <c r="B54" s="13" t="s">
        <v>134</v>
      </c>
      <c r="C54" s="14">
        <v>38</v>
      </c>
      <c r="D54" s="13" t="s">
        <v>11</v>
      </c>
      <c r="E54" s="15" t="s">
        <v>32</v>
      </c>
      <c r="F54" s="16">
        <v>18794</v>
      </c>
      <c r="G54" s="17" t="s">
        <v>33</v>
      </c>
      <c r="H54" s="13" t="s">
        <v>59</v>
      </c>
      <c r="I54" s="18" t="s">
        <v>35</v>
      </c>
      <c r="J54" s="27">
        <v>55000</v>
      </c>
    </row>
    <row r="55" spans="1:10" x14ac:dyDescent="0.25">
      <c r="A55" s="23">
        <v>91524757</v>
      </c>
      <c r="B55" s="7" t="s">
        <v>135</v>
      </c>
      <c r="C55" s="8">
        <v>37</v>
      </c>
      <c r="D55" s="7" t="s">
        <v>26</v>
      </c>
      <c r="E55" s="9" t="s">
        <v>61</v>
      </c>
      <c r="F55" s="10">
        <v>18794</v>
      </c>
      <c r="G55" s="11" t="s">
        <v>56</v>
      </c>
      <c r="H55" s="7" t="s">
        <v>73</v>
      </c>
      <c r="I55" s="12" t="s">
        <v>30</v>
      </c>
      <c r="J55" s="26">
        <v>51000</v>
      </c>
    </row>
    <row r="56" spans="1:10" x14ac:dyDescent="0.25">
      <c r="A56" s="24">
        <v>1098624279</v>
      </c>
      <c r="B56" s="13" t="s">
        <v>136</v>
      </c>
      <c r="C56" s="14">
        <v>23</v>
      </c>
      <c r="D56" s="13" t="s">
        <v>26</v>
      </c>
      <c r="E56" s="15" t="s">
        <v>137</v>
      </c>
      <c r="F56" s="16">
        <v>18794</v>
      </c>
      <c r="G56" s="17" t="s">
        <v>13</v>
      </c>
      <c r="H56" s="13" t="s">
        <v>105</v>
      </c>
      <c r="I56" s="18" t="s">
        <v>106</v>
      </c>
      <c r="J56" s="27">
        <v>54000</v>
      </c>
    </row>
    <row r="57" spans="1:10" x14ac:dyDescent="0.25">
      <c r="A57" s="23">
        <v>32883555</v>
      </c>
      <c r="B57" s="7" t="s">
        <v>138</v>
      </c>
      <c r="C57" s="8">
        <v>50</v>
      </c>
      <c r="D57" s="7" t="s">
        <v>11</v>
      </c>
      <c r="E57" s="9" t="s">
        <v>32</v>
      </c>
      <c r="F57" s="10">
        <v>13700</v>
      </c>
      <c r="G57" s="11" t="s">
        <v>33</v>
      </c>
      <c r="H57" s="7" t="s">
        <v>23</v>
      </c>
      <c r="I57" s="12" t="s">
        <v>24</v>
      </c>
      <c r="J57" s="26">
        <v>64000</v>
      </c>
    </row>
    <row r="58" spans="1:10" x14ac:dyDescent="0.25">
      <c r="A58" s="24">
        <v>63482915</v>
      </c>
      <c r="B58" s="13" t="s">
        <v>139</v>
      </c>
      <c r="C58" s="14">
        <v>24</v>
      </c>
      <c r="D58" s="13" t="s">
        <v>11</v>
      </c>
      <c r="E58" s="15" t="s">
        <v>69</v>
      </c>
      <c r="F58" s="16">
        <v>13700</v>
      </c>
      <c r="G58" s="17" t="s">
        <v>66</v>
      </c>
      <c r="H58" s="13" t="s">
        <v>140</v>
      </c>
      <c r="I58" s="18" t="s">
        <v>141</v>
      </c>
      <c r="J58" s="27">
        <v>74000</v>
      </c>
    </row>
    <row r="59" spans="1:10" x14ac:dyDescent="0.25">
      <c r="A59" s="24">
        <v>1095911429</v>
      </c>
      <c r="B59" s="13" t="s">
        <v>142</v>
      </c>
      <c r="C59" s="14">
        <v>53</v>
      </c>
      <c r="D59" s="13" t="s">
        <v>11</v>
      </c>
      <c r="E59" s="15" t="s">
        <v>143</v>
      </c>
      <c r="F59" s="16">
        <v>13700</v>
      </c>
      <c r="G59" s="17" t="s">
        <v>18</v>
      </c>
      <c r="H59" s="13" t="s">
        <v>23</v>
      </c>
      <c r="I59" s="18" t="s">
        <v>24</v>
      </c>
      <c r="J59" s="27">
        <v>89000</v>
      </c>
    </row>
    <row r="60" spans="1:10" x14ac:dyDescent="0.25">
      <c r="A60" s="23">
        <v>63348182</v>
      </c>
      <c r="B60" s="7" t="s">
        <v>144</v>
      </c>
      <c r="C60" s="8">
        <v>22</v>
      </c>
      <c r="D60" s="7" t="s">
        <v>11</v>
      </c>
      <c r="E60" s="9" t="s">
        <v>145</v>
      </c>
      <c r="F60" s="10">
        <v>13700</v>
      </c>
      <c r="G60" s="11" t="s">
        <v>33</v>
      </c>
      <c r="H60" s="7" t="s">
        <v>90</v>
      </c>
      <c r="I60" s="12" t="s">
        <v>15</v>
      </c>
      <c r="J60" s="26">
        <v>83000</v>
      </c>
    </row>
    <row r="61" spans="1:10" x14ac:dyDescent="0.25">
      <c r="A61" s="24">
        <v>1095797238</v>
      </c>
      <c r="B61" s="13" t="s">
        <v>146</v>
      </c>
      <c r="C61" s="14">
        <v>25</v>
      </c>
      <c r="D61" s="13" t="s">
        <v>11</v>
      </c>
      <c r="E61" s="15" t="s">
        <v>47</v>
      </c>
      <c r="F61" s="16">
        <v>13700</v>
      </c>
      <c r="G61" s="17" t="s">
        <v>38</v>
      </c>
      <c r="H61" s="13" t="s">
        <v>86</v>
      </c>
      <c r="I61" s="18" t="s">
        <v>87</v>
      </c>
      <c r="J61" s="27">
        <v>66000</v>
      </c>
    </row>
    <row r="62" spans="1:10" x14ac:dyDescent="0.25">
      <c r="A62" s="23">
        <v>13749879</v>
      </c>
      <c r="B62" s="7" t="s">
        <v>147</v>
      </c>
      <c r="C62" s="8">
        <v>41</v>
      </c>
      <c r="D62" s="7" t="s">
        <v>26</v>
      </c>
      <c r="E62" s="9" t="s">
        <v>148</v>
      </c>
      <c r="F62" s="10">
        <v>13700</v>
      </c>
      <c r="G62" s="11" t="s">
        <v>56</v>
      </c>
      <c r="H62" s="7" t="s">
        <v>90</v>
      </c>
      <c r="I62" s="12" t="s">
        <v>15</v>
      </c>
      <c r="J62" s="26">
        <v>66000</v>
      </c>
    </row>
    <row r="63" spans="1:10" x14ac:dyDescent="0.25">
      <c r="A63" s="24">
        <v>1098649249</v>
      </c>
      <c r="B63" s="13" t="s">
        <v>149</v>
      </c>
      <c r="C63" s="14">
        <v>37</v>
      </c>
      <c r="D63" s="13" t="s">
        <v>11</v>
      </c>
      <c r="E63" s="15" t="s">
        <v>50</v>
      </c>
      <c r="F63" s="16">
        <v>13700</v>
      </c>
      <c r="G63" s="17" t="s">
        <v>38</v>
      </c>
      <c r="H63" s="13" t="s">
        <v>23</v>
      </c>
      <c r="I63" s="18" t="s">
        <v>24</v>
      </c>
      <c r="J63" s="27">
        <v>86000</v>
      </c>
    </row>
    <row r="64" spans="1:10" x14ac:dyDescent="0.25">
      <c r="A64" s="24">
        <v>91540674</v>
      </c>
      <c r="B64" s="13" t="s">
        <v>150</v>
      </c>
      <c r="C64" s="14">
        <v>36</v>
      </c>
      <c r="D64" s="13" t="s">
        <v>26</v>
      </c>
      <c r="E64" s="15" t="s">
        <v>69</v>
      </c>
      <c r="F64" s="16">
        <v>13700</v>
      </c>
      <c r="G64" s="17" t="s">
        <v>13</v>
      </c>
      <c r="H64" s="13" t="s">
        <v>44</v>
      </c>
      <c r="I64" s="18" t="s">
        <v>45</v>
      </c>
      <c r="J64" s="27">
        <v>84000</v>
      </c>
    </row>
    <row r="65" spans="1:10" x14ac:dyDescent="0.25">
      <c r="A65" s="23">
        <v>1095795966</v>
      </c>
      <c r="B65" s="7" t="s">
        <v>151</v>
      </c>
      <c r="C65" s="8">
        <v>25</v>
      </c>
      <c r="D65" s="7" t="s">
        <v>11</v>
      </c>
      <c r="E65" s="9" t="s">
        <v>143</v>
      </c>
      <c r="F65" s="10">
        <v>13700</v>
      </c>
      <c r="G65" s="11" t="s">
        <v>56</v>
      </c>
      <c r="H65" s="7" t="s">
        <v>152</v>
      </c>
      <c r="I65" s="12" t="s">
        <v>153</v>
      </c>
      <c r="J65" s="26">
        <v>86000</v>
      </c>
    </row>
    <row r="66" spans="1:10" x14ac:dyDescent="0.25">
      <c r="A66" s="24">
        <v>63563282</v>
      </c>
      <c r="B66" s="13" t="s">
        <v>154</v>
      </c>
      <c r="C66" s="14">
        <v>35</v>
      </c>
      <c r="D66" s="13" t="s">
        <v>11</v>
      </c>
      <c r="E66" s="15" t="s">
        <v>65</v>
      </c>
      <c r="F66" s="16">
        <v>9500</v>
      </c>
      <c r="G66" s="17" t="s">
        <v>76</v>
      </c>
      <c r="H66" s="13" t="s">
        <v>57</v>
      </c>
      <c r="I66" s="18" t="s">
        <v>15</v>
      </c>
      <c r="J66" s="27">
        <v>61000</v>
      </c>
    </row>
    <row r="67" spans="1:10" x14ac:dyDescent="0.25">
      <c r="A67" s="23">
        <v>1098627253</v>
      </c>
      <c r="B67" s="7" t="s">
        <v>155</v>
      </c>
      <c r="C67" s="8">
        <v>62</v>
      </c>
      <c r="D67" s="7" t="s">
        <v>11</v>
      </c>
      <c r="E67" s="9" t="s">
        <v>116</v>
      </c>
      <c r="F67" s="10">
        <v>9500</v>
      </c>
      <c r="G67" s="11" t="s">
        <v>13</v>
      </c>
      <c r="H67" s="7" t="s">
        <v>57</v>
      </c>
      <c r="I67" s="12" t="s">
        <v>15</v>
      </c>
      <c r="J67" s="26">
        <v>58000</v>
      </c>
    </row>
    <row r="68" spans="1:10" x14ac:dyDescent="0.25">
      <c r="A68" s="24">
        <v>63543877</v>
      </c>
      <c r="B68" s="13" t="s">
        <v>156</v>
      </c>
      <c r="C68" s="14">
        <v>34</v>
      </c>
      <c r="D68" s="13" t="s">
        <v>11</v>
      </c>
      <c r="E68" s="15" t="s">
        <v>129</v>
      </c>
      <c r="F68" s="16">
        <v>9500</v>
      </c>
      <c r="G68" s="17" t="s">
        <v>33</v>
      </c>
      <c r="H68" s="13" t="s">
        <v>117</v>
      </c>
      <c r="I68" s="18" t="s">
        <v>53</v>
      </c>
      <c r="J68" s="27">
        <v>81000</v>
      </c>
    </row>
    <row r="69" spans="1:10" x14ac:dyDescent="0.25">
      <c r="A69" s="24">
        <v>13959537</v>
      </c>
      <c r="B69" s="13" t="s">
        <v>157</v>
      </c>
      <c r="C69" s="14">
        <v>31</v>
      </c>
      <c r="D69" s="13" t="s">
        <v>26</v>
      </c>
      <c r="E69" s="15" t="s">
        <v>123</v>
      </c>
      <c r="F69" s="16">
        <v>9500</v>
      </c>
      <c r="G69" s="17" t="s">
        <v>33</v>
      </c>
      <c r="H69" s="13" t="s">
        <v>34</v>
      </c>
      <c r="I69" s="18" t="s">
        <v>35</v>
      </c>
      <c r="J69" s="27">
        <v>51000</v>
      </c>
    </row>
    <row r="70" spans="1:10" x14ac:dyDescent="0.25">
      <c r="A70" s="23">
        <v>37862059</v>
      </c>
      <c r="B70" s="7" t="s">
        <v>158</v>
      </c>
      <c r="C70" s="8">
        <v>37</v>
      </c>
      <c r="D70" s="7" t="s">
        <v>11</v>
      </c>
      <c r="E70" s="9" t="s">
        <v>112</v>
      </c>
      <c r="F70" s="10">
        <v>9500</v>
      </c>
      <c r="G70" s="11" t="s">
        <v>56</v>
      </c>
      <c r="H70" s="7" t="s">
        <v>62</v>
      </c>
      <c r="I70" s="12" t="s">
        <v>24</v>
      </c>
      <c r="J70" s="26">
        <v>70000</v>
      </c>
    </row>
    <row r="71" spans="1:10" x14ac:dyDescent="0.25">
      <c r="A71" s="24">
        <v>1098634767</v>
      </c>
      <c r="B71" s="13" t="s">
        <v>159</v>
      </c>
      <c r="C71" s="14">
        <v>33</v>
      </c>
      <c r="D71" s="13" t="s">
        <v>26</v>
      </c>
      <c r="E71" s="15" t="s">
        <v>22</v>
      </c>
      <c r="F71" s="16">
        <v>9500</v>
      </c>
      <c r="G71" s="17" t="s">
        <v>13</v>
      </c>
      <c r="H71" s="13" t="s">
        <v>44</v>
      </c>
      <c r="I71" s="18" t="s">
        <v>45</v>
      </c>
      <c r="J71" s="27">
        <v>78000</v>
      </c>
    </row>
    <row r="72" spans="1:10" x14ac:dyDescent="0.25">
      <c r="A72" s="23">
        <v>1098689582</v>
      </c>
      <c r="B72" s="7" t="s">
        <v>160</v>
      </c>
      <c r="C72" s="8">
        <v>34</v>
      </c>
      <c r="D72" s="7" t="s">
        <v>11</v>
      </c>
      <c r="E72" s="9" t="s">
        <v>61</v>
      </c>
      <c r="F72" s="10">
        <v>9500</v>
      </c>
      <c r="G72" s="11" t="s">
        <v>76</v>
      </c>
      <c r="H72" s="7" t="s">
        <v>44</v>
      </c>
      <c r="I72" s="12" t="s">
        <v>45</v>
      </c>
      <c r="J72" s="26">
        <v>58000</v>
      </c>
    </row>
    <row r="73" spans="1:10" x14ac:dyDescent="0.25">
      <c r="A73" s="24">
        <v>10986088955</v>
      </c>
      <c r="B73" s="13" t="s">
        <v>161</v>
      </c>
      <c r="C73" s="14">
        <v>25</v>
      </c>
      <c r="D73" s="13" t="s">
        <v>26</v>
      </c>
      <c r="E73" s="15" t="s">
        <v>50</v>
      </c>
      <c r="F73" s="16">
        <v>9500</v>
      </c>
      <c r="G73" s="17" t="s">
        <v>28</v>
      </c>
      <c r="H73" s="13" t="s">
        <v>52</v>
      </c>
      <c r="I73" s="18" t="s">
        <v>53</v>
      </c>
      <c r="J73" s="27">
        <v>83000</v>
      </c>
    </row>
    <row r="74" spans="1:10" x14ac:dyDescent="0.25">
      <c r="A74" s="24">
        <v>13715152</v>
      </c>
      <c r="B74" s="13" t="s">
        <v>105</v>
      </c>
      <c r="C74" s="14">
        <v>60</v>
      </c>
      <c r="D74" s="13" t="s">
        <v>26</v>
      </c>
      <c r="E74" s="15" t="s">
        <v>143</v>
      </c>
      <c r="F74" s="16">
        <v>11800</v>
      </c>
      <c r="G74" s="17" t="s">
        <v>13</v>
      </c>
      <c r="H74" s="13" t="s">
        <v>162</v>
      </c>
      <c r="I74" s="18" t="s">
        <v>35</v>
      </c>
      <c r="J74" s="27">
        <v>66000</v>
      </c>
    </row>
    <row r="75" spans="1:10" x14ac:dyDescent="0.25">
      <c r="A75" s="23">
        <v>63503887</v>
      </c>
      <c r="B75" s="7" t="s">
        <v>163</v>
      </c>
      <c r="C75" s="8">
        <v>41</v>
      </c>
      <c r="D75" s="7" t="s">
        <v>11</v>
      </c>
      <c r="E75" s="9" t="s">
        <v>47</v>
      </c>
      <c r="F75" s="10">
        <v>11800</v>
      </c>
      <c r="G75" s="11" t="s">
        <v>56</v>
      </c>
      <c r="H75" s="7" t="s">
        <v>110</v>
      </c>
      <c r="I75" s="12" t="s">
        <v>35</v>
      </c>
      <c r="J75" s="26">
        <v>68000</v>
      </c>
    </row>
    <row r="76" spans="1:10" x14ac:dyDescent="0.25">
      <c r="A76" s="24">
        <v>1095797712</v>
      </c>
      <c r="B76" s="13" t="s">
        <v>164</v>
      </c>
      <c r="C76" s="14">
        <v>37</v>
      </c>
      <c r="D76" s="13" t="s">
        <v>11</v>
      </c>
      <c r="E76" s="15" t="s">
        <v>32</v>
      </c>
      <c r="F76" s="16">
        <v>11800</v>
      </c>
      <c r="G76" s="17" t="s">
        <v>33</v>
      </c>
      <c r="H76" s="13" t="s">
        <v>59</v>
      </c>
      <c r="I76" s="18" t="s">
        <v>35</v>
      </c>
      <c r="J76" s="27">
        <v>77000</v>
      </c>
    </row>
    <row r="77" spans="1:10" x14ac:dyDescent="0.25">
      <c r="A77" s="23">
        <v>63452379</v>
      </c>
      <c r="B77" s="7" t="s">
        <v>165</v>
      </c>
      <c r="C77" s="8">
        <v>44</v>
      </c>
      <c r="D77" s="7" t="s">
        <v>11</v>
      </c>
      <c r="E77" s="9" t="s">
        <v>55</v>
      </c>
      <c r="F77" s="10">
        <v>11800</v>
      </c>
      <c r="G77" s="11" t="s">
        <v>56</v>
      </c>
      <c r="H77" s="7" t="s">
        <v>73</v>
      </c>
      <c r="I77" s="12" t="s">
        <v>30</v>
      </c>
      <c r="J77" s="26">
        <v>88000</v>
      </c>
    </row>
    <row r="78" spans="1:10" x14ac:dyDescent="0.25">
      <c r="A78" s="24">
        <v>1098713205</v>
      </c>
      <c r="B78" s="13" t="s">
        <v>166</v>
      </c>
      <c r="C78" s="14">
        <v>35</v>
      </c>
      <c r="D78" s="13" t="s">
        <v>11</v>
      </c>
      <c r="E78" s="15" t="s">
        <v>55</v>
      </c>
      <c r="F78" s="16">
        <v>11800</v>
      </c>
      <c r="G78" s="17" t="s">
        <v>56</v>
      </c>
      <c r="H78" s="13" t="s">
        <v>73</v>
      </c>
      <c r="I78" s="18" t="s">
        <v>30</v>
      </c>
      <c r="J78" s="27">
        <v>87000</v>
      </c>
    </row>
    <row r="79" spans="1:10" x14ac:dyDescent="0.25">
      <c r="A79" s="24">
        <v>1064837974</v>
      </c>
      <c r="B79" s="13" t="s">
        <v>167</v>
      </c>
      <c r="C79" s="14">
        <v>37</v>
      </c>
      <c r="D79" s="13" t="s">
        <v>11</v>
      </c>
      <c r="E79" s="15" t="s">
        <v>50</v>
      </c>
      <c r="F79" s="16">
        <v>18794</v>
      </c>
      <c r="G79" s="17" t="s">
        <v>66</v>
      </c>
      <c r="H79" s="13" t="s">
        <v>52</v>
      </c>
      <c r="I79" s="18" t="s">
        <v>53</v>
      </c>
      <c r="J79" s="27">
        <v>67000</v>
      </c>
    </row>
    <row r="80" spans="1:10" x14ac:dyDescent="0.25">
      <c r="A80" s="23">
        <v>1098613824</v>
      </c>
      <c r="B80" s="7" t="s">
        <v>168</v>
      </c>
      <c r="C80" s="8">
        <v>19</v>
      </c>
      <c r="D80" s="7" t="s">
        <v>26</v>
      </c>
      <c r="E80" s="9" t="s">
        <v>50</v>
      </c>
      <c r="F80" s="10">
        <v>18794</v>
      </c>
      <c r="G80" s="11" t="s">
        <v>33</v>
      </c>
      <c r="H80" s="7" t="s">
        <v>23</v>
      </c>
      <c r="I80" s="12" t="s">
        <v>24</v>
      </c>
      <c r="J80" s="26">
        <v>77000</v>
      </c>
    </row>
    <row r="81" spans="1:10" x14ac:dyDescent="0.25">
      <c r="A81" s="24">
        <v>91528872</v>
      </c>
      <c r="B81" s="13" t="s">
        <v>169</v>
      </c>
      <c r="C81" s="14">
        <v>22</v>
      </c>
      <c r="D81" s="13" t="s">
        <v>26</v>
      </c>
      <c r="E81" s="15" t="s">
        <v>116</v>
      </c>
      <c r="F81" s="16">
        <v>18794</v>
      </c>
      <c r="G81" s="17" t="s">
        <v>33</v>
      </c>
      <c r="H81" s="13" t="s">
        <v>117</v>
      </c>
      <c r="I81" s="18" t="s">
        <v>53</v>
      </c>
      <c r="J81" s="27">
        <v>87000</v>
      </c>
    </row>
    <row r="82" spans="1:10" x14ac:dyDescent="0.25">
      <c r="A82" s="23">
        <v>1098682891</v>
      </c>
      <c r="B82" s="7" t="s">
        <v>170</v>
      </c>
      <c r="C82" s="8">
        <v>34</v>
      </c>
      <c r="D82" s="7" t="s">
        <v>11</v>
      </c>
      <c r="E82" s="9" t="s">
        <v>50</v>
      </c>
      <c r="F82" s="10">
        <v>18794</v>
      </c>
      <c r="G82" s="11" t="s">
        <v>18</v>
      </c>
      <c r="H82" s="7" t="s">
        <v>127</v>
      </c>
      <c r="I82" s="12" t="s">
        <v>45</v>
      </c>
      <c r="J82" s="26">
        <v>88000</v>
      </c>
    </row>
    <row r="83" spans="1:10" x14ac:dyDescent="0.25">
      <c r="A83" s="24">
        <v>1095913534</v>
      </c>
      <c r="B83" s="13" t="s">
        <v>171</v>
      </c>
      <c r="C83" s="14">
        <v>33</v>
      </c>
      <c r="D83" s="13" t="s">
        <v>11</v>
      </c>
      <c r="E83" s="15" t="s">
        <v>40</v>
      </c>
      <c r="F83" s="16">
        <v>18794</v>
      </c>
      <c r="G83" s="17" t="s">
        <v>18</v>
      </c>
      <c r="H83" s="13" t="s">
        <v>34</v>
      </c>
      <c r="I83" s="18" t="s">
        <v>35</v>
      </c>
      <c r="J83" s="27">
        <v>70000</v>
      </c>
    </row>
    <row r="84" spans="1:10" x14ac:dyDescent="0.25">
      <c r="A84" s="24">
        <v>1098653332</v>
      </c>
      <c r="B84" s="13" t="s">
        <v>172</v>
      </c>
      <c r="C84" s="14">
        <v>19</v>
      </c>
      <c r="D84" s="13" t="s">
        <v>26</v>
      </c>
      <c r="E84" s="15" t="s">
        <v>97</v>
      </c>
      <c r="F84" s="16">
        <v>18794</v>
      </c>
      <c r="G84" s="17" t="s">
        <v>66</v>
      </c>
      <c r="H84" s="13" t="s">
        <v>67</v>
      </c>
      <c r="I84" s="18" t="s">
        <v>53</v>
      </c>
      <c r="J84" s="27">
        <v>87000</v>
      </c>
    </row>
    <row r="85" spans="1:10" x14ac:dyDescent="0.25">
      <c r="A85" s="23">
        <v>1095921980</v>
      </c>
      <c r="B85" s="7" t="s">
        <v>173</v>
      </c>
      <c r="C85" s="8">
        <v>37</v>
      </c>
      <c r="D85" s="7" t="s">
        <v>11</v>
      </c>
      <c r="E85" s="9" t="s">
        <v>50</v>
      </c>
      <c r="F85" s="10">
        <v>18794</v>
      </c>
      <c r="G85" s="11" t="s">
        <v>56</v>
      </c>
      <c r="H85" s="7" t="s">
        <v>174</v>
      </c>
      <c r="I85" s="12" t="s">
        <v>87</v>
      </c>
      <c r="J85" s="26">
        <v>74000</v>
      </c>
    </row>
    <row r="86" spans="1:10" x14ac:dyDescent="0.25">
      <c r="A86" s="24">
        <v>1098644074</v>
      </c>
      <c r="B86" s="13" t="s">
        <v>175</v>
      </c>
      <c r="C86" s="14">
        <v>38</v>
      </c>
      <c r="D86" s="13" t="s">
        <v>176</v>
      </c>
      <c r="E86" s="15" t="s">
        <v>65</v>
      </c>
      <c r="F86" s="16">
        <v>18794</v>
      </c>
      <c r="G86" s="17" t="s">
        <v>51</v>
      </c>
      <c r="H86" s="13" t="s">
        <v>29</v>
      </c>
      <c r="I86" s="18" t="s">
        <v>30</v>
      </c>
      <c r="J86" s="27">
        <v>66000</v>
      </c>
    </row>
    <row r="87" spans="1:10" x14ac:dyDescent="0.25">
      <c r="A87" s="23">
        <v>1098672686</v>
      </c>
      <c r="B87" s="7" t="s">
        <v>177</v>
      </c>
      <c r="C87" s="8">
        <v>23</v>
      </c>
      <c r="D87" s="7" t="s">
        <v>11</v>
      </c>
      <c r="E87" s="9" t="s">
        <v>78</v>
      </c>
      <c r="F87" s="10">
        <v>8500</v>
      </c>
      <c r="G87" s="11" t="s">
        <v>56</v>
      </c>
      <c r="H87" s="7" t="s">
        <v>79</v>
      </c>
      <c r="I87" s="12" t="s">
        <v>30</v>
      </c>
      <c r="J87" s="26">
        <v>55000</v>
      </c>
    </row>
    <row r="88" spans="1:10" x14ac:dyDescent="0.25">
      <c r="A88" s="24">
        <v>1095805112</v>
      </c>
      <c r="B88" s="13" t="s">
        <v>178</v>
      </c>
      <c r="C88" s="14">
        <v>37</v>
      </c>
      <c r="D88" s="13" t="s">
        <v>11</v>
      </c>
      <c r="E88" s="15" t="s">
        <v>69</v>
      </c>
      <c r="F88" s="16">
        <v>8500</v>
      </c>
      <c r="G88" s="17" t="s">
        <v>13</v>
      </c>
      <c r="H88" s="13" t="s">
        <v>95</v>
      </c>
      <c r="I88" s="18" t="s">
        <v>45</v>
      </c>
      <c r="J88" s="27">
        <v>82000</v>
      </c>
    </row>
    <row r="89" spans="1:10" x14ac:dyDescent="0.25">
      <c r="A89" s="24">
        <v>37544305</v>
      </c>
      <c r="B89" s="13" t="s">
        <v>179</v>
      </c>
      <c r="C89" s="14">
        <v>39</v>
      </c>
      <c r="D89" s="13" t="s">
        <v>176</v>
      </c>
      <c r="E89" s="15" t="s">
        <v>129</v>
      </c>
      <c r="F89" s="16">
        <v>8500</v>
      </c>
      <c r="G89" s="17" t="s">
        <v>28</v>
      </c>
      <c r="H89" s="13" t="s">
        <v>29</v>
      </c>
      <c r="I89" s="18" t="s">
        <v>30</v>
      </c>
      <c r="J89" s="27">
        <v>78000</v>
      </c>
    </row>
    <row r="90" spans="1:10" x14ac:dyDescent="0.25">
      <c r="A90" s="23">
        <v>1098697464</v>
      </c>
      <c r="B90" s="7" t="s">
        <v>180</v>
      </c>
      <c r="C90" s="8">
        <v>47</v>
      </c>
      <c r="D90" s="7" t="s">
        <v>11</v>
      </c>
      <c r="E90" s="9" t="s">
        <v>40</v>
      </c>
      <c r="F90" s="10">
        <v>8500</v>
      </c>
      <c r="G90" s="11" t="s">
        <v>38</v>
      </c>
      <c r="H90" s="7" t="s">
        <v>41</v>
      </c>
      <c r="I90" s="12" t="s">
        <v>30</v>
      </c>
      <c r="J90" s="26">
        <v>61000</v>
      </c>
    </row>
    <row r="91" spans="1:10" x14ac:dyDescent="0.25">
      <c r="A91" s="24">
        <v>37863212</v>
      </c>
      <c r="B91" s="13" t="s">
        <v>181</v>
      </c>
      <c r="C91" s="14">
        <v>37</v>
      </c>
      <c r="D91" s="13" t="s">
        <v>11</v>
      </c>
      <c r="E91" s="15" t="s">
        <v>143</v>
      </c>
      <c r="F91" s="16">
        <v>8500</v>
      </c>
      <c r="G91" s="17" t="s">
        <v>13</v>
      </c>
      <c r="H91" s="13" t="s">
        <v>182</v>
      </c>
      <c r="I91" s="18" t="s">
        <v>24</v>
      </c>
      <c r="J91" s="27">
        <v>84000</v>
      </c>
    </row>
    <row r="92" spans="1:10" x14ac:dyDescent="0.25">
      <c r="A92" s="23">
        <v>1095804143</v>
      </c>
      <c r="B92" s="7" t="s">
        <v>183</v>
      </c>
      <c r="C92" s="8">
        <v>48</v>
      </c>
      <c r="D92" s="7" t="s">
        <v>26</v>
      </c>
      <c r="E92" s="9" t="s">
        <v>50</v>
      </c>
      <c r="F92" s="10">
        <v>8500</v>
      </c>
      <c r="G92" s="11" t="s">
        <v>28</v>
      </c>
      <c r="H92" s="7" t="s">
        <v>52</v>
      </c>
      <c r="I92" s="12" t="s">
        <v>53</v>
      </c>
      <c r="J92" s="26">
        <v>76000</v>
      </c>
    </row>
    <row r="93" spans="1:10" x14ac:dyDescent="0.25">
      <c r="A93" s="24">
        <v>63527561</v>
      </c>
      <c r="B93" s="13" t="s">
        <v>184</v>
      </c>
      <c r="C93" s="14">
        <v>21</v>
      </c>
      <c r="D93" s="13" t="s">
        <v>11</v>
      </c>
      <c r="E93" s="15" t="s">
        <v>32</v>
      </c>
      <c r="F93" s="16">
        <v>8500</v>
      </c>
      <c r="G93" s="17" t="s">
        <v>56</v>
      </c>
      <c r="H93" s="13" t="s">
        <v>152</v>
      </c>
      <c r="I93" s="18" t="s">
        <v>153</v>
      </c>
      <c r="J93" s="27">
        <v>67000</v>
      </c>
    </row>
    <row r="94" spans="1:10" x14ac:dyDescent="0.25">
      <c r="A94" s="24">
        <v>1098637515</v>
      </c>
      <c r="B94" s="13" t="s">
        <v>185</v>
      </c>
      <c r="C94" s="14">
        <v>50</v>
      </c>
      <c r="D94" s="13" t="s">
        <v>11</v>
      </c>
      <c r="E94" s="15" t="s">
        <v>40</v>
      </c>
      <c r="F94" s="16">
        <v>8500</v>
      </c>
      <c r="G94" s="17" t="s">
        <v>13</v>
      </c>
      <c r="H94" s="13" t="s">
        <v>48</v>
      </c>
      <c r="I94" s="18" t="s">
        <v>45</v>
      </c>
      <c r="J94" s="27">
        <v>70000</v>
      </c>
    </row>
    <row r="95" spans="1:10" x14ac:dyDescent="0.25">
      <c r="A95" s="23">
        <v>63454040</v>
      </c>
      <c r="B95" s="7" t="s">
        <v>186</v>
      </c>
      <c r="C95" s="8">
        <v>53</v>
      </c>
      <c r="D95" s="7" t="s">
        <v>11</v>
      </c>
      <c r="E95" s="9" t="s">
        <v>12</v>
      </c>
      <c r="F95" s="10">
        <v>8500</v>
      </c>
      <c r="G95" s="11" t="s">
        <v>38</v>
      </c>
      <c r="H95" s="7" t="s">
        <v>70</v>
      </c>
      <c r="I95" s="12" t="s">
        <v>30</v>
      </c>
      <c r="J95" s="26">
        <v>72000</v>
      </c>
    </row>
    <row r="96" spans="1:10" x14ac:dyDescent="0.25">
      <c r="A96" s="24">
        <v>1098602377</v>
      </c>
      <c r="B96" s="13" t="s">
        <v>187</v>
      </c>
      <c r="C96" s="14">
        <v>50</v>
      </c>
      <c r="D96" s="13" t="s">
        <v>11</v>
      </c>
      <c r="E96" s="15" t="s">
        <v>50</v>
      </c>
      <c r="F96" s="16">
        <v>8500</v>
      </c>
      <c r="G96" s="17" t="s">
        <v>33</v>
      </c>
      <c r="H96" s="13" t="s">
        <v>127</v>
      </c>
      <c r="I96" s="18" t="s">
        <v>45</v>
      </c>
      <c r="J96" s="27">
        <v>75000</v>
      </c>
    </row>
    <row r="97" spans="1:10" x14ac:dyDescent="0.25">
      <c r="A97" s="23">
        <v>37721594</v>
      </c>
      <c r="B97" s="7" t="s">
        <v>188</v>
      </c>
      <c r="C97" s="8">
        <v>22</v>
      </c>
      <c r="D97" s="7" t="s">
        <v>11</v>
      </c>
      <c r="E97" s="9" t="s">
        <v>81</v>
      </c>
      <c r="F97" s="10">
        <v>8500</v>
      </c>
      <c r="G97" s="11" t="s">
        <v>56</v>
      </c>
      <c r="H97" s="7" t="s">
        <v>79</v>
      </c>
      <c r="I97" s="12" t="s">
        <v>30</v>
      </c>
      <c r="J97" s="26">
        <v>68000</v>
      </c>
    </row>
    <row r="98" spans="1:10" x14ac:dyDescent="0.25">
      <c r="A98" s="24">
        <v>1098649562</v>
      </c>
      <c r="B98" s="13" t="s">
        <v>189</v>
      </c>
      <c r="C98" s="14">
        <v>27</v>
      </c>
      <c r="D98" s="13" t="s">
        <v>11</v>
      </c>
      <c r="E98" s="15" t="s">
        <v>50</v>
      </c>
      <c r="F98" s="16">
        <v>12700</v>
      </c>
      <c r="G98" s="17" t="s">
        <v>28</v>
      </c>
      <c r="H98" s="13" t="s">
        <v>52</v>
      </c>
      <c r="I98" s="18" t="s">
        <v>53</v>
      </c>
      <c r="J98" s="27">
        <v>71000</v>
      </c>
    </row>
    <row r="99" spans="1:10" x14ac:dyDescent="0.25">
      <c r="A99" s="24">
        <v>1095914538</v>
      </c>
      <c r="B99" s="13" t="s">
        <v>190</v>
      </c>
      <c r="C99" s="14">
        <v>39</v>
      </c>
      <c r="D99" s="13" t="s">
        <v>11</v>
      </c>
      <c r="E99" s="15" t="s">
        <v>55</v>
      </c>
      <c r="F99" s="16">
        <v>12700</v>
      </c>
      <c r="G99" s="17" t="s">
        <v>13</v>
      </c>
      <c r="H99" s="13" t="s">
        <v>174</v>
      </c>
      <c r="I99" s="18" t="s">
        <v>87</v>
      </c>
      <c r="J99" s="27">
        <v>70000</v>
      </c>
    </row>
    <row r="100" spans="1:10" x14ac:dyDescent="0.25">
      <c r="A100" s="23">
        <v>1104068869</v>
      </c>
      <c r="B100" s="7" t="s">
        <v>191</v>
      </c>
      <c r="C100" s="8">
        <v>31</v>
      </c>
      <c r="D100" s="7" t="s">
        <v>11</v>
      </c>
      <c r="E100" s="9" t="s">
        <v>22</v>
      </c>
      <c r="F100" s="10">
        <v>12700</v>
      </c>
      <c r="G100" s="11" t="s">
        <v>56</v>
      </c>
      <c r="H100" s="7" t="s">
        <v>152</v>
      </c>
      <c r="I100" s="12" t="s">
        <v>153</v>
      </c>
      <c r="J100" s="26">
        <v>62000</v>
      </c>
    </row>
    <row r="101" spans="1:10" x14ac:dyDescent="0.25">
      <c r="A101" s="24">
        <v>63517394</v>
      </c>
      <c r="B101" s="13" t="s">
        <v>182</v>
      </c>
      <c r="C101" s="14">
        <v>40</v>
      </c>
      <c r="D101" s="13" t="s">
        <v>11</v>
      </c>
      <c r="E101" s="15" t="s">
        <v>43</v>
      </c>
      <c r="F101" s="16">
        <v>12700</v>
      </c>
      <c r="G101" s="17" t="s">
        <v>56</v>
      </c>
      <c r="H101" s="13" t="s">
        <v>162</v>
      </c>
      <c r="I101" s="18" t="s">
        <v>35</v>
      </c>
      <c r="J101" s="27">
        <v>71000</v>
      </c>
    </row>
    <row r="102" spans="1:10" x14ac:dyDescent="0.25">
      <c r="A102" s="23">
        <v>91514413</v>
      </c>
      <c r="B102" s="7" t="s">
        <v>192</v>
      </c>
      <c r="C102" s="8">
        <v>37</v>
      </c>
      <c r="D102" s="7" t="s">
        <v>26</v>
      </c>
      <c r="E102" s="9" t="s">
        <v>50</v>
      </c>
      <c r="F102" s="10">
        <v>12700</v>
      </c>
      <c r="G102" s="11" t="s">
        <v>56</v>
      </c>
      <c r="H102" s="7" t="s">
        <v>174</v>
      </c>
      <c r="I102" s="12" t="s">
        <v>87</v>
      </c>
      <c r="J102" s="26">
        <v>69000</v>
      </c>
    </row>
    <row r="103" spans="1:10" x14ac:dyDescent="0.25">
      <c r="A103" s="24">
        <v>1098624135</v>
      </c>
      <c r="B103" s="13" t="s">
        <v>193</v>
      </c>
      <c r="C103" s="14">
        <v>62</v>
      </c>
      <c r="D103" s="13" t="s">
        <v>26</v>
      </c>
      <c r="E103" s="15" t="s">
        <v>40</v>
      </c>
      <c r="F103" s="16">
        <v>12700</v>
      </c>
      <c r="G103" s="17" t="s">
        <v>13</v>
      </c>
      <c r="H103" s="13" t="s">
        <v>182</v>
      </c>
      <c r="I103" s="18" t="s">
        <v>24</v>
      </c>
      <c r="J103" s="27">
        <v>53000</v>
      </c>
    </row>
    <row r="104" spans="1:10" x14ac:dyDescent="0.25">
      <c r="A104" s="24">
        <v>1098697626</v>
      </c>
      <c r="B104" s="13" t="s">
        <v>194</v>
      </c>
      <c r="C104" s="14">
        <v>37</v>
      </c>
      <c r="D104" s="13" t="s">
        <v>26</v>
      </c>
      <c r="E104" s="15" t="s">
        <v>131</v>
      </c>
      <c r="F104" s="16">
        <v>12700</v>
      </c>
      <c r="G104" s="17" t="s">
        <v>13</v>
      </c>
      <c r="H104" s="13" t="s">
        <v>62</v>
      </c>
      <c r="I104" s="18" t="s">
        <v>24</v>
      </c>
      <c r="J104" s="27">
        <v>62000</v>
      </c>
    </row>
    <row r="105" spans="1:10" x14ac:dyDescent="0.25">
      <c r="A105" s="23">
        <v>1098670127</v>
      </c>
      <c r="B105" s="7" t="s">
        <v>195</v>
      </c>
      <c r="C105" s="8">
        <v>31</v>
      </c>
      <c r="D105" s="7" t="s">
        <v>11</v>
      </c>
      <c r="E105" s="9" t="s">
        <v>196</v>
      </c>
      <c r="F105" s="10">
        <v>12700</v>
      </c>
      <c r="G105" s="11" t="s">
        <v>33</v>
      </c>
      <c r="H105" s="7" t="s">
        <v>19</v>
      </c>
      <c r="I105" s="12" t="s">
        <v>20</v>
      </c>
      <c r="J105" s="26">
        <v>57000</v>
      </c>
    </row>
    <row r="106" spans="1:10" x14ac:dyDescent="0.25">
      <c r="A106" s="24">
        <v>63364316</v>
      </c>
      <c r="B106" s="13" t="s">
        <v>197</v>
      </c>
      <c r="C106" s="14">
        <v>63</v>
      </c>
      <c r="D106" s="13" t="s">
        <v>11</v>
      </c>
      <c r="E106" s="15" t="s">
        <v>55</v>
      </c>
      <c r="F106" s="16">
        <v>18794</v>
      </c>
      <c r="G106" s="17" t="s">
        <v>38</v>
      </c>
      <c r="H106" s="13" t="s">
        <v>117</v>
      </c>
      <c r="I106" s="18" t="s">
        <v>53</v>
      </c>
      <c r="J106" s="27">
        <v>69000</v>
      </c>
    </row>
    <row r="107" spans="1:10" x14ac:dyDescent="0.25">
      <c r="A107" s="23">
        <v>1098671080</v>
      </c>
      <c r="B107" s="7" t="s">
        <v>14</v>
      </c>
      <c r="C107" s="8">
        <v>40</v>
      </c>
      <c r="D107" s="7" t="s">
        <v>26</v>
      </c>
      <c r="E107" s="9" t="s">
        <v>137</v>
      </c>
      <c r="F107" s="10">
        <v>18794</v>
      </c>
      <c r="G107" s="11" t="s">
        <v>56</v>
      </c>
      <c r="H107" s="7" t="s">
        <v>90</v>
      </c>
      <c r="I107" s="12" t="s">
        <v>15</v>
      </c>
      <c r="J107" s="26">
        <v>76000</v>
      </c>
    </row>
    <row r="108" spans="1:10" x14ac:dyDescent="0.25">
      <c r="A108" s="24">
        <v>1098635041</v>
      </c>
      <c r="B108" s="13" t="s">
        <v>198</v>
      </c>
      <c r="C108" s="14">
        <v>44</v>
      </c>
      <c r="D108" s="13" t="s">
        <v>26</v>
      </c>
      <c r="E108" s="15" t="s">
        <v>81</v>
      </c>
      <c r="F108" s="16">
        <v>8500</v>
      </c>
      <c r="G108" s="17" t="s">
        <v>76</v>
      </c>
      <c r="H108" s="13" t="s">
        <v>182</v>
      </c>
      <c r="I108" s="18" t="s">
        <v>24</v>
      </c>
      <c r="J108" s="27">
        <v>69000</v>
      </c>
    </row>
    <row r="109" spans="1:10" x14ac:dyDescent="0.25">
      <c r="A109" s="24">
        <v>1098658859</v>
      </c>
      <c r="B109" s="13" t="s">
        <v>199</v>
      </c>
      <c r="C109" s="14">
        <v>23</v>
      </c>
      <c r="D109" s="13" t="s">
        <v>11</v>
      </c>
      <c r="E109" s="15" t="s">
        <v>200</v>
      </c>
      <c r="F109" s="16">
        <v>8500</v>
      </c>
      <c r="G109" s="17" t="s">
        <v>38</v>
      </c>
      <c r="H109" s="13" t="s">
        <v>70</v>
      </c>
      <c r="I109" s="18" t="s">
        <v>30</v>
      </c>
      <c r="J109" s="27">
        <v>81000</v>
      </c>
    </row>
    <row r="110" spans="1:10" x14ac:dyDescent="0.25">
      <c r="A110" s="23">
        <v>1098700260</v>
      </c>
      <c r="B110" s="7" t="s">
        <v>201</v>
      </c>
      <c r="C110" s="8">
        <v>35</v>
      </c>
      <c r="D110" s="7" t="s">
        <v>11</v>
      </c>
      <c r="E110" s="9" t="s">
        <v>55</v>
      </c>
      <c r="F110" s="10">
        <v>8500</v>
      </c>
      <c r="G110" s="11" t="s">
        <v>13</v>
      </c>
      <c r="H110" s="7" t="s">
        <v>182</v>
      </c>
      <c r="I110" s="12" t="s">
        <v>24</v>
      </c>
      <c r="J110" s="26">
        <v>51000</v>
      </c>
    </row>
    <row r="111" spans="1:10" x14ac:dyDescent="0.25">
      <c r="A111" s="24">
        <v>1095790985</v>
      </c>
      <c r="B111" s="13" t="s">
        <v>202</v>
      </c>
      <c r="C111" s="14">
        <v>25</v>
      </c>
      <c r="D111" s="13" t="s">
        <v>11</v>
      </c>
      <c r="E111" s="15" t="s">
        <v>47</v>
      </c>
      <c r="F111" s="16">
        <v>8500</v>
      </c>
      <c r="G111" s="17" t="s">
        <v>13</v>
      </c>
      <c r="H111" s="13" t="s">
        <v>105</v>
      </c>
      <c r="I111" s="18" t="s">
        <v>106</v>
      </c>
      <c r="J111" s="27">
        <v>61000</v>
      </c>
    </row>
    <row r="112" spans="1:10" x14ac:dyDescent="0.25">
      <c r="A112" s="23">
        <v>37749669</v>
      </c>
      <c r="B112" s="7" t="s">
        <v>203</v>
      </c>
      <c r="C112" s="8">
        <v>62</v>
      </c>
      <c r="D112" s="7" t="s">
        <v>11</v>
      </c>
      <c r="E112" s="9" t="s">
        <v>55</v>
      </c>
      <c r="F112" s="10">
        <v>8500</v>
      </c>
      <c r="G112" s="11" t="s">
        <v>56</v>
      </c>
      <c r="H112" s="7" t="s">
        <v>174</v>
      </c>
      <c r="I112" s="12" t="s">
        <v>87</v>
      </c>
      <c r="J112" s="26">
        <v>52000</v>
      </c>
    </row>
    <row r="113" spans="1:10" x14ac:dyDescent="0.25">
      <c r="A113" s="24">
        <v>1098648094</v>
      </c>
      <c r="B113" s="13" t="s">
        <v>152</v>
      </c>
      <c r="C113" s="14">
        <v>23</v>
      </c>
      <c r="D113" s="13" t="s">
        <v>26</v>
      </c>
      <c r="E113" s="15" t="s">
        <v>112</v>
      </c>
      <c r="F113" s="16">
        <v>8500</v>
      </c>
      <c r="G113" s="17" t="s">
        <v>76</v>
      </c>
      <c r="H113" s="13" t="s">
        <v>162</v>
      </c>
      <c r="I113" s="18" t="s">
        <v>35</v>
      </c>
      <c r="J113" s="27">
        <v>59000</v>
      </c>
    </row>
    <row r="114" spans="1:10" x14ac:dyDescent="0.25">
      <c r="A114" s="24">
        <v>1098700076</v>
      </c>
      <c r="B114" s="13" t="s">
        <v>204</v>
      </c>
      <c r="C114" s="14">
        <v>42</v>
      </c>
      <c r="D114" s="13" t="s">
        <v>11</v>
      </c>
      <c r="E114" s="15" t="s">
        <v>40</v>
      </c>
      <c r="F114" s="16">
        <v>8500</v>
      </c>
      <c r="G114" s="17" t="s">
        <v>18</v>
      </c>
      <c r="H114" s="13" t="s">
        <v>41</v>
      </c>
      <c r="I114" s="18" t="s">
        <v>30</v>
      </c>
      <c r="J114" s="27">
        <v>82000</v>
      </c>
    </row>
    <row r="115" spans="1:10" x14ac:dyDescent="0.25">
      <c r="A115" s="23">
        <v>1098678979</v>
      </c>
      <c r="B115" s="7" t="s">
        <v>205</v>
      </c>
      <c r="C115" s="8">
        <v>61</v>
      </c>
      <c r="D115" s="7" t="s">
        <v>11</v>
      </c>
      <c r="E115" s="9" t="s">
        <v>47</v>
      </c>
      <c r="F115" s="10">
        <v>8500</v>
      </c>
      <c r="G115" s="11" t="s">
        <v>33</v>
      </c>
      <c r="H115" s="7" t="s">
        <v>59</v>
      </c>
      <c r="I115" s="12" t="s">
        <v>35</v>
      </c>
      <c r="J115" s="26">
        <v>80000</v>
      </c>
    </row>
    <row r="116" spans="1:10" x14ac:dyDescent="0.25">
      <c r="A116" s="24">
        <v>1095798941</v>
      </c>
      <c r="B116" s="13" t="s">
        <v>206</v>
      </c>
      <c r="C116" s="14">
        <v>24</v>
      </c>
      <c r="D116" s="13" t="s">
        <v>26</v>
      </c>
      <c r="E116" s="15" t="s">
        <v>75</v>
      </c>
      <c r="F116" s="16">
        <v>8500</v>
      </c>
      <c r="G116" s="17" t="s">
        <v>76</v>
      </c>
      <c r="H116" s="13" t="s">
        <v>105</v>
      </c>
      <c r="I116" s="18" t="s">
        <v>106</v>
      </c>
      <c r="J116" s="27">
        <v>66000</v>
      </c>
    </row>
    <row r="117" spans="1:10" x14ac:dyDescent="0.25">
      <c r="A117" s="23">
        <v>1098614975</v>
      </c>
      <c r="B117" s="7" t="s">
        <v>207</v>
      </c>
      <c r="C117" s="8">
        <v>25</v>
      </c>
      <c r="D117" s="7" t="s">
        <v>11</v>
      </c>
      <c r="E117" s="9" t="s">
        <v>55</v>
      </c>
      <c r="F117" s="10">
        <v>9400</v>
      </c>
      <c r="G117" s="11" t="s">
        <v>33</v>
      </c>
      <c r="H117" s="7" t="s">
        <v>117</v>
      </c>
      <c r="I117" s="12" t="s">
        <v>53</v>
      </c>
      <c r="J117" s="26">
        <v>81000</v>
      </c>
    </row>
    <row r="118" spans="1:10" x14ac:dyDescent="0.25">
      <c r="A118" s="24">
        <v>37861439</v>
      </c>
      <c r="B118" s="13" t="s">
        <v>208</v>
      </c>
      <c r="C118" s="14">
        <v>61</v>
      </c>
      <c r="D118" s="13" t="s">
        <v>11</v>
      </c>
      <c r="E118" s="15" t="s">
        <v>81</v>
      </c>
      <c r="F118" s="16">
        <v>9400</v>
      </c>
      <c r="G118" s="17" t="s">
        <v>56</v>
      </c>
      <c r="H118" s="13" t="s">
        <v>93</v>
      </c>
      <c r="I118" s="18" t="s">
        <v>20</v>
      </c>
      <c r="J118" s="27">
        <v>71000</v>
      </c>
    </row>
    <row r="119" spans="1:10" x14ac:dyDescent="0.25">
      <c r="A119" s="24">
        <v>1075653429</v>
      </c>
      <c r="B119" s="13" t="s">
        <v>209</v>
      </c>
      <c r="C119" s="14">
        <v>30</v>
      </c>
      <c r="D119" s="13" t="s">
        <v>26</v>
      </c>
      <c r="E119" s="15" t="s">
        <v>40</v>
      </c>
      <c r="F119" s="16">
        <v>9400</v>
      </c>
      <c r="G119" s="17" t="s">
        <v>38</v>
      </c>
      <c r="H119" s="13" t="s">
        <v>59</v>
      </c>
      <c r="I119" s="18" t="s">
        <v>35</v>
      </c>
      <c r="J119" s="27">
        <v>51000</v>
      </c>
    </row>
    <row r="120" spans="1:10" x14ac:dyDescent="0.25">
      <c r="A120" s="23">
        <v>63545974</v>
      </c>
      <c r="B120" s="7" t="s">
        <v>210</v>
      </c>
      <c r="C120" s="8">
        <v>55</v>
      </c>
      <c r="D120" s="7" t="s">
        <v>176</v>
      </c>
      <c r="E120" s="9" t="s">
        <v>97</v>
      </c>
      <c r="F120" s="10">
        <v>8500</v>
      </c>
      <c r="G120" s="11" t="s">
        <v>13</v>
      </c>
      <c r="H120" s="7" t="s">
        <v>29</v>
      </c>
      <c r="I120" s="12" t="s">
        <v>30</v>
      </c>
      <c r="J120" s="26">
        <v>64000</v>
      </c>
    </row>
    <row r="121" spans="1:10" x14ac:dyDescent="0.25">
      <c r="A121" s="24">
        <v>91539045</v>
      </c>
      <c r="B121" s="13" t="s">
        <v>211</v>
      </c>
      <c r="C121" s="14">
        <v>34</v>
      </c>
      <c r="D121" s="13" t="s">
        <v>26</v>
      </c>
      <c r="E121" s="15" t="s">
        <v>65</v>
      </c>
      <c r="F121" s="16">
        <v>8500</v>
      </c>
      <c r="G121" s="17" t="s">
        <v>38</v>
      </c>
      <c r="H121" s="13" t="s">
        <v>117</v>
      </c>
      <c r="I121" s="18" t="s">
        <v>53</v>
      </c>
      <c r="J121" s="27">
        <v>67000</v>
      </c>
    </row>
    <row r="122" spans="1:10" x14ac:dyDescent="0.25">
      <c r="A122" s="23">
        <v>37551817</v>
      </c>
      <c r="B122" s="7" t="s">
        <v>212</v>
      </c>
      <c r="C122" s="8">
        <v>21</v>
      </c>
      <c r="D122" s="7" t="s">
        <v>11</v>
      </c>
      <c r="E122" s="9" t="s">
        <v>69</v>
      </c>
      <c r="F122" s="10">
        <v>8500</v>
      </c>
      <c r="G122" s="11" t="s">
        <v>76</v>
      </c>
      <c r="H122" s="7" t="s">
        <v>182</v>
      </c>
      <c r="I122" s="12" t="s">
        <v>24</v>
      </c>
      <c r="J122" s="26">
        <v>57000</v>
      </c>
    </row>
    <row r="123" spans="1:10" x14ac:dyDescent="0.25">
      <c r="A123" s="24">
        <v>67017079</v>
      </c>
      <c r="B123" s="13" t="s">
        <v>57</v>
      </c>
      <c r="C123" s="14">
        <v>38</v>
      </c>
      <c r="D123" s="13" t="s">
        <v>11</v>
      </c>
      <c r="E123" s="15" t="s">
        <v>43</v>
      </c>
      <c r="F123" s="16">
        <v>8500</v>
      </c>
      <c r="G123" s="17" t="s">
        <v>56</v>
      </c>
      <c r="H123" s="13" t="s">
        <v>162</v>
      </c>
      <c r="I123" s="18" t="s">
        <v>35</v>
      </c>
      <c r="J123" s="27">
        <v>65000</v>
      </c>
    </row>
    <row r="124" spans="1:10" x14ac:dyDescent="0.25">
      <c r="A124" s="24">
        <v>63547981</v>
      </c>
      <c r="B124" s="13" t="s">
        <v>213</v>
      </c>
      <c r="C124" s="14">
        <v>30</v>
      </c>
      <c r="D124" s="13" t="s">
        <v>11</v>
      </c>
      <c r="E124" s="15" t="s">
        <v>65</v>
      </c>
      <c r="F124" s="16">
        <v>11000</v>
      </c>
      <c r="G124" s="17" t="s">
        <v>33</v>
      </c>
      <c r="H124" s="13" t="s">
        <v>140</v>
      </c>
      <c r="I124" s="18" t="s">
        <v>141</v>
      </c>
      <c r="J124" s="27">
        <v>68000</v>
      </c>
    </row>
    <row r="125" spans="1:10" x14ac:dyDescent="0.25">
      <c r="A125" s="23">
        <v>1032377677</v>
      </c>
      <c r="B125" s="7" t="s">
        <v>214</v>
      </c>
      <c r="C125" s="8">
        <v>26</v>
      </c>
      <c r="D125" s="7" t="s">
        <v>26</v>
      </c>
      <c r="E125" s="9" t="s">
        <v>50</v>
      </c>
      <c r="F125" s="10">
        <v>18794</v>
      </c>
      <c r="G125" s="11" t="s">
        <v>28</v>
      </c>
      <c r="H125" s="7" t="s">
        <v>52</v>
      </c>
      <c r="I125" s="12" t="s">
        <v>53</v>
      </c>
      <c r="J125" s="26">
        <v>55000</v>
      </c>
    </row>
    <row r="126" spans="1:10" x14ac:dyDescent="0.25">
      <c r="A126" s="24">
        <v>1098699491</v>
      </c>
      <c r="B126" s="13" t="s">
        <v>215</v>
      </c>
      <c r="C126" s="14">
        <v>52</v>
      </c>
      <c r="D126" s="13" t="s">
        <v>11</v>
      </c>
      <c r="E126" s="15" t="s">
        <v>55</v>
      </c>
      <c r="F126" s="16">
        <v>18794</v>
      </c>
      <c r="G126" s="17" t="s">
        <v>38</v>
      </c>
      <c r="H126" s="13" t="s">
        <v>86</v>
      </c>
      <c r="I126" s="18" t="s">
        <v>87</v>
      </c>
      <c r="J126" s="27">
        <v>79000</v>
      </c>
    </row>
    <row r="127" spans="1:10" x14ac:dyDescent="0.25">
      <c r="A127" s="23">
        <v>28152673</v>
      </c>
      <c r="B127" s="7" t="s">
        <v>216</v>
      </c>
      <c r="C127" s="8">
        <v>37</v>
      </c>
      <c r="D127" s="7" t="s">
        <v>11</v>
      </c>
      <c r="E127" s="9" t="s">
        <v>200</v>
      </c>
      <c r="F127" s="10">
        <v>18794</v>
      </c>
      <c r="G127" s="11" t="s">
        <v>18</v>
      </c>
      <c r="H127" s="7" t="s">
        <v>70</v>
      </c>
      <c r="I127" s="12" t="s">
        <v>30</v>
      </c>
      <c r="J127" s="26">
        <v>58000</v>
      </c>
    </row>
    <row r="128" spans="1:10" x14ac:dyDescent="0.25">
      <c r="A128" s="24">
        <v>1098696399</v>
      </c>
      <c r="B128" s="13" t="s">
        <v>217</v>
      </c>
      <c r="C128" s="14">
        <v>45</v>
      </c>
      <c r="D128" s="13" t="s">
        <v>11</v>
      </c>
      <c r="E128" s="15" t="s">
        <v>61</v>
      </c>
      <c r="F128" s="16">
        <v>18794</v>
      </c>
      <c r="G128" s="17" t="s">
        <v>76</v>
      </c>
      <c r="H128" s="13" t="s">
        <v>182</v>
      </c>
      <c r="I128" s="18" t="s">
        <v>24</v>
      </c>
      <c r="J128" s="27">
        <v>52000</v>
      </c>
    </row>
    <row r="129" spans="1:10" x14ac:dyDescent="0.25">
      <c r="A129" s="24">
        <v>13542788</v>
      </c>
      <c r="B129" s="13" t="s">
        <v>218</v>
      </c>
      <c r="C129" s="14">
        <v>23</v>
      </c>
      <c r="D129" s="13" t="s">
        <v>26</v>
      </c>
      <c r="E129" s="15" t="s">
        <v>81</v>
      </c>
      <c r="F129" s="16">
        <v>18794</v>
      </c>
      <c r="G129" s="17" t="s">
        <v>38</v>
      </c>
      <c r="H129" s="13" t="s">
        <v>23</v>
      </c>
      <c r="I129" s="18" t="s">
        <v>24</v>
      </c>
      <c r="J129" s="27">
        <v>57000</v>
      </c>
    </row>
    <row r="130" spans="1:10" x14ac:dyDescent="0.25">
      <c r="A130" s="23">
        <v>1098629416</v>
      </c>
      <c r="B130" s="7" t="s">
        <v>219</v>
      </c>
      <c r="C130" s="8">
        <v>39</v>
      </c>
      <c r="D130" s="7" t="s">
        <v>11</v>
      </c>
      <c r="E130" s="9" t="s">
        <v>220</v>
      </c>
      <c r="F130" s="10">
        <v>18794</v>
      </c>
      <c r="G130" s="11" t="s">
        <v>51</v>
      </c>
      <c r="H130" s="7" t="s">
        <v>29</v>
      </c>
      <c r="I130" s="12" t="s">
        <v>30</v>
      </c>
      <c r="J130" s="26">
        <v>80000</v>
      </c>
    </row>
    <row r="131" spans="1:10" x14ac:dyDescent="0.25">
      <c r="A131" s="24">
        <v>63552634</v>
      </c>
      <c r="B131" s="13" t="s">
        <v>221</v>
      </c>
      <c r="C131" s="14">
        <v>21</v>
      </c>
      <c r="D131" s="13" t="s">
        <v>11</v>
      </c>
      <c r="E131" s="15" t="s">
        <v>55</v>
      </c>
      <c r="F131" s="16">
        <v>18794</v>
      </c>
      <c r="G131" s="17" t="s">
        <v>18</v>
      </c>
      <c r="H131" s="13" t="s">
        <v>41</v>
      </c>
      <c r="I131" s="18" t="s">
        <v>30</v>
      </c>
      <c r="J131" s="27">
        <v>70000</v>
      </c>
    </row>
    <row r="132" spans="1:10" x14ac:dyDescent="0.25">
      <c r="A132" s="23">
        <v>1098656657</v>
      </c>
      <c r="B132" s="7" t="s">
        <v>222</v>
      </c>
      <c r="C132" s="8">
        <v>60</v>
      </c>
      <c r="D132" s="7" t="s">
        <v>26</v>
      </c>
      <c r="E132" s="9" t="s">
        <v>123</v>
      </c>
      <c r="F132" s="10">
        <v>18794</v>
      </c>
      <c r="G132" s="11" t="s">
        <v>13</v>
      </c>
      <c r="H132" s="7" t="s">
        <v>95</v>
      </c>
      <c r="I132" s="12" t="s">
        <v>45</v>
      </c>
      <c r="J132" s="26">
        <v>70000</v>
      </c>
    </row>
    <row r="133" spans="1:10" x14ac:dyDescent="0.25">
      <c r="A133" s="24">
        <v>1098642798</v>
      </c>
      <c r="B133" s="13" t="s">
        <v>223</v>
      </c>
      <c r="C133" s="14">
        <v>51</v>
      </c>
      <c r="D133" s="13" t="s">
        <v>26</v>
      </c>
      <c r="E133" s="15" t="s">
        <v>40</v>
      </c>
      <c r="F133" s="16">
        <v>18794</v>
      </c>
      <c r="G133" s="17" t="s">
        <v>56</v>
      </c>
      <c r="H133" s="13" t="s">
        <v>48</v>
      </c>
      <c r="I133" s="18" t="s">
        <v>45</v>
      </c>
      <c r="J133" s="27">
        <v>59000</v>
      </c>
    </row>
    <row r="134" spans="1:10" x14ac:dyDescent="0.25">
      <c r="A134" s="24">
        <v>1098640959</v>
      </c>
      <c r="B134" s="13" t="s">
        <v>224</v>
      </c>
      <c r="C134" s="14">
        <v>37</v>
      </c>
      <c r="D134" s="13" t="s">
        <v>26</v>
      </c>
      <c r="E134" s="15" t="s">
        <v>69</v>
      </c>
      <c r="F134" s="16">
        <v>18794</v>
      </c>
      <c r="G134" s="17" t="s">
        <v>13</v>
      </c>
      <c r="H134" s="13" t="s">
        <v>44</v>
      </c>
      <c r="I134" s="18" t="s">
        <v>45</v>
      </c>
      <c r="J134" s="27">
        <v>57000</v>
      </c>
    </row>
    <row r="135" spans="1:10" x14ac:dyDescent="0.25">
      <c r="A135" s="23">
        <v>1098607445</v>
      </c>
      <c r="B135" s="7" t="s">
        <v>225</v>
      </c>
      <c r="C135" s="8">
        <v>26</v>
      </c>
      <c r="D135" s="7" t="s">
        <v>11</v>
      </c>
      <c r="E135" s="9" t="s">
        <v>50</v>
      </c>
      <c r="F135" s="10">
        <v>9400</v>
      </c>
      <c r="G135" s="11" t="s">
        <v>18</v>
      </c>
      <c r="H135" s="7" t="s">
        <v>127</v>
      </c>
      <c r="I135" s="12" t="s">
        <v>45</v>
      </c>
      <c r="J135" s="26">
        <v>62000</v>
      </c>
    </row>
    <row r="136" spans="1:10" x14ac:dyDescent="0.25">
      <c r="A136" s="24">
        <v>1069716376</v>
      </c>
      <c r="B136" s="13" t="s">
        <v>226</v>
      </c>
      <c r="C136" s="14">
        <v>27</v>
      </c>
      <c r="D136" s="13" t="s">
        <v>11</v>
      </c>
      <c r="E136" s="15" t="s">
        <v>227</v>
      </c>
      <c r="F136" s="16">
        <v>7600</v>
      </c>
      <c r="G136" s="17" t="s">
        <v>18</v>
      </c>
      <c r="H136" s="13" t="s">
        <v>162</v>
      </c>
      <c r="I136" s="18" t="s">
        <v>35</v>
      </c>
      <c r="J136" s="27">
        <v>85000</v>
      </c>
    </row>
    <row r="137" spans="1:10" x14ac:dyDescent="0.25">
      <c r="A137" s="23">
        <v>1098688434</v>
      </c>
      <c r="B137" s="7" t="s">
        <v>228</v>
      </c>
      <c r="C137" s="8">
        <v>33</v>
      </c>
      <c r="D137" s="7" t="s">
        <v>11</v>
      </c>
      <c r="E137" s="9" t="s">
        <v>40</v>
      </c>
      <c r="F137" s="10">
        <v>7600</v>
      </c>
      <c r="G137" s="11" t="s">
        <v>13</v>
      </c>
      <c r="H137" s="7" t="s">
        <v>79</v>
      </c>
      <c r="I137" s="12" t="s">
        <v>30</v>
      </c>
      <c r="J137" s="26">
        <v>62000</v>
      </c>
    </row>
    <row r="138" spans="1:10" x14ac:dyDescent="0.25">
      <c r="A138" s="24">
        <v>1098636738</v>
      </c>
      <c r="B138" s="13" t="s">
        <v>229</v>
      </c>
      <c r="C138" s="14">
        <v>65</v>
      </c>
      <c r="D138" s="13" t="s">
        <v>11</v>
      </c>
      <c r="E138" s="15" t="s">
        <v>50</v>
      </c>
      <c r="F138" s="16">
        <v>7600</v>
      </c>
      <c r="G138" s="17" t="s">
        <v>28</v>
      </c>
      <c r="H138" s="13" t="s">
        <v>52</v>
      </c>
      <c r="I138" s="18" t="s">
        <v>53</v>
      </c>
      <c r="J138" s="27">
        <v>72000</v>
      </c>
    </row>
    <row r="139" spans="1:10" x14ac:dyDescent="0.25">
      <c r="A139" s="24">
        <v>1098647803</v>
      </c>
      <c r="B139" s="13" t="s">
        <v>230</v>
      </c>
      <c r="C139" s="14">
        <v>30</v>
      </c>
      <c r="D139" s="13" t="s">
        <v>11</v>
      </c>
      <c r="E139" s="15" t="s">
        <v>231</v>
      </c>
      <c r="F139" s="16">
        <v>7600</v>
      </c>
      <c r="G139" s="17" t="s">
        <v>33</v>
      </c>
      <c r="H139" s="13" t="s">
        <v>44</v>
      </c>
      <c r="I139" s="18" t="s">
        <v>45</v>
      </c>
      <c r="J139" s="27">
        <v>70000</v>
      </c>
    </row>
    <row r="140" spans="1:10" x14ac:dyDescent="0.25">
      <c r="A140" s="23">
        <v>1098713679</v>
      </c>
      <c r="B140" s="7" t="s">
        <v>232</v>
      </c>
      <c r="C140" s="8">
        <v>40</v>
      </c>
      <c r="D140" s="7" t="s">
        <v>11</v>
      </c>
      <c r="E140" s="9" t="s">
        <v>12</v>
      </c>
      <c r="F140" s="10">
        <v>7600</v>
      </c>
      <c r="G140" s="11" t="s">
        <v>76</v>
      </c>
      <c r="H140" s="7" t="s">
        <v>14</v>
      </c>
      <c r="I140" s="12" t="s">
        <v>15</v>
      </c>
      <c r="J140" s="26">
        <v>70000</v>
      </c>
    </row>
    <row r="141" spans="1:10" x14ac:dyDescent="0.25">
      <c r="A141" s="24">
        <v>1001064380</v>
      </c>
      <c r="B141" s="13" t="s">
        <v>233</v>
      </c>
      <c r="C141" s="14">
        <v>42</v>
      </c>
      <c r="D141" s="13" t="s">
        <v>26</v>
      </c>
      <c r="E141" s="15" t="s">
        <v>234</v>
      </c>
      <c r="F141" s="16">
        <v>7600</v>
      </c>
      <c r="G141" s="17" t="s">
        <v>18</v>
      </c>
      <c r="H141" s="13" t="s">
        <v>90</v>
      </c>
      <c r="I141" s="18" t="s">
        <v>15</v>
      </c>
      <c r="J141" s="27">
        <v>50000</v>
      </c>
    </row>
    <row r="142" spans="1:10" x14ac:dyDescent="0.25">
      <c r="A142" s="23">
        <v>91185925</v>
      </c>
      <c r="B142" s="7" t="s">
        <v>235</v>
      </c>
      <c r="C142" s="8">
        <v>21</v>
      </c>
      <c r="D142" s="7" t="s">
        <v>26</v>
      </c>
      <c r="E142" s="9" t="s">
        <v>123</v>
      </c>
      <c r="F142" s="10">
        <v>7600</v>
      </c>
      <c r="G142" s="11" t="s">
        <v>66</v>
      </c>
      <c r="H142" s="7" t="s">
        <v>140</v>
      </c>
      <c r="I142" s="12" t="s">
        <v>24</v>
      </c>
      <c r="J142" s="26">
        <v>50000</v>
      </c>
    </row>
    <row r="143" spans="1:10" x14ac:dyDescent="0.25">
      <c r="A143" s="24">
        <v>1095916222</v>
      </c>
      <c r="B143" s="13" t="s">
        <v>236</v>
      </c>
      <c r="C143" s="14">
        <v>33</v>
      </c>
      <c r="D143" s="13" t="s">
        <v>11</v>
      </c>
      <c r="E143" s="15" t="s">
        <v>234</v>
      </c>
      <c r="F143" s="16">
        <v>7600</v>
      </c>
      <c r="G143" s="17" t="s">
        <v>13</v>
      </c>
      <c r="H143" s="13" t="s">
        <v>152</v>
      </c>
      <c r="I143" s="18" t="s">
        <v>153</v>
      </c>
      <c r="J143" s="27">
        <v>60000</v>
      </c>
    </row>
    <row r="144" spans="1:10" x14ac:dyDescent="0.25">
      <c r="A144" s="24">
        <v>63556987</v>
      </c>
      <c r="B144" s="13" t="s">
        <v>237</v>
      </c>
      <c r="C144" s="14">
        <v>31</v>
      </c>
      <c r="D144" s="13" t="s">
        <v>11</v>
      </c>
      <c r="E144" s="15" t="s">
        <v>123</v>
      </c>
      <c r="F144" s="16">
        <v>11637</v>
      </c>
      <c r="G144" s="17" t="s">
        <v>38</v>
      </c>
      <c r="H144" s="13" t="s">
        <v>23</v>
      </c>
      <c r="I144" s="18" t="s">
        <v>24</v>
      </c>
      <c r="J144" s="27">
        <v>50000</v>
      </c>
    </row>
    <row r="145" spans="1:10" x14ac:dyDescent="0.25">
      <c r="A145" s="23">
        <v>1098687956</v>
      </c>
      <c r="B145" s="7" t="s">
        <v>238</v>
      </c>
      <c r="C145" s="8">
        <v>27</v>
      </c>
      <c r="D145" s="7" t="s">
        <v>11</v>
      </c>
      <c r="E145" s="9" t="s">
        <v>131</v>
      </c>
      <c r="F145" s="10">
        <v>16357</v>
      </c>
      <c r="G145" s="11" t="s">
        <v>13</v>
      </c>
      <c r="H145" s="7" t="s">
        <v>62</v>
      </c>
      <c r="I145" s="12" t="s">
        <v>24</v>
      </c>
      <c r="J145" s="26">
        <v>56000</v>
      </c>
    </row>
    <row r="146" spans="1:10" x14ac:dyDescent="0.25">
      <c r="A146" s="24">
        <v>1098678414</v>
      </c>
      <c r="B146" s="13" t="s">
        <v>239</v>
      </c>
      <c r="C146" s="14">
        <v>18</v>
      </c>
      <c r="D146" s="13" t="s">
        <v>11</v>
      </c>
      <c r="E146" s="15" t="s">
        <v>12</v>
      </c>
      <c r="F146" s="16">
        <v>8500</v>
      </c>
      <c r="G146" s="17" t="s">
        <v>13</v>
      </c>
      <c r="H146" s="13" t="s">
        <v>14</v>
      </c>
      <c r="I146" s="18" t="s">
        <v>15</v>
      </c>
      <c r="J146" s="27">
        <v>83000</v>
      </c>
    </row>
    <row r="147" spans="1:10" x14ac:dyDescent="0.25">
      <c r="A147" s="23">
        <v>1098641024</v>
      </c>
      <c r="B147" s="7" t="s">
        <v>240</v>
      </c>
      <c r="C147" s="8">
        <v>23</v>
      </c>
      <c r="D147" s="7" t="s">
        <v>11</v>
      </c>
      <c r="E147" s="9" t="s">
        <v>50</v>
      </c>
      <c r="F147" s="10">
        <v>13600</v>
      </c>
      <c r="G147" s="11" t="s">
        <v>33</v>
      </c>
      <c r="H147" s="7" t="s">
        <v>127</v>
      </c>
      <c r="I147" s="12" t="s">
        <v>45</v>
      </c>
      <c r="J147" s="26">
        <v>77000</v>
      </c>
    </row>
    <row r="148" spans="1:10" x14ac:dyDescent="0.25">
      <c r="A148" s="24">
        <v>63534775</v>
      </c>
      <c r="B148" s="13" t="s">
        <v>241</v>
      </c>
      <c r="C148" s="14">
        <v>35</v>
      </c>
      <c r="D148" s="13" t="s">
        <v>11</v>
      </c>
      <c r="E148" s="15" t="s">
        <v>220</v>
      </c>
      <c r="F148" s="16">
        <v>13600</v>
      </c>
      <c r="G148" s="17" t="s">
        <v>33</v>
      </c>
      <c r="H148" s="13" t="s">
        <v>117</v>
      </c>
      <c r="I148" s="18" t="s">
        <v>53</v>
      </c>
      <c r="J148" s="27">
        <v>55000</v>
      </c>
    </row>
    <row r="149" spans="1:10" x14ac:dyDescent="0.25">
      <c r="A149" s="24">
        <v>91535857</v>
      </c>
      <c r="B149" s="13" t="s">
        <v>242</v>
      </c>
      <c r="C149" s="14">
        <v>42</v>
      </c>
      <c r="D149" s="13" t="s">
        <v>26</v>
      </c>
      <c r="E149" s="15" t="s">
        <v>61</v>
      </c>
      <c r="F149" s="16">
        <v>13600</v>
      </c>
      <c r="G149" s="17" t="s">
        <v>33</v>
      </c>
      <c r="H149" s="13" t="s">
        <v>59</v>
      </c>
      <c r="I149" s="18" t="s">
        <v>35</v>
      </c>
      <c r="J149" s="27">
        <v>68000</v>
      </c>
    </row>
    <row r="150" spans="1:10" x14ac:dyDescent="0.25">
      <c r="A150" s="23">
        <v>1095786636</v>
      </c>
      <c r="B150" s="7" t="s">
        <v>243</v>
      </c>
      <c r="C150" s="8">
        <v>24</v>
      </c>
      <c r="D150" s="7" t="s">
        <v>11</v>
      </c>
      <c r="E150" s="9" t="s">
        <v>143</v>
      </c>
      <c r="F150" s="10">
        <v>13600</v>
      </c>
      <c r="G150" s="11" t="s">
        <v>13</v>
      </c>
      <c r="H150" s="7" t="s">
        <v>162</v>
      </c>
      <c r="I150" s="12" t="s">
        <v>35</v>
      </c>
      <c r="J150" s="26">
        <v>88000</v>
      </c>
    </row>
    <row r="151" spans="1:10" x14ac:dyDescent="0.25">
      <c r="A151" s="24">
        <v>1033708844</v>
      </c>
      <c r="B151" s="13" t="s">
        <v>244</v>
      </c>
      <c r="C151" s="14">
        <v>60</v>
      </c>
      <c r="D151" s="13" t="s">
        <v>26</v>
      </c>
      <c r="E151" s="15" t="s">
        <v>65</v>
      </c>
      <c r="F151" s="16">
        <v>13600</v>
      </c>
      <c r="G151" s="17" t="s">
        <v>56</v>
      </c>
      <c r="H151" s="13" t="s">
        <v>29</v>
      </c>
      <c r="I151" s="18" t="s">
        <v>30</v>
      </c>
      <c r="J151" s="27">
        <v>63000</v>
      </c>
    </row>
    <row r="152" spans="1:10" x14ac:dyDescent="0.25">
      <c r="A152" s="23">
        <v>63548503</v>
      </c>
      <c r="B152" s="7" t="s">
        <v>245</v>
      </c>
      <c r="C152" s="8">
        <v>19</v>
      </c>
      <c r="D152" s="7" t="s">
        <v>11</v>
      </c>
      <c r="E152" s="9" t="s">
        <v>22</v>
      </c>
      <c r="F152" s="10">
        <v>13600</v>
      </c>
      <c r="G152" s="11" t="s">
        <v>51</v>
      </c>
      <c r="H152" s="7" t="s">
        <v>140</v>
      </c>
      <c r="I152" s="12" t="s">
        <v>24</v>
      </c>
      <c r="J152" s="26">
        <v>71000</v>
      </c>
    </row>
    <row r="153" spans="1:10" x14ac:dyDescent="0.25">
      <c r="A153" s="24">
        <v>1098659077</v>
      </c>
      <c r="B153" s="13" t="s">
        <v>246</v>
      </c>
      <c r="C153" s="14">
        <v>35</v>
      </c>
      <c r="D153" s="13" t="s">
        <v>11</v>
      </c>
      <c r="E153" s="15" t="s">
        <v>55</v>
      </c>
      <c r="F153" s="16">
        <v>13600</v>
      </c>
      <c r="G153" s="17" t="s">
        <v>66</v>
      </c>
      <c r="H153" s="13" t="s">
        <v>117</v>
      </c>
      <c r="I153" s="18" t="s">
        <v>53</v>
      </c>
      <c r="J153" s="27">
        <v>72000</v>
      </c>
    </row>
    <row r="154" spans="1:10" x14ac:dyDescent="0.25">
      <c r="A154" s="24">
        <v>37548184</v>
      </c>
      <c r="B154" s="13" t="s">
        <v>247</v>
      </c>
      <c r="C154" s="14">
        <v>23</v>
      </c>
      <c r="D154" s="13" t="s">
        <v>11</v>
      </c>
      <c r="E154" s="15" t="s">
        <v>248</v>
      </c>
      <c r="F154" s="16">
        <v>13600</v>
      </c>
      <c r="G154" s="17" t="s">
        <v>13</v>
      </c>
      <c r="H154" s="13" t="s">
        <v>95</v>
      </c>
      <c r="I154" s="18" t="s">
        <v>45</v>
      </c>
      <c r="J154" s="27">
        <v>87000</v>
      </c>
    </row>
    <row r="155" spans="1:10" x14ac:dyDescent="0.25">
      <c r="A155" s="23">
        <v>1102359577</v>
      </c>
      <c r="B155" s="7" t="s">
        <v>249</v>
      </c>
      <c r="C155" s="8">
        <v>32</v>
      </c>
      <c r="D155" s="7" t="s">
        <v>11</v>
      </c>
      <c r="E155" s="9" t="s">
        <v>43</v>
      </c>
      <c r="F155" s="10">
        <v>13600</v>
      </c>
      <c r="G155" s="11" t="s">
        <v>56</v>
      </c>
      <c r="H155" s="7" t="s">
        <v>73</v>
      </c>
      <c r="I155" s="12" t="s">
        <v>30</v>
      </c>
      <c r="J155" s="26">
        <v>64000</v>
      </c>
    </row>
    <row r="156" spans="1:10" x14ac:dyDescent="0.25">
      <c r="A156" s="24">
        <v>1095794073</v>
      </c>
      <c r="B156" s="13" t="s">
        <v>250</v>
      </c>
      <c r="C156" s="14">
        <v>18</v>
      </c>
      <c r="D156" s="13" t="s">
        <v>26</v>
      </c>
      <c r="E156" s="15" t="s">
        <v>47</v>
      </c>
      <c r="F156" s="16">
        <v>11500</v>
      </c>
      <c r="G156" s="17" t="s">
        <v>13</v>
      </c>
      <c r="H156" s="13" t="s">
        <v>73</v>
      </c>
      <c r="I156" s="18" t="s">
        <v>30</v>
      </c>
      <c r="J156" s="27">
        <v>50000</v>
      </c>
    </row>
    <row r="157" spans="1:10" x14ac:dyDescent="0.25">
      <c r="A157" s="23">
        <v>1090428247</v>
      </c>
      <c r="B157" s="7" t="s">
        <v>251</v>
      </c>
      <c r="C157" s="8">
        <v>21</v>
      </c>
      <c r="D157" s="7" t="s">
        <v>11</v>
      </c>
      <c r="E157" s="9" t="s">
        <v>97</v>
      </c>
      <c r="F157" s="10">
        <v>11500</v>
      </c>
      <c r="G157" s="11" t="s">
        <v>28</v>
      </c>
      <c r="H157" s="7" t="s">
        <v>252</v>
      </c>
      <c r="I157" s="12" t="s">
        <v>106</v>
      </c>
      <c r="J157" s="26">
        <v>81000</v>
      </c>
    </row>
    <row r="158" spans="1:10" x14ac:dyDescent="0.25">
      <c r="A158" s="24">
        <v>37861541</v>
      </c>
      <c r="B158" s="13" t="s">
        <v>253</v>
      </c>
      <c r="C158" s="14">
        <v>42</v>
      </c>
      <c r="D158" s="13" t="s">
        <v>11</v>
      </c>
      <c r="E158" s="15" t="s">
        <v>123</v>
      </c>
      <c r="F158" s="16">
        <v>11500</v>
      </c>
      <c r="G158" s="17" t="s">
        <v>56</v>
      </c>
      <c r="H158" s="13" t="s">
        <v>110</v>
      </c>
      <c r="I158" s="18" t="s">
        <v>35</v>
      </c>
      <c r="J158" s="27">
        <v>67000</v>
      </c>
    </row>
    <row r="159" spans="1:10" x14ac:dyDescent="0.25">
      <c r="A159" s="24">
        <v>669406939.60000002</v>
      </c>
      <c r="B159" s="13" t="s">
        <v>254</v>
      </c>
      <c r="C159" s="14">
        <v>25</v>
      </c>
      <c r="D159" s="13" t="s">
        <v>11</v>
      </c>
      <c r="E159" s="15" t="s">
        <v>97</v>
      </c>
      <c r="F159" s="16">
        <v>18794</v>
      </c>
      <c r="G159" s="17" t="s">
        <v>56</v>
      </c>
      <c r="H159" s="13" t="s">
        <v>57</v>
      </c>
      <c r="I159" s="18" t="s">
        <v>15</v>
      </c>
      <c r="J159" s="27">
        <v>63000</v>
      </c>
    </row>
    <row r="160" spans="1:10" x14ac:dyDescent="0.25">
      <c r="A160" s="23">
        <v>668276478</v>
      </c>
      <c r="B160" s="7" t="s">
        <v>255</v>
      </c>
      <c r="C160" s="8">
        <v>30</v>
      </c>
      <c r="D160" s="7" t="s">
        <v>26</v>
      </c>
      <c r="E160" s="9" t="s">
        <v>72</v>
      </c>
      <c r="F160" s="10">
        <v>18794</v>
      </c>
      <c r="G160" s="11" t="s">
        <v>33</v>
      </c>
      <c r="H160" s="7" t="s">
        <v>70</v>
      </c>
      <c r="I160" s="12" t="s">
        <v>30</v>
      </c>
      <c r="J160" s="26">
        <v>78000</v>
      </c>
    </row>
    <row r="161" spans="1:10" x14ac:dyDescent="0.25">
      <c r="A161" s="24">
        <v>667146016.39999998</v>
      </c>
      <c r="B161" s="13" t="s">
        <v>256</v>
      </c>
      <c r="C161" s="14">
        <v>61</v>
      </c>
      <c r="D161" s="13" t="s">
        <v>11</v>
      </c>
      <c r="E161" s="15" t="s">
        <v>55</v>
      </c>
      <c r="F161" s="16">
        <v>18794</v>
      </c>
      <c r="G161" s="17" t="s">
        <v>56</v>
      </c>
      <c r="H161" s="13" t="s">
        <v>174</v>
      </c>
      <c r="I161" s="18" t="s">
        <v>87</v>
      </c>
      <c r="J161" s="27">
        <v>54000</v>
      </c>
    </row>
    <row r="162" spans="1:10" x14ac:dyDescent="0.25">
      <c r="A162" s="23">
        <v>666015554.79999995</v>
      </c>
      <c r="B162" s="7" t="s">
        <v>257</v>
      </c>
      <c r="C162" s="8">
        <v>26</v>
      </c>
      <c r="D162" s="7" t="s">
        <v>11</v>
      </c>
      <c r="E162" s="9" t="s">
        <v>55</v>
      </c>
      <c r="F162" s="10">
        <v>18794</v>
      </c>
      <c r="G162" s="11" t="s">
        <v>33</v>
      </c>
      <c r="H162" s="7" t="s">
        <v>140</v>
      </c>
      <c r="I162" s="12" t="s">
        <v>141</v>
      </c>
      <c r="J162" s="26">
        <v>80000</v>
      </c>
    </row>
    <row r="163" spans="1:10" x14ac:dyDescent="0.25">
      <c r="A163" s="24">
        <v>664885093.20000005</v>
      </c>
      <c r="B163" s="13" t="s">
        <v>95</v>
      </c>
      <c r="C163" s="14">
        <v>32</v>
      </c>
      <c r="D163" s="13" t="s">
        <v>11</v>
      </c>
      <c r="E163" s="15" t="s">
        <v>137</v>
      </c>
      <c r="F163" s="16">
        <v>18794</v>
      </c>
      <c r="G163" s="17" t="s">
        <v>56</v>
      </c>
      <c r="H163" s="13" t="s">
        <v>162</v>
      </c>
      <c r="I163" s="18" t="s">
        <v>35</v>
      </c>
      <c r="J163" s="27">
        <v>76000</v>
      </c>
    </row>
    <row r="164" spans="1:10" x14ac:dyDescent="0.25">
      <c r="A164" s="24">
        <v>663754631.60000002</v>
      </c>
      <c r="B164" s="13" t="s">
        <v>258</v>
      </c>
      <c r="C164" s="14">
        <v>25</v>
      </c>
      <c r="D164" s="13" t="s">
        <v>11</v>
      </c>
      <c r="E164" s="15" t="s">
        <v>112</v>
      </c>
      <c r="F164" s="16">
        <v>18794</v>
      </c>
      <c r="G164" s="17" t="s">
        <v>38</v>
      </c>
      <c r="H164" s="13" t="s">
        <v>41</v>
      </c>
      <c r="I164" s="18" t="s">
        <v>30</v>
      </c>
      <c r="J164" s="27">
        <v>59000</v>
      </c>
    </row>
    <row r="165" spans="1:10" x14ac:dyDescent="0.25">
      <c r="A165" s="23">
        <v>662624170</v>
      </c>
      <c r="B165" s="7" t="s">
        <v>259</v>
      </c>
      <c r="C165" s="8">
        <v>53</v>
      </c>
      <c r="D165" s="7" t="s">
        <v>26</v>
      </c>
      <c r="E165" s="9" t="s">
        <v>55</v>
      </c>
      <c r="F165" s="10">
        <v>18794</v>
      </c>
      <c r="G165" s="11" t="s">
        <v>76</v>
      </c>
      <c r="H165" s="7" t="s">
        <v>174</v>
      </c>
      <c r="I165" s="12" t="s">
        <v>87</v>
      </c>
      <c r="J165" s="26">
        <v>87000</v>
      </c>
    </row>
    <row r="166" spans="1:10" x14ac:dyDescent="0.25">
      <c r="A166" s="24">
        <v>661493708.39999998</v>
      </c>
      <c r="B166" s="13" t="s">
        <v>260</v>
      </c>
      <c r="C166" s="14">
        <v>43</v>
      </c>
      <c r="D166" s="13" t="s">
        <v>11</v>
      </c>
      <c r="E166" s="15" t="s">
        <v>61</v>
      </c>
      <c r="F166" s="16">
        <v>9400</v>
      </c>
      <c r="G166" s="17" t="s">
        <v>18</v>
      </c>
      <c r="H166" s="13" t="s">
        <v>34</v>
      </c>
      <c r="I166" s="18" t="s">
        <v>35</v>
      </c>
      <c r="J166" s="27">
        <v>85000</v>
      </c>
    </row>
    <row r="167" spans="1:10" x14ac:dyDescent="0.25">
      <c r="A167" s="23">
        <v>660363246.79999995</v>
      </c>
      <c r="B167" s="7" t="s">
        <v>261</v>
      </c>
      <c r="C167" s="8">
        <v>40</v>
      </c>
      <c r="D167" s="7" t="s">
        <v>11</v>
      </c>
      <c r="E167" s="9" t="s">
        <v>72</v>
      </c>
      <c r="F167" s="10">
        <v>9400</v>
      </c>
      <c r="G167" s="11" t="s">
        <v>38</v>
      </c>
      <c r="H167" s="7" t="s">
        <v>41</v>
      </c>
      <c r="I167" s="12" t="s">
        <v>30</v>
      </c>
      <c r="J167" s="26">
        <v>76000</v>
      </c>
    </row>
    <row r="168" spans="1:10" x14ac:dyDescent="0.25">
      <c r="A168" s="24">
        <v>659232785.20000005</v>
      </c>
      <c r="B168" s="13" t="s">
        <v>262</v>
      </c>
      <c r="C168" s="14">
        <v>19</v>
      </c>
      <c r="D168" s="13" t="s">
        <v>11</v>
      </c>
      <c r="E168" s="15" t="s">
        <v>61</v>
      </c>
      <c r="F168" s="16">
        <v>9400</v>
      </c>
      <c r="G168" s="17" t="s">
        <v>13</v>
      </c>
      <c r="H168" s="13" t="s">
        <v>48</v>
      </c>
      <c r="I168" s="18" t="s">
        <v>45</v>
      </c>
      <c r="J168" s="27">
        <v>59000</v>
      </c>
    </row>
    <row r="169" spans="1:10" x14ac:dyDescent="0.25">
      <c r="A169" s="24">
        <v>658102323.60000002</v>
      </c>
      <c r="B169" s="13" t="s">
        <v>263</v>
      </c>
      <c r="C169" s="14">
        <v>32</v>
      </c>
      <c r="D169" s="13" t="s">
        <v>26</v>
      </c>
      <c r="E169" s="15" t="s">
        <v>248</v>
      </c>
      <c r="F169" s="16">
        <v>15300</v>
      </c>
      <c r="G169" s="17" t="s">
        <v>56</v>
      </c>
      <c r="H169" s="13" t="s">
        <v>110</v>
      </c>
      <c r="I169" s="18" t="s">
        <v>35</v>
      </c>
      <c r="J169" s="27">
        <v>87000</v>
      </c>
    </row>
    <row r="170" spans="1:10" x14ac:dyDescent="0.25">
      <c r="A170" s="23">
        <v>656971862</v>
      </c>
      <c r="B170" s="7" t="s">
        <v>52</v>
      </c>
      <c r="C170" s="8">
        <v>53</v>
      </c>
      <c r="D170" s="7" t="s">
        <v>26</v>
      </c>
      <c r="E170" s="9" t="s">
        <v>123</v>
      </c>
      <c r="F170" s="10">
        <v>15300</v>
      </c>
      <c r="G170" s="11" t="s">
        <v>56</v>
      </c>
      <c r="H170" s="7" t="s">
        <v>162</v>
      </c>
      <c r="I170" s="12" t="s">
        <v>35</v>
      </c>
      <c r="J170" s="26">
        <v>69000</v>
      </c>
    </row>
    <row r="171" spans="1:10" x14ac:dyDescent="0.25">
      <c r="A171" s="24">
        <v>655841400.39999998</v>
      </c>
      <c r="B171" s="13" t="s">
        <v>264</v>
      </c>
      <c r="C171" s="14">
        <v>18</v>
      </c>
      <c r="D171" s="13" t="s">
        <v>26</v>
      </c>
      <c r="E171" s="15" t="s">
        <v>123</v>
      </c>
      <c r="F171" s="16">
        <v>15300</v>
      </c>
      <c r="G171" s="17" t="s">
        <v>13</v>
      </c>
      <c r="H171" s="13" t="s">
        <v>44</v>
      </c>
      <c r="I171" s="18" t="s">
        <v>45</v>
      </c>
      <c r="J171" s="27">
        <v>85000</v>
      </c>
    </row>
    <row r="172" spans="1:10" x14ac:dyDescent="0.25">
      <c r="A172" s="23">
        <v>654710938.79999995</v>
      </c>
      <c r="B172" s="7" t="s">
        <v>265</v>
      </c>
      <c r="C172" s="8">
        <v>50</v>
      </c>
      <c r="D172" s="7" t="s">
        <v>11</v>
      </c>
      <c r="E172" s="9" t="s">
        <v>103</v>
      </c>
      <c r="F172" s="10">
        <v>15300</v>
      </c>
      <c r="G172" s="11" t="s">
        <v>56</v>
      </c>
      <c r="H172" s="7" t="s">
        <v>79</v>
      </c>
      <c r="I172" s="12" t="s">
        <v>30</v>
      </c>
      <c r="J172" s="26">
        <v>63000</v>
      </c>
    </row>
    <row r="173" spans="1:10" x14ac:dyDescent="0.25">
      <c r="A173" s="24">
        <v>1098675256</v>
      </c>
      <c r="B173" s="13" t="s">
        <v>266</v>
      </c>
      <c r="C173" s="14">
        <v>19</v>
      </c>
      <c r="D173" s="13" t="s">
        <v>11</v>
      </c>
      <c r="E173" s="15" t="s">
        <v>143</v>
      </c>
      <c r="F173" s="16">
        <v>15300</v>
      </c>
      <c r="G173" s="17" t="s">
        <v>66</v>
      </c>
      <c r="H173" s="13" t="s">
        <v>93</v>
      </c>
      <c r="I173" s="18" t="s">
        <v>20</v>
      </c>
      <c r="J173" s="27">
        <v>88000</v>
      </c>
    </row>
    <row r="174" spans="1:10" x14ac:dyDescent="0.25">
      <c r="A174" s="24">
        <v>1098689818</v>
      </c>
      <c r="B174" s="13" t="s">
        <v>267</v>
      </c>
      <c r="C174" s="14">
        <v>32</v>
      </c>
      <c r="D174" s="13" t="s">
        <v>11</v>
      </c>
      <c r="E174" s="15" t="s">
        <v>129</v>
      </c>
      <c r="F174" s="16">
        <v>15300</v>
      </c>
      <c r="G174" s="17" t="s">
        <v>38</v>
      </c>
      <c r="H174" s="13" t="s">
        <v>117</v>
      </c>
      <c r="I174" s="18" t="s">
        <v>53</v>
      </c>
      <c r="J174" s="27">
        <v>86000</v>
      </c>
    </row>
    <row r="175" spans="1:10" x14ac:dyDescent="0.25">
      <c r="A175" s="23">
        <v>1098675366</v>
      </c>
      <c r="B175" s="7" t="s">
        <v>268</v>
      </c>
      <c r="C175" s="8">
        <v>24</v>
      </c>
      <c r="D175" s="7" t="s">
        <v>26</v>
      </c>
      <c r="E175" s="9" t="s">
        <v>55</v>
      </c>
      <c r="F175" s="10">
        <v>15300</v>
      </c>
      <c r="G175" s="11" t="s">
        <v>56</v>
      </c>
      <c r="H175" s="7" t="s">
        <v>174</v>
      </c>
      <c r="I175" s="12" t="s">
        <v>87</v>
      </c>
      <c r="J175" s="26">
        <v>78000</v>
      </c>
    </row>
    <row r="176" spans="1:10" x14ac:dyDescent="0.25">
      <c r="A176" s="24">
        <v>1098695454</v>
      </c>
      <c r="B176" s="13" t="s">
        <v>269</v>
      </c>
      <c r="C176" s="14">
        <v>25</v>
      </c>
      <c r="D176" s="13" t="s">
        <v>11</v>
      </c>
      <c r="E176" s="15" t="s">
        <v>72</v>
      </c>
      <c r="F176" s="16">
        <v>15300</v>
      </c>
      <c r="G176" s="17" t="s">
        <v>18</v>
      </c>
      <c r="H176" s="13" t="s">
        <v>70</v>
      </c>
      <c r="I176" s="18" t="s">
        <v>30</v>
      </c>
      <c r="J176" s="27">
        <v>89000</v>
      </c>
    </row>
    <row r="177" spans="1:10" x14ac:dyDescent="0.25">
      <c r="A177" s="23">
        <v>1095802864</v>
      </c>
      <c r="B177" s="7" t="s">
        <v>270</v>
      </c>
      <c r="C177" s="8">
        <v>43</v>
      </c>
      <c r="D177" s="7" t="s">
        <v>11</v>
      </c>
      <c r="E177" s="9" t="s">
        <v>271</v>
      </c>
      <c r="F177" s="10">
        <v>20500</v>
      </c>
      <c r="G177" s="11" t="s">
        <v>18</v>
      </c>
      <c r="H177" s="7" t="s">
        <v>19</v>
      </c>
      <c r="I177" s="12" t="s">
        <v>20</v>
      </c>
      <c r="J177" s="26">
        <v>80000</v>
      </c>
    </row>
    <row r="178" spans="1:10" x14ac:dyDescent="0.25">
      <c r="A178" s="24">
        <v>1098670611</v>
      </c>
      <c r="B178" s="13" t="s">
        <v>272</v>
      </c>
      <c r="C178" s="14">
        <v>21</v>
      </c>
      <c r="D178" s="13" t="s">
        <v>11</v>
      </c>
      <c r="E178" s="15" t="s">
        <v>143</v>
      </c>
      <c r="F178" s="16">
        <v>20500</v>
      </c>
      <c r="G178" s="17" t="s">
        <v>76</v>
      </c>
      <c r="H178" s="13" t="s">
        <v>29</v>
      </c>
      <c r="I178" s="18" t="s">
        <v>30</v>
      </c>
      <c r="J178" s="27">
        <v>64000</v>
      </c>
    </row>
    <row r="179" spans="1:10" x14ac:dyDescent="0.25">
      <c r="A179" s="24">
        <v>1020402335</v>
      </c>
      <c r="B179" s="13" t="s">
        <v>273</v>
      </c>
      <c r="C179" s="14">
        <v>24</v>
      </c>
      <c r="D179" s="13" t="s">
        <v>26</v>
      </c>
      <c r="E179" s="15" t="s">
        <v>12</v>
      </c>
      <c r="F179" s="16">
        <v>20500</v>
      </c>
      <c r="G179" s="17" t="s">
        <v>13</v>
      </c>
      <c r="H179" s="13" t="s">
        <v>14</v>
      </c>
      <c r="I179" s="18" t="s">
        <v>15</v>
      </c>
      <c r="J179" s="27">
        <v>63000</v>
      </c>
    </row>
    <row r="180" spans="1:10" x14ac:dyDescent="0.25">
      <c r="A180" s="23">
        <v>63530498</v>
      </c>
      <c r="B180" s="7" t="s">
        <v>274</v>
      </c>
      <c r="C180" s="8">
        <v>23</v>
      </c>
      <c r="D180" s="7" t="s">
        <v>11</v>
      </c>
      <c r="E180" s="9" t="s">
        <v>40</v>
      </c>
      <c r="F180" s="10">
        <v>20500</v>
      </c>
      <c r="G180" s="11" t="s">
        <v>13</v>
      </c>
      <c r="H180" s="7" t="s">
        <v>57</v>
      </c>
      <c r="I180" s="12" t="s">
        <v>15</v>
      </c>
      <c r="J180" s="26">
        <v>54000</v>
      </c>
    </row>
    <row r="181" spans="1:10" x14ac:dyDescent="0.25">
      <c r="A181" s="24">
        <v>1098648551</v>
      </c>
      <c r="B181" s="13" t="s">
        <v>275</v>
      </c>
      <c r="C181" s="14">
        <v>18</v>
      </c>
      <c r="D181" s="13" t="s">
        <v>11</v>
      </c>
      <c r="E181" s="15" t="s">
        <v>69</v>
      </c>
      <c r="F181" s="16">
        <v>20500</v>
      </c>
      <c r="G181" s="17" t="s">
        <v>76</v>
      </c>
      <c r="H181" s="13" t="s">
        <v>95</v>
      </c>
      <c r="I181" s="18" t="s">
        <v>45</v>
      </c>
      <c r="J181" s="27">
        <v>64000</v>
      </c>
    </row>
    <row r="182" spans="1:10" x14ac:dyDescent="0.25">
      <c r="A182" s="23">
        <v>1098615966</v>
      </c>
      <c r="B182" s="7" t="s">
        <v>276</v>
      </c>
      <c r="C182" s="8">
        <v>32</v>
      </c>
      <c r="D182" s="7" t="s">
        <v>11</v>
      </c>
      <c r="E182" s="9" t="s">
        <v>97</v>
      </c>
      <c r="F182" s="10">
        <v>20500</v>
      </c>
      <c r="G182" s="11" t="s">
        <v>28</v>
      </c>
      <c r="H182" s="7" t="s">
        <v>252</v>
      </c>
      <c r="I182" s="12" t="s">
        <v>106</v>
      </c>
      <c r="J182" s="26">
        <v>76000</v>
      </c>
    </row>
    <row r="183" spans="1:10" x14ac:dyDescent="0.25">
      <c r="A183" s="24">
        <v>1095805798</v>
      </c>
      <c r="B183" s="13" t="s">
        <v>277</v>
      </c>
      <c r="C183" s="14">
        <v>18</v>
      </c>
      <c r="D183" s="13" t="s">
        <v>26</v>
      </c>
      <c r="E183" s="15" t="s">
        <v>72</v>
      </c>
      <c r="F183" s="16">
        <v>20500</v>
      </c>
      <c r="G183" s="17" t="s">
        <v>18</v>
      </c>
      <c r="H183" s="13" t="s">
        <v>34</v>
      </c>
      <c r="I183" s="18" t="s">
        <v>35</v>
      </c>
      <c r="J183" s="27">
        <v>85000</v>
      </c>
    </row>
    <row r="184" spans="1:10" x14ac:dyDescent="0.25">
      <c r="A184" s="24">
        <v>91520098</v>
      </c>
      <c r="B184" s="13" t="s">
        <v>278</v>
      </c>
      <c r="C184" s="14">
        <v>43</v>
      </c>
      <c r="D184" s="13" t="s">
        <v>26</v>
      </c>
      <c r="E184" s="15" t="s">
        <v>123</v>
      </c>
      <c r="F184" s="16">
        <v>20500</v>
      </c>
      <c r="G184" s="17" t="s">
        <v>76</v>
      </c>
      <c r="H184" s="13" t="s">
        <v>105</v>
      </c>
      <c r="I184" s="18" t="s">
        <v>106</v>
      </c>
      <c r="J184" s="27">
        <v>56000</v>
      </c>
    </row>
    <row r="185" spans="1:10" x14ac:dyDescent="0.25">
      <c r="A185" s="23">
        <v>1102361472</v>
      </c>
      <c r="B185" s="7" t="s">
        <v>279</v>
      </c>
      <c r="C185" s="8">
        <v>19</v>
      </c>
      <c r="D185" s="7" t="s">
        <v>11</v>
      </c>
      <c r="E185" s="9" t="s">
        <v>40</v>
      </c>
      <c r="F185" s="10">
        <v>20500</v>
      </c>
      <c r="G185" s="11" t="s">
        <v>56</v>
      </c>
      <c r="H185" s="7" t="s">
        <v>79</v>
      </c>
      <c r="I185" s="12" t="s">
        <v>30</v>
      </c>
      <c r="J185" s="26">
        <v>57000</v>
      </c>
    </row>
    <row r="186" spans="1:10" x14ac:dyDescent="0.25">
      <c r="A186" s="24">
        <v>1098687096</v>
      </c>
      <c r="B186" s="13" t="s">
        <v>280</v>
      </c>
      <c r="C186" s="14">
        <v>32</v>
      </c>
      <c r="D186" s="13" t="s">
        <v>11</v>
      </c>
      <c r="E186" s="15" t="s">
        <v>75</v>
      </c>
      <c r="F186" s="16">
        <v>20500</v>
      </c>
      <c r="G186" s="17" t="s">
        <v>13</v>
      </c>
      <c r="H186" s="13" t="s">
        <v>182</v>
      </c>
      <c r="I186" s="18" t="s">
        <v>24</v>
      </c>
      <c r="J186" s="27">
        <v>86000</v>
      </c>
    </row>
    <row r="187" spans="1:10" x14ac:dyDescent="0.25">
      <c r="A187" s="23">
        <v>1095922446</v>
      </c>
      <c r="B187" s="7" t="s">
        <v>281</v>
      </c>
      <c r="C187" s="8">
        <v>24</v>
      </c>
      <c r="D187" s="7" t="s">
        <v>11</v>
      </c>
      <c r="E187" s="9" t="s">
        <v>47</v>
      </c>
      <c r="F187" s="10">
        <v>9600</v>
      </c>
      <c r="G187" s="11" t="s">
        <v>33</v>
      </c>
      <c r="H187" s="7" t="s">
        <v>41</v>
      </c>
      <c r="I187" s="12" t="s">
        <v>30</v>
      </c>
      <c r="J187" s="26">
        <v>76000</v>
      </c>
    </row>
    <row r="188" spans="1:10" x14ac:dyDescent="0.25">
      <c r="A188" s="24">
        <v>1098677915</v>
      </c>
      <c r="B188" s="13" t="s">
        <v>282</v>
      </c>
      <c r="C188" s="14">
        <v>43</v>
      </c>
      <c r="D188" s="13" t="s">
        <v>11</v>
      </c>
      <c r="E188" s="15" t="s">
        <v>220</v>
      </c>
      <c r="F188" s="16">
        <v>9600</v>
      </c>
      <c r="G188" s="17" t="s">
        <v>56</v>
      </c>
      <c r="H188" s="13" t="s">
        <v>57</v>
      </c>
      <c r="I188" s="18" t="s">
        <v>15</v>
      </c>
      <c r="J188" s="27">
        <v>60000</v>
      </c>
    </row>
    <row r="189" spans="1:10" x14ac:dyDescent="0.25">
      <c r="A189" s="24">
        <v>1098695049</v>
      </c>
      <c r="B189" s="13" t="s">
        <v>283</v>
      </c>
      <c r="C189" s="14">
        <v>52</v>
      </c>
      <c r="D189" s="13" t="s">
        <v>11</v>
      </c>
      <c r="E189" s="15" t="s">
        <v>50</v>
      </c>
      <c r="F189" s="16">
        <v>9600</v>
      </c>
      <c r="G189" s="17" t="s">
        <v>28</v>
      </c>
      <c r="H189" s="13" t="s">
        <v>52</v>
      </c>
      <c r="I189" s="18" t="s">
        <v>53</v>
      </c>
      <c r="J189" s="27">
        <v>62000</v>
      </c>
    </row>
    <row r="190" spans="1:10" x14ac:dyDescent="0.25">
      <c r="A190" s="23">
        <v>1098676724</v>
      </c>
      <c r="B190" s="7" t="s">
        <v>284</v>
      </c>
      <c r="C190" s="8">
        <v>34</v>
      </c>
      <c r="D190" s="7" t="s">
        <v>11</v>
      </c>
      <c r="E190" s="9" t="s">
        <v>55</v>
      </c>
      <c r="F190" s="10">
        <v>9600</v>
      </c>
      <c r="G190" s="11" t="s">
        <v>33</v>
      </c>
      <c r="H190" s="7" t="s">
        <v>59</v>
      </c>
      <c r="I190" s="12" t="s">
        <v>35</v>
      </c>
      <c r="J190" s="26">
        <v>70000</v>
      </c>
    </row>
    <row r="191" spans="1:10" x14ac:dyDescent="0.25">
      <c r="A191" s="24">
        <v>1098617202</v>
      </c>
      <c r="B191" s="13" t="s">
        <v>285</v>
      </c>
      <c r="C191" s="14">
        <v>38</v>
      </c>
      <c r="D191" s="13" t="s">
        <v>11</v>
      </c>
      <c r="E191" s="15" t="s">
        <v>43</v>
      </c>
      <c r="F191" s="16">
        <v>9600</v>
      </c>
      <c r="G191" s="17" t="s">
        <v>56</v>
      </c>
      <c r="H191" s="13" t="s">
        <v>62</v>
      </c>
      <c r="I191" s="18" t="s">
        <v>24</v>
      </c>
      <c r="J191" s="27">
        <v>72000</v>
      </c>
    </row>
    <row r="192" spans="1:10" x14ac:dyDescent="0.25">
      <c r="A192" s="23">
        <v>1019003163</v>
      </c>
      <c r="B192" s="7" t="s">
        <v>286</v>
      </c>
      <c r="C192" s="8">
        <v>19</v>
      </c>
      <c r="D192" s="7" t="s">
        <v>26</v>
      </c>
      <c r="E192" s="9" t="s">
        <v>81</v>
      </c>
      <c r="F192" s="10">
        <v>7600</v>
      </c>
      <c r="G192" s="11" t="s">
        <v>66</v>
      </c>
      <c r="H192" s="7" t="s">
        <v>93</v>
      </c>
      <c r="I192" s="12" t="s">
        <v>20</v>
      </c>
      <c r="J192" s="26">
        <v>82000</v>
      </c>
    </row>
    <row r="193" spans="1:10" x14ac:dyDescent="0.25">
      <c r="A193" s="24">
        <v>80227422</v>
      </c>
      <c r="B193" s="13" t="s">
        <v>117</v>
      </c>
      <c r="C193" s="14">
        <v>41</v>
      </c>
      <c r="D193" s="13" t="s">
        <v>26</v>
      </c>
      <c r="E193" s="15" t="s">
        <v>143</v>
      </c>
      <c r="F193" s="16">
        <v>7600</v>
      </c>
      <c r="G193" s="17" t="s">
        <v>18</v>
      </c>
      <c r="H193" s="13" t="s">
        <v>162</v>
      </c>
      <c r="I193" s="18" t="s">
        <v>35</v>
      </c>
      <c r="J193" s="27">
        <v>58000</v>
      </c>
    </row>
    <row r="194" spans="1:10" x14ac:dyDescent="0.25">
      <c r="A194" s="24">
        <v>1098608926</v>
      </c>
      <c r="B194" s="13" t="s">
        <v>287</v>
      </c>
      <c r="C194" s="14">
        <v>23</v>
      </c>
      <c r="D194" s="13" t="s">
        <v>11</v>
      </c>
      <c r="E194" s="15" t="s">
        <v>112</v>
      </c>
      <c r="F194" s="16">
        <v>7600</v>
      </c>
      <c r="G194" s="17" t="s">
        <v>13</v>
      </c>
      <c r="H194" s="13" t="s">
        <v>62</v>
      </c>
      <c r="I194" s="18" t="s">
        <v>24</v>
      </c>
      <c r="J194" s="27">
        <v>66000</v>
      </c>
    </row>
    <row r="195" spans="1:10" x14ac:dyDescent="0.25">
      <c r="A195" s="23">
        <v>37551131</v>
      </c>
      <c r="B195" s="7" t="s">
        <v>288</v>
      </c>
      <c r="C195" s="8">
        <v>52</v>
      </c>
      <c r="D195" s="7" t="s">
        <v>11</v>
      </c>
      <c r="E195" s="9" t="s">
        <v>12</v>
      </c>
      <c r="F195" s="10">
        <v>7600</v>
      </c>
      <c r="G195" s="11" t="s">
        <v>18</v>
      </c>
      <c r="H195" s="7" t="s">
        <v>70</v>
      </c>
      <c r="I195" s="12" t="s">
        <v>30</v>
      </c>
      <c r="J195" s="26">
        <v>66000</v>
      </c>
    </row>
    <row r="196" spans="1:10" x14ac:dyDescent="0.25">
      <c r="A196" s="24">
        <v>28155760</v>
      </c>
      <c r="B196" s="13" t="s">
        <v>289</v>
      </c>
      <c r="C196" s="14">
        <v>43</v>
      </c>
      <c r="D196" s="13" t="s">
        <v>11</v>
      </c>
      <c r="E196" s="15" t="s">
        <v>17</v>
      </c>
      <c r="F196" s="16">
        <v>7600</v>
      </c>
      <c r="G196" s="17" t="s">
        <v>38</v>
      </c>
      <c r="H196" s="13" t="s">
        <v>19</v>
      </c>
      <c r="I196" s="18" t="s">
        <v>20</v>
      </c>
      <c r="J196" s="27">
        <v>77000</v>
      </c>
    </row>
    <row r="197" spans="1:10" x14ac:dyDescent="0.25">
      <c r="A197" s="23">
        <v>63555692</v>
      </c>
      <c r="B197" s="7" t="s">
        <v>290</v>
      </c>
      <c r="C197" s="8">
        <v>28</v>
      </c>
      <c r="D197" s="7" t="s">
        <v>11</v>
      </c>
      <c r="E197" s="9" t="s">
        <v>55</v>
      </c>
      <c r="F197" s="10">
        <v>7600</v>
      </c>
      <c r="G197" s="11" t="s">
        <v>51</v>
      </c>
      <c r="H197" s="7" t="s">
        <v>67</v>
      </c>
      <c r="I197" s="12" t="s">
        <v>53</v>
      </c>
      <c r="J197" s="26">
        <v>78000</v>
      </c>
    </row>
    <row r="198" spans="1:10" x14ac:dyDescent="0.25">
      <c r="A198" s="24">
        <v>37514242</v>
      </c>
      <c r="B198" s="13" t="s">
        <v>291</v>
      </c>
      <c r="C198" s="14">
        <v>23</v>
      </c>
      <c r="D198" s="13" t="s">
        <v>11</v>
      </c>
      <c r="E198" s="15" t="s">
        <v>61</v>
      </c>
      <c r="F198" s="16">
        <v>7600</v>
      </c>
      <c r="G198" s="17" t="s">
        <v>18</v>
      </c>
      <c r="H198" s="13" t="s">
        <v>70</v>
      </c>
      <c r="I198" s="18" t="s">
        <v>30</v>
      </c>
      <c r="J198" s="27">
        <v>77000</v>
      </c>
    </row>
    <row r="199" spans="1:10" x14ac:dyDescent="0.25">
      <c r="A199" s="24">
        <v>37618003</v>
      </c>
      <c r="B199" s="13" t="s">
        <v>292</v>
      </c>
      <c r="C199" s="14">
        <v>45</v>
      </c>
      <c r="D199" s="13" t="s">
        <v>11</v>
      </c>
      <c r="E199" s="15" t="s">
        <v>248</v>
      </c>
      <c r="F199" s="16">
        <v>9400</v>
      </c>
      <c r="G199" s="17" t="s">
        <v>18</v>
      </c>
      <c r="H199" s="13" t="s">
        <v>23</v>
      </c>
      <c r="I199" s="18" t="s">
        <v>24</v>
      </c>
      <c r="J199" s="27">
        <v>76000</v>
      </c>
    </row>
    <row r="200" spans="1:10" x14ac:dyDescent="0.25">
      <c r="A200" s="23">
        <v>63451716</v>
      </c>
      <c r="B200" s="7" t="s">
        <v>293</v>
      </c>
      <c r="C200" s="8">
        <v>56</v>
      </c>
      <c r="D200" s="7" t="s">
        <v>11</v>
      </c>
      <c r="E200" s="9" t="s">
        <v>40</v>
      </c>
      <c r="F200" s="10">
        <v>9400</v>
      </c>
      <c r="G200" s="11" t="s">
        <v>33</v>
      </c>
      <c r="H200" s="7" t="s">
        <v>59</v>
      </c>
      <c r="I200" s="12" t="s">
        <v>35</v>
      </c>
      <c r="J200" s="26">
        <v>66000</v>
      </c>
    </row>
    <row r="201" spans="1:10" x14ac:dyDescent="0.25">
      <c r="A201" s="24">
        <v>1098646952</v>
      </c>
      <c r="B201" s="13" t="s">
        <v>294</v>
      </c>
      <c r="C201" s="14">
        <v>21</v>
      </c>
      <c r="D201" s="13" t="s">
        <v>11</v>
      </c>
      <c r="E201" s="15" t="s">
        <v>32</v>
      </c>
      <c r="F201" s="16">
        <v>9400</v>
      </c>
      <c r="G201" s="17" t="s">
        <v>38</v>
      </c>
      <c r="H201" s="13" t="s">
        <v>23</v>
      </c>
      <c r="I201" s="18" t="s">
        <v>24</v>
      </c>
      <c r="J201" s="27">
        <v>73000</v>
      </c>
    </row>
    <row r="202" spans="1:10" x14ac:dyDescent="0.25">
      <c r="A202" s="23">
        <v>63528899</v>
      </c>
      <c r="B202" s="7" t="s">
        <v>295</v>
      </c>
      <c r="C202" s="8">
        <v>37</v>
      </c>
      <c r="D202" s="7" t="s">
        <v>11</v>
      </c>
      <c r="E202" s="9" t="s">
        <v>40</v>
      </c>
      <c r="F202" s="10">
        <v>9400</v>
      </c>
      <c r="G202" s="11" t="s">
        <v>18</v>
      </c>
      <c r="H202" s="7" t="s">
        <v>34</v>
      </c>
      <c r="I202" s="12" t="s">
        <v>35</v>
      </c>
      <c r="J202" s="26">
        <v>60000</v>
      </c>
    </row>
    <row r="203" spans="1:10" x14ac:dyDescent="0.25">
      <c r="A203" s="24">
        <v>1098665498</v>
      </c>
      <c r="B203" s="13" t="s">
        <v>296</v>
      </c>
      <c r="C203" s="14">
        <v>43</v>
      </c>
      <c r="D203" s="13" t="s">
        <v>11</v>
      </c>
      <c r="E203" s="15" t="s">
        <v>75</v>
      </c>
      <c r="F203" s="16">
        <v>9400</v>
      </c>
      <c r="G203" s="17" t="s">
        <v>13</v>
      </c>
      <c r="H203" s="13" t="s">
        <v>73</v>
      </c>
      <c r="I203" s="18" t="s">
        <v>30</v>
      </c>
      <c r="J203" s="27">
        <v>60000</v>
      </c>
    </row>
    <row r="204" spans="1:10" x14ac:dyDescent="0.25">
      <c r="A204" s="24">
        <v>38644053</v>
      </c>
      <c r="B204" s="13" t="s">
        <v>297</v>
      </c>
      <c r="C204" s="14">
        <v>39</v>
      </c>
      <c r="D204" s="13" t="s">
        <v>11</v>
      </c>
      <c r="E204" s="15" t="s">
        <v>131</v>
      </c>
      <c r="F204" s="16">
        <v>9400</v>
      </c>
      <c r="G204" s="17" t="s">
        <v>76</v>
      </c>
      <c r="H204" s="13" t="s">
        <v>105</v>
      </c>
      <c r="I204" s="18" t="s">
        <v>106</v>
      </c>
      <c r="J204" s="27">
        <v>64000</v>
      </c>
    </row>
    <row r="205" spans="1:10" x14ac:dyDescent="0.25">
      <c r="A205" s="23">
        <v>55222866</v>
      </c>
      <c r="B205" s="7" t="s">
        <v>298</v>
      </c>
      <c r="C205" s="8">
        <v>17</v>
      </c>
      <c r="D205" s="7" t="s">
        <v>11</v>
      </c>
      <c r="E205" s="9" t="s">
        <v>72</v>
      </c>
      <c r="F205" s="10">
        <v>9400</v>
      </c>
      <c r="G205" s="11" t="s">
        <v>33</v>
      </c>
      <c r="H205" s="7" t="s">
        <v>34</v>
      </c>
      <c r="I205" s="12" t="s">
        <v>35</v>
      </c>
      <c r="J205" s="26">
        <v>89000</v>
      </c>
    </row>
    <row r="206" spans="1:10" x14ac:dyDescent="0.25">
      <c r="A206" s="24">
        <v>13923427</v>
      </c>
      <c r="B206" s="13" t="s">
        <v>299</v>
      </c>
      <c r="C206" s="14">
        <v>60</v>
      </c>
      <c r="D206" s="13" t="s">
        <v>26</v>
      </c>
      <c r="E206" s="15" t="s">
        <v>123</v>
      </c>
      <c r="F206" s="16">
        <v>20500</v>
      </c>
      <c r="G206" s="17" t="s">
        <v>33</v>
      </c>
      <c r="H206" s="13" t="s">
        <v>86</v>
      </c>
      <c r="I206" s="18" t="s">
        <v>87</v>
      </c>
      <c r="J206" s="27">
        <v>70000</v>
      </c>
    </row>
    <row r="207" spans="1:10" x14ac:dyDescent="0.25">
      <c r="A207" s="23">
        <v>1095798612</v>
      </c>
      <c r="B207" s="7" t="s">
        <v>300</v>
      </c>
      <c r="C207" s="8">
        <v>51</v>
      </c>
      <c r="D207" s="7" t="s">
        <v>26</v>
      </c>
      <c r="E207" s="9" t="s">
        <v>69</v>
      </c>
      <c r="F207" s="10">
        <v>20500</v>
      </c>
      <c r="G207" s="11" t="s">
        <v>13</v>
      </c>
      <c r="H207" s="7" t="s">
        <v>182</v>
      </c>
      <c r="I207" s="12" t="s">
        <v>24</v>
      </c>
      <c r="J207" s="26">
        <v>73000</v>
      </c>
    </row>
    <row r="208" spans="1:10" x14ac:dyDescent="0.25">
      <c r="A208" s="24">
        <v>1098683151</v>
      </c>
      <c r="B208" s="13" t="s">
        <v>301</v>
      </c>
      <c r="C208" s="14">
        <v>30</v>
      </c>
      <c r="D208" s="13" t="s">
        <v>11</v>
      </c>
      <c r="E208" s="15" t="s">
        <v>40</v>
      </c>
      <c r="F208" s="16">
        <v>20500</v>
      </c>
      <c r="G208" s="17" t="s">
        <v>18</v>
      </c>
      <c r="H208" s="13" t="s">
        <v>41</v>
      </c>
      <c r="I208" s="18" t="s">
        <v>30</v>
      </c>
      <c r="J208" s="27">
        <v>66000</v>
      </c>
    </row>
    <row r="209" spans="1:10" x14ac:dyDescent="0.25">
      <c r="A209" s="24">
        <v>37617013</v>
      </c>
      <c r="B209" s="13" t="s">
        <v>302</v>
      </c>
      <c r="C209" s="14">
        <v>43</v>
      </c>
      <c r="D209" s="13" t="s">
        <v>11</v>
      </c>
      <c r="E209" s="15" t="s">
        <v>61</v>
      </c>
      <c r="F209" s="16">
        <v>20500</v>
      </c>
      <c r="G209" s="17" t="s">
        <v>33</v>
      </c>
      <c r="H209" s="13" t="s">
        <v>86</v>
      </c>
      <c r="I209" s="18" t="s">
        <v>87</v>
      </c>
      <c r="J209" s="27">
        <v>65000</v>
      </c>
    </row>
    <row r="210" spans="1:10" x14ac:dyDescent="0.25">
      <c r="A210" s="23">
        <v>1098625671</v>
      </c>
      <c r="B210" s="7" t="s">
        <v>303</v>
      </c>
      <c r="C210" s="8">
        <v>21</v>
      </c>
      <c r="D210" s="7" t="s">
        <v>11</v>
      </c>
      <c r="E210" s="9" t="s">
        <v>12</v>
      </c>
      <c r="F210" s="10">
        <v>20500</v>
      </c>
      <c r="G210" s="11" t="s">
        <v>56</v>
      </c>
      <c r="H210" s="7" t="s">
        <v>14</v>
      </c>
      <c r="I210" s="12" t="s">
        <v>15</v>
      </c>
      <c r="J210" s="26">
        <v>85000</v>
      </c>
    </row>
    <row r="211" spans="1:10" x14ac:dyDescent="0.25">
      <c r="A211" s="24">
        <v>1088269543</v>
      </c>
      <c r="B211" s="13" t="s">
        <v>304</v>
      </c>
      <c r="C211" s="14">
        <v>27</v>
      </c>
      <c r="D211" s="13" t="s">
        <v>11</v>
      </c>
      <c r="E211" s="15" t="s">
        <v>50</v>
      </c>
      <c r="F211" s="16">
        <v>12342</v>
      </c>
      <c r="G211" s="17" t="s">
        <v>18</v>
      </c>
      <c r="H211" s="13" t="s">
        <v>127</v>
      </c>
      <c r="I211" s="18" t="s">
        <v>45</v>
      </c>
      <c r="J211" s="27">
        <v>59000</v>
      </c>
    </row>
    <row r="212" spans="1:10" x14ac:dyDescent="0.25">
      <c r="A212" s="23">
        <v>1098691554</v>
      </c>
      <c r="B212" s="7" t="s">
        <v>305</v>
      </c>
      <c r="C212" s="8">
        <v>39</v>
      </c>
      <c r="D212" s="7" t="s">
        <v>11</v>
      </c>
      <c r="E212" s="9" t="s">
        <v>50</v>
      </c>
      <c r="F212" s="10">
        <v>17037</v>
      </c>
      <c r="G212" s="11" t="s">
        <v>18</v>
      </c>
      <c r="H212" s="7" t="s">
        <v>127</v>
      </c>
      <c r="I212" s="12" t="s">
        <v>45</v>
      </c>
      <c r="J212" s="26">
        <v>50000</v>
      </c>
    </row>
    <row r="213" spans="1:10" x14ac:dyDescent="0.25">
      <c r="A213" s="24">
        <v>1095788374</v>
      </c>
      <c r="B213" s="13" t="s">
        <v>306</v>
      </c>
      <c r="C213" s="14">
        <v>33</v>
      </c>
      <c r="D213" s="13" t="s">
        <v>11</v>
      </c>
      <c r="E213" s="15" t="s">
        <v>50</v>
      </c>
      <c r="F213" s="16">
        <v>12300</v>
      </c>
      <c r="G213" s="17" t="s">
        <v>51</v>
      </c>
      <c r="H213" s="13" t="s">
        <v>52</v>
      </c>
      <c r="I213" s="18" t="s">
        <v>53</v>
      </c>
      <c r="J213" s="27">
        <v>55000</v>
      </c>
    </row>
    <row r="214" spans="1:10" x14ac:dyDescent="0.25">
      <c r="A214" s="24">
        <v>37726313</v>
      </c>
      <c r="B214" s="13" t="s">
        <v>307</v>
      </c>
      <c r="C214" s="14">
        <v>37</v>
      </c>
      <c r="D214" s="13" t="s">
        <v>11</v>
      </c>
      <c r="E214" s="15" t="s">
        <v>61</v>
      </c>
      <c r="F214" s="16">
        <v>12300</v>
      </c>
      <c r="G214" s="17" t="s">
        <v>76</v>
      </c>
      <c r="H214" s="13" t="s">
        <v>73</v>
      </c>
      <c r="I214" s="18" t="s">
        <v>30</v>
      </c>
      <c r="J214" s="27">
        <v>57000</v>
      </c>
    </row>
    <row r="215" spans="1:10" x14ac:dyDescent="0.25">
      <c r="A215" s="23">
        <v>63503693</v>
      </c>
      <c r="B215" s="7" t="s">
        <v>308</v>
      </c>
      <c r="C215" s="8">
        <v>61</v>
      </c>
      <c r="D215" s="7" t="s">
        <v>11</v>
      </c>
      <c r="E215" s="9" t="s">
        <v>43</v>
      </c>
      <c r="F215" s="10">
        <v>12300</v>
      </c>
      <c r="G215" s="11" t="s">
        <v>76</v>
      </c>
      <c r="H215" s="7" t="s">
        <v>44</v>
      </c>
      <c r="I215" s="12" t="s">
        <v>45</v>
      </c>
      <c r="J215" s="26">
        <v>86000</v>
      </c>
    </row>
    <row r="216" spans="1:10" x14ac:dyDescent="0.25">
      <c r="A216" s="24">
        <v>1098673576</v>
      </c>
      <c r="B216" s="13" t="s">
        <v>309</v>
      </c>
      <c r="C216" s="14">
        <v>43</v>
      </c>
      <c r="D216" s="13" t="s">
        <v>11</v>
      </c>
      <c r="E216" s="15" t="s">
        <v>61</v>
      </c>
      <c r="F216" s="16">
        <v>12300</v>
      </c>
      <c r="G216" s="17" t="s">
        <v>33</v>
      </c>
      <c r="H216" s="13" t="s">
        <v>59</v>
      </c>
      <c r="I216" s="18" t="s">
        <v>35</v>
      </c>
      <c r="J216" s="27">
        <v>59000</v>
      </c>
    </row>
    <row r="217" spans="1:10" x14ac:dyDescent="0.25">
      <c r="A217" s="23">
        <v>1098615613</v>
      </c>
      <c r="B217" s="7" t="s">
        <v>310</v>
      </c>
      <c r="C217" s="8">
        <v>34</v>
      </c>
      <c r="D217" s="7" t="s">
        <v>26</v>
      </c>
      <c r="E217" s="9" t="s">
        <v>43</v>
      </c>
      <c r="F217" s="10">
        <v>12300</v>
      </c>
      <c r="G217" s="11" t="s">
        <v>33</v>
      </c>
      <c r="H217" s="7" t="s">
        <v>86</v>
      </c>
      <c r="I217" s="12" t="s">
        <v>87</v>
      </c>
      <c r="J217" s="26">
        <v>52000</v>
      </c>
    </row>
    <row r="218" spans="1:10" x14ac:dyDescent="0.25">
      <c r="A218" s="24">
        <v>1098681804</v>
      </c>
      <c r="B218" s="13" t="s">
        <v>311</v>
      </c>
      <c r="C218" s="14">
        <v>22</v>
      </c>
      <c r="D218" s="13" t="s">
        <v>26</v>
      </c>
      <c r="E218" s="15" t="s">
        <v>50</v>
      </c>
      <c r="F218" s="16">
        <v>7500</v>
      </c>
      <c r="G218" s="17" t="s">
        <v>76</v>
      </c>
      <c r="H218" s="13" t="s">
        <v>174</v>
      </c>
      <c r="I218" s="18" t="s">
        <v>87</v>
      </c>
      <c r="J218" s="27">
        <v>75000</v>
      </c>
    </row>
    <row r="219" spans="1:10" x14ac:dyDescent="0.25">
      <c r="A219" s="24">
        <v>43168539</v>
      </c>
      <c r="B219" s="13" t="s">
        <v>312</v>
      </c>
      <c r="C219" s="14">
        <v>53</v>
      </c>
      <c r="D219" s="13" t="s">
        <v>11</v>
      </c>
      <c r="E219" s="15" t="s">
        <v>12</v>
      </c>
      <c r="F219" s="16">
        <v>7500</v>
      </c>
      <c r="G219" s="17" t="s">
        <v>13</v>
      </c>
      <c r="H219" s="13" t="s">
        <v>14</v>
      </c>
      <c r="I219" s="18" t="s">
        <v>15</v>
      </c>
      <c r="J219" s="27">
        <v>66000</v>
      </c>
    </row>
    <row r="220" spans="1:10" x14ac:dyDescent="0.25">
      <c r="A220" s="23">
        <v>1095800033</v>
      </c>
      <c r="B220" s="7" t="s">
        <v>313</v>
      </c>
      <c r="C220" s="8">
        <v>60</v>
      </c>
      <c r="D220" s="7" t="s">
        <v>11</v>
      </c>
      <c r="E220" s="9" t="s">
        <v>81</v>
      </c>
      <c r="F220" s="10">
        <v>7500</v>
      </c>
      <c r="G220" s="11" t="s">
        <v>56</v>
      </c>
      <c r="H220" s="7" t="s">
        <v>44</v>
      </c>
      <c r="I220" s="12" t="s">
        <v>45</v>
      </c>
      <c r="J220" s="26">
        <v>74000</v>
      </c>
    </row>
    <row r="221" spans="1:10" x14ac:dyDescent="0.25">
      <c r="A221" s="24">
        <v>1098696557</v>
      </c>
      <c r="B221" s="13" t="s">
        <v>314</v>
      </c>
      <c r="C221" s="14">
        <v>19</v>
      </c>
      <c r="D221" s="13" t="s">
        <v>11</v>
      </c>
      <c r="E221" s="15" t="s">
        <v>315</v>
      </c>
      <c r="F221" s="16">
        <v>7500</v>
      </c>
      <c r="G221" s="17" t="s">
        <v>76</v>
      </c>
      <c r="H221" s="13" t="s">
        <v>79</v>
      </c>
      <c r="I221" s="18" t="s">
        <v>30</v>
      </c>
      <c r="J221" s="27">
        <v>64000</v>
      </c>
    </row>
    <row r="222" spans="1:10" x14ac:dyDescent="0.25">
      <c r="A222" s="23">
        <v>1095789394</v>
      </c>
      <c r="B222" s="7" t="s">
        <v>316</v>
      </c>
      <c r="C222" s="8">
        <v>36</v>
      </c>
      <c r="D222" s="7" t="s">
        <v>11</v>
      </c>
      <c r="E222" s="9" t="s">
        <v>50</v>
      </c>
      <c r="F222" s="10">
        <v>7500</v>
      </c>
      <c r="G222" s="11" t="s">
        <v>66</v>
      </c>
      <c r="H222" s="7" t="s">
        <v>52</v>
      </c>
      <c r="I222" s="12" t="s">
        <v>53</v>
      </c>
      <c r="J222" s="26">
        <v>71000</v>
      </c>
    </row>
    <row r="223" spans="1:10" x14ac:dyDescent="0.25">
      <c r="A223" s="24">
        <v>65558867</v>
      </c>
      <c r="B223" s="13" t="s">
        <v>317</v>
      </c>
      <c r="C223" s="14">
        <v>21</v>
      </c>
      <c r="D223" s="13" t="s">
        <v>11</v>
      </c>
      <c r="E223" s="15" t="s">
        <v>50</v>
      </c>
      <c r="F223" s="16">
        <v>7500</v>
      </c>
      <c r="G223" s="17" t="s">
        <v>18</v>
      </c>
      <c r="H223" s="13" t="s">
        <v>127</v>
      </c>
      <c r="I223" s="18" t="s">
        <v>45</v>
      </c>
      <c r="J223" s="27">
        <v>71000</v>
      </c>
    </row>
    <row r="224" spans="1:10" x14ac:dyDescent="0.25">
      <c r="A224" s="24">
        <v>1096482853</v>
      </c>
      <c r="B224" s="13" t="s">
        <v>318</v>
      </c>
      <c r="C224" s="14">
        <v>24</v>
      </c>
      <c r="D224" s="13" t="s">
        <v>11</v>
      </c>
      <c r="E224" s="15" t="s">
        <v>50</v>
      </c>
      <c r="F224" s="16">
        <v>7500</v>
      </c>
      <c r="G224" s="17" t="s">
        <v>28</v>
      </c>
      <c r="H224" s="13" t="s">
        <v>52</v>
      </c>
      <c r="I224" s="18" t="s">
        <v>53</v>
      </c>
      <c r="J224" s="27">
        <v>62000</v>
      </c>
    </row>
    <row r="225" spans="1:10" x14ac:dyDescent="0.25">
      <c r="A225" s="23">
        <v>1098647231</v>
      </c>
      <c r="B225" s="7" t="s">
        <v>319</v>
      </c>
      <c r="C225" s="8">
        <v>42</v>
      </c>
      <c r="D225" s="7" t="s">
        <v>26</v>
      </c>
      <c r="E225" s="9" t="s">
        <v>61</v>
      </c>
      <c r="F225" s="10">
        <v>7500</v>
      </c>
      <c r="G225" s="11" t="s">
        <v>13</v>
      </c>
      <c r="H225" s="7" t="s">
        <v>182</v>
      </c>
      <c r="I225" s="12" t="s">
        <v>24</v>
      </c>
      <c r="J225" s="26">
        <v>67000</v>
      </c>
    </row>
    <row r="226" spans="1:10" x14ac:dyDescent="0.25">
      <c r="A226" s="24">
        <v>1098633611</v>
      </c>
      <c r="B226" s="13" t="s">
        <v>320</v>
      </c>
      <c r="C226" s="14">
        <v>43</v>
      </c>
      <c r="D226" s="13" t="s">
        <v>11</v>
      </c>
      <c r="E226" s="15" t="s">
        <v>129</v>
      </c>
      <c r="F226" s="16">
        <v>7500</v>
      </c>
      <c r="G226" s="17" t="s">
        <v>28</v>
      </c>
      <c r="H226" s="13" t="s">
        <v>67</v>
      </c>
      <c r="I226" s="18" t="s">
        <v>53</v>
      </c>
      <c r="J226" s="27">
        <v>58000</v>
      </c>
    </row>
    <row r="227" spans="1:10" x14ac:dyDescent="0.25">
      <c r="A227" s="23">
        <v>63555306</v>
      </c>
      <c r="B227" s="7" t="s">
        <v>321</v>
      </c>
      <c r="C227" s="8">
        <v>50</v>
      </c>
      <c r="D227" s="7" t="s">
        <v>11</v>
      </c>
      <c r="E227" s="9" t="s">
        <v>61</v>
      </c>
      <c r="F227" s="10">
        <v>10600</v>
      </c>
      <c r="G227" s="11" t="s">
        <v>76</v>
      </c>
      <c r="H227" s="7" t="s">
        <v>95</v>
      </c>
      <c r="I227" s="12" t="s">
        <v>45</v>
      </c>
      <c r="J227" s="26">
        <v>71000</v>
      </c>
    </row>
    <row r="228" spans="1:10" x14ac:dyDescent="0.25">
      <c r="A228" s="24">
        <v>1098622533</v>
      </c>
      <c r="B228" s="13" t="s">
        <v>322</v>
      </c>
      <c r="C228" s="14">
        <v>23</v>
      </c>
      <c r="D228" s="13" t="s">
        <v>11</v>
      </c>
      <c r="E228" s="15" t="s">
        <v>116</v>
      </c>
      <c r="F228" s="16">
        <v>10600</v>
      </c>
      <c r="G228" s="17" t="s">
        <v>51</v>
      </c>
      <c r="H228" s="13" t="s">
        <v>252</v>
      </c>
      <c r="I228" s="18" t="s">
        <v>106</v>
      </c>
      <c r="J228" s="27">
        <v>68000</v>
      </c>
    </row>
    <row r="229" spans="1:10" x14ac:dyDescent="0.25">
      <c r="A229" s="24">
        <v>63493553</v>
      </c>
      <c r="B229" s="13" t="s">
        <v>323</v>
      </c>
      <c r="C229" s="14">
        <v>41</v>
      </c>
      <c r="D229" s="13" t="s">
        <v>11</v>
      </c>
      <c r="E229" s="15" t="s">
        <v>50</v>
      </c>
      <c r="F229" s="16">
        <v>10600</v>
      </c>
      <c r="G229" s="17" t="s">
        <v>18</v>
      </c>
      <c r="H229" s="13" t="s">
        <v>19</v>
      </c>
      <c r="I229" s="18" t="s">
        <v>20</v>
      </c>
      <c r="J229" s="27">
        <v>71000</v>
      </c>
    </row>
    <row r="230" spans="1:10" x14ac:dyDescent="0.25">
      <c r="A230" s="23">
        <v>1098628529</v>
      </c>
      <c r="B230" s="7" t="s">
        <v>324</v>
      </c>
      <c r="C230" s="8">
        <v>43</v>
      </c>
      <c r="D230" s="7" t="s">
        <v>11</v>
      </c>
      <c r="E230" s="9" t="s">
        <v>61</v>
      </c>
      <c r="F230" s="10">
        <v>10600</v>
      </c>
      <c r="G230" s="11" t="s">
        <v>56</v>
      </c>
      <c r="H230" s="7" t="s">
        <v>73</v>
      </c>
      <c r="I230" s="12" t="s">
        <v>30</v>
      </c>
      <c r="J230" s="26">
        <v>80000</v>
      </c>
    </row>
    <row r="231" spans="1:10" x14ac:dyDescent="0.25">
      <c r="A231" s="24">
        <v>1098608378</v>
      </c>
      <c r="B231" s="13" t="s">
        <v>325</v>
      </c>
      <c r="C231" s="14">
        <v>27</v>
      </c>
      <c r="D231" s="13" t="s">
        <v>11</v>
      </c>
      <c r="E231" s="15" t="s">
        <v>234</v>
      </c>
      <c r="F231" s="16">
        <v>10600</v>
      </c>
      <c r="G231" s="17" t="s">
        <v>66</v>
      </c>
      <c r="H231" s="13" t="s">
        <v>140</v>
      </c>
      <c r="I231" s="18" t="s">
        <v>24</v>
      </c>
      <c r="J231" s="27">
        <v>60000</v>
      </c>
    </row>
    <row r="232" spans="1:10" x14ac:dyDescent="0.25">
      <c r="A232" s="23">
        <v>91018239</v>
      </c>
      <c r="B232" s="7" t="s">
        <v>326</v>
      </c>
      <c r="C232" s="8">
        <v>31</v>
      </c>
      <c r="D232" s="7" t="s">
        <v>26</v>
      </c>
      <c r="E232" s="9" t="s">
        <v>50</v>
      </c>
      <c r="F232" s="10">
        <v>10600</v>
      </c>
      <c r="G232" s="11" t="s">
        <v>56</v>
      </c>
      <c r="H232" s="7" t="s">
        <v>174</v>
      </c>
      <c r="I232" s="12" t="s">
        <v>87</v>
      </c>
      <c r="J232" s="26">
        <v>55000</v>
      </c>
    </row>
    <row r="233" spans="1:10" x14ac:dyDescent="0.25">
      <c r="A233" s="24">
        <v>1096948800</v>
      </c>
      <c r="B233" s="13" t="s">
        <v>327</v>
      </c>
      <c r="C233" s="14">
        <v>37</v>
      </c>
      <c r="D233" s="13" t="s">
        <v>26</v>
      </c>
      <c r="E233" s="15" t="s">
        <v>129</v>
      </c>
      <c r="F233" s="16">
        <v>10600</v>
      </c>
      <c r="G233" s="17" t="s">
        <v>33</v>
      </c>
      <c r="H233" s="13" t="s">
        <v>117</v>
      </c>
      <c r="I233" s="18" t="s">
        <v>53</v>
      </c>
      <c r="J233" s="27">
        <v>73000</v>
      </c>
    </row>
    <row r="234" spans="1:10" x14ac:dyDescent="0.25">
      <c r="A234" s="24">
        <v>1102548363</v>
      </c>
      <c r="B234" s="13" t="s">
        <v>328</v>
      </c>
      <c r="C234" s="14">
        <v>60</v>
      </c>
      <c r="D234" s="13" t="s">
        <v>26</v>
      </c>
      <c r="E234" s="15" t="s">
        <v>12</v>
      </c>
      <c r="F234" s="16">
        <v>10600</v>
      </c>
      <c r="G234" s="17" t="s">
        <v>56</v>
      </c>
      <c r="H234" s="13" t="s">
        <v>14</v>
      </c>
      <c r="I234" s="18" t="s">
        <v>15</v>
      </c>
      <c r="J234" s="27">
        <v>84000</v>
      </c>
    </row>
    <row r="235" spans="1:10" x14ac:dyDescent="0.25">
      <c r="A235" s="23">
        <v>1098686933</v>
      </c>
      <c r="B235" s="7" t="s">
        <v>329</v>
      </c>
      <c r="C235" s="8">
        <v>52</v>
      </c>
      <c r="D235" s="7" t="s">
        <v>11</v>
      </c>
      <c r="E235" s="9" t="s">
        <v>61</v>
      </c>
      <c r="F235" s="10">
        <v>10600</v>
      </c>
      <c r="G235" s="11" t="s">
        <v>38</v>
      </c>
      <c r="H235" s="7" t="s">
        <v>70</v>
      </c>
      <c r="I235" s="12" t="s">
        <v>30</v>
      </c>
      <c r="J235" s="26">
        <v>58000</v>
      </c>
    </row>
    <row r="236" spans="1:10" x14ac:dyDescent="0.25">
      <c r="A236" s="24">
        <v>1095906352</v>
      </c>
      <c r="B236" s="13" t="s">
        <v>330</v>
      </c>
      <c r="C236" s="14">
        <v>19</v>
      </c>
      <c r="D236" s="13" t="s">
        <v>26</v>
      </c>
      <c r="E236" s="15" t="s">
        <v>32</v>
      </c>
      <c r="F236" s="16">
        <v>8500</v>
      </c>
      <c r="G236" s="17" t="s">
        <v>56</v>
      </c>
      <c r="H236" s="13" t="s">
        <v>62</v>
      </c>
      <c r="I236" s="18" t="s">
        <v>24</v>
      </c>
      <c r="J236" s="27">
        <v>79000</v>
      </c>
    </row>
    <row r="237" spans="1:10" x14ac:dyDescent="0.25">
      <c r="A237" s="23">
        <v>1095809282</v>
      </c>
      <c r="B237" s="7" t="s">
        <v>331</v>
      </c>
      <c r="C237" s="8">
        <v>31</v>
      </c>
      <c r="D237" s="7" t="s">
        <v>11</v>
      </c>
      <c r="E237" s="9" t="s">
        <v>97</v>
      </c>
      <c r="F237" s="10">
        <v>8500</v>
      </c>
      <c r="G237" s="11" t="s">
        <v>28</v>
      </c>
      <c r="H237" s="7" t="s">
        <v>67</v>
      </c>
      <c r="I237" s="12" t="s">
        <v>53</v>
      </c>
      <c r="J237" s="26">
        <v>57000</v>
      </c>
    </row>
    <row r="238" spans="1:10" x14ac:dyDescent="0.25">
      <c r="A238" s="24">
        <v>63555114</v>
      </c>
      <c r="B238" s="13" t="s">
        <v>332</v>
      </c>
      <c r="C238" s="14">
        <v>38</v>
      </c>
      <c r="D238" s="13" t="s">
        <v>11</v>
      </c>
      <c r="E238" s="15" t="s">
        <v>200</v>
      </c>
      <c r="F238" s="16">
        <v>8500</v>
      </c>
      <c r="G238" s="17" t="s">
        <v>18</v>
      </c>
      <c r="H238" s="13" t="s">
        <v>70</v>
      </c>
      <c r="I238" s="18" t="s">
        <v>30</v>
      </c>
      <c r="J238" s="27">
        <v>80000</v>
      </c>
    </row>
    <row r="239" spans="1:10" x14ac:dyDescent="0.25">
      <c r="A239" s="24">
        <v>63554968</v>
      </c>
      <c r="B239" s="13" t="s">
        <v>333</v>
      </c>
      <c r="C239" s="14">
        <v>41</v>
      </c>
      <c r="D239" s="13" t="s">
        <v>11</v>
      </c>
      <c r="E239" s="15" t="s">
        <v>131</v>
      </c>
      <c r="F239" s="16">
        <v>8500</v>
      </c>
      <c r="G239" s="17" t="s">
        <v>38</v>
      </c>
      <c r="H239" s="13" t="s">
        <v>86</v>
      </c>
      <c r="I239" s="18" t="s">
        <v>87</v>
      </c>
      <c r="J239" s="27">
        <v>64000</v>
      </c>
    </row>
    <row r="240" spans="1:10" x14ac:dyDescent="0.25">
      <c r="A240" s="23">
        <v>63530426</v>
      </c>
      <c r="B240" s="7" t="s">
        <v>334</v>
      </c>
      <c r="C240" s="8">
        <v>53</v>
      </c>
      <c r="D240" s="7" t="s">
        <v>11</v>
      </c>
      <c r="E240" s="9" t="s">
        <v>97</v>
      </c>
      <c r="F240" s="10">
        <v>8500</v>
      </c>
      <c r="G240" s="11" t="s">
        <v>76</v>
      </c>
      <c r="H240" s="7" t="s">
        <v>57</v>
      </c>
      <c r="I240" s="12" t="s">
        <v>15</v>
      </c>
      <c r="J240" s="26">
        <v>87000</v>
      </c>
    </row>
    <row r="241" spans="1:10" x14ac:dyDescent="0.25">
      <c r="A241" s="24">
        <v>91047510</v>
      </c>
      <c r="B241" s="13" t="s">
        <v>335</v>
      </c>
      <c r="C241" s="14">
        <v>19</v>
      </c>
      <c r="D241" s="13" t="s">
        <v>26</v>
      </c>
      <c r="E241" s="15" t="s">
        <v>148</v>
      </c>
      <c r="F241" s="16">
        <v>8500</v>
      </c>
      <c r="G241" s="17" t="s">
        <v>56</v>
      </c>
      <c r="H241" s="13" t="s">
        <v>57</v>
      </c>
      <c r="I241" s="18" t="s">
        <v>15</v>
      </c>
      <c r="J241" s="27">
        <v>72000</v>
      </c>
    </row>
    <row r="242" spans="1:10" x14ac:dyDescent="0.25">
      <c r="A242" s="23">
        <v>1098670921</v>
      </c>
      <c r="B242" s="7" t="s">
        <v>336</v>
      </c>
      <c r="C242" s="8">
        <v>50</v>
      </c>
      <c r="D242" s="7" t="s">
        <v>11</v>
      </c>
      <c r="E242" s="9" t="s">
        <v>69</v>
      </c>
      <c r="F242" s="10">
        <v>8500</v>
      </c>
      <c r="G242" s="11" t="s">
        <v>13</v>
      </c>
      <c r="H242" s="7" t="s">
        <v>48</v>
      </c>
      <c r="I242" s="12" t="s">
        <v>45</v>
      </c>
      <c r="J242" s="26">
        <v>72000</v>
      </c>
    </row>
    <row r="243" spans="1:10" x14ac:dyDescent="0.25">
      <c r="A243" s="24">
        <v>1098677939</v>
      </c>
      <c r="B243" s="13" t="s">
        <v>337</v>
      </c>
      <c r="C243" s="14">
        <v>22</v>
      </c>
      <c r="D243" s="13" t="s">
        <v>11</v>
      </c>
      <c r="E243" s="15" t="s">
        <v>338</v>
      </c>
      <c r="F243" s="16">
        <v>8500</v>
      </c>
      <c r="G243" s="17" t="s">
        <v>28</v>
      </c>
      <c r="H243" s="13" t="s">
        <v>252</v>
      </c>
      <c r="I243" s="18" t="s">
        <v>106</v>
      </c>
      <c r="J243" s="27">
        <v>57000</v>
      </c>
    </row>
    <row r="244" spans="1:10" x14ac:dyDescent="0.25">
      <c r="A244" s="24">
        <v>1098665040</v>
      </c>
      <c r="B244" s="13" t="s">
        <v>339</v>
      </c>
      <c r="C244" s="14">
        <v>19</v>
      </c>
      <c r="D244" s="13" t="s">
        <v>11</v>
      </c>
      <c r="E244" s="15" t="s">
        <v>123</v>
      </c>
      <c r="F244" s="16">
        <v>8500</v>
      </c>
      <c r="G244" s="17" t="s">
        <v>38</v>
      </c>
      <c r="H244" s="13" t="s">
        <v>86</v>
      </c>
      <c r="I244" s="18" t="s">
        <v>87</v>
      </c>
      <c r="J244" s="27">
        <v>76000</v>
      </c>
    </row>
    <row r="245" spans="1:10" x14ac:dyDescent="0.25">
      <c r="A245" s="23">
        <v>1098625411</v>
      </c>
      <c r="B245" s="7" t="s">
        <v>340</v>
      </c>
      <c r="C245" s="8">
        <v>20</v>
      </c>
      <c r="D245" s="7" t="s">
        <v>11</v>
      </c>
      <c r="E245" s="9" t="s">
        <v>143</v>
      </c>
      <c r="F245" s="10">
        <v>8500</v>
      </c>
      <c r="G245" s="11" t="s">
        <v>28</v>
      </c>
      <c r="H245" s="7" t="s">
        <v>93</v>
      </c>
      <c r="I245" s="12" t="s">
        <v>20</v>
      </c>
      <c r="J245" s="26">
        <v>60000</v>
      </c>
    </row>
    <row r="246" spans="1:10" x14ac:dyDescent="0.25">
      <c r="A246" s="24">
        <v>37862681</v>
      </c>
      <c r="B246" s="13" t="s">
        <v>341</v>
      </c>
      <c r="C246" s="14">
        <v>41</v>
      </c>
      <c r="D246" s="13" t="s">
        <v>11</v>
      </c>
      <c r="E246" s="15" t="s">
        <v>37</v>
      </c>
      <c r="F246" s="16">
        <v>10600</v>
      </c>
      <c r="G246" s="17" t="s">
        <v>38</v>
      </c>
      <c r="H246" s="13" t="s">
        <v>19</v>
      </c>
      <c r="I246" s="18" t="s">
        <v>20</v>
      </c>
      <c r="J246" s="27">
        <v>53000</v>
      </c>
    </row>
    <row r="247" spans="1:10" x14ac:dyDescent="0.25">
      <c r="A247" s="23">
        <v>1098693172</v>
      </c>
      <c r="B247" s="7" t="s">
        <v>342</v>
      </c>
      <c r="C247" s="8">
        <v>19</v>
      </c>
      <c r="D247" s="7" t="s">
        <v>11</v>
      </c>
      <c r="E247" s="9" t="s">
        <v>271</v>
      </c>
      <c r="F247" s="10">
        <v>10600</v>
      </c>
      <c r="G247" s="11" t="s">
        <v>18</v>
      </c>
      <c r="H247" s="7" t="s">
        <v>19</v>
      </c>
      <c r="I247" s="12" t="s">
        <v>20</v>
      </c>
      <c r="J247" s="26">
        <v>73000</v>
      </c>
    </row>
    <row r="248" spans="1:10" x14ac:dyDescent="0.25">
      <c r="A248" s="24">
        <v>1102361722</v>
      </c>
      <c r="B248" s="13" t="s">
        <v>343</v>
      </c>
      <c r="C248" s="14">
        <v>50</v>
      </c>
      <c r="D248" s="13" t="s">
        <v>11</v>
      </c>
      <c r="E248" s="15" t="s">
        <v>148</v>
      </c>
      <c r="F248" s="16">
        <v>10600</v>
      </c>
      <c r="G248" s="17" t="s">
        <v>76</v>
      </c>
      <c r="H248" s="13" t="s">
        <v>57</v>
      </c>
      <c r="I248" s="18" t="s">
        <v>15</v>
      </c>
      <c r="J248" s="27">
        <v>83000</v>
      </c>
    </row>
    <row r="249" spans="1:10" x14ac:dyDescent="0.25">
      <c r="A249" s="24">
        <v>1098635283</v>
      </c>
      <c r="B249" s="13" t="s">
        <v>344</v>
      </c>
      <c r="C249" s="14">
        <v>40</v>
      </c>
      <c r="D249" s="13" t="s">
        <v>11</v>
      </c>
      <c r="E249" s="15" t="s">
        <v>55</v>
      </c>
      <c r="F249" s="16">
        <v>10600</v>
      </c>
      <c r="G249" s="17" t="s">
        <v>56</v>
      </c>
      <c r="H249" s="13" t="s">
        <v>44</v>
      </c>
      <c r="I249" s="18" t="s">
        <v>45</v>
      </c>
      <c r="J249" s="27">
        <v>68000</v>
      </c>
    </row>
    <row r="250" spans="1:10" x14ac:dyDescent="0.25">
      <c r="A250" s="23">
        <v>1098693214</v>
      </c>
      <c r="B250" s="7" t="s">
        <v>345</v>
      </c>
      <c r="C250" s="8">
        <v>52</v>
      </c>
      <c r="D250" s="7" t="s">
        <v>11</v>
      </c>
      <c r="E250" s="9" t="s">
        <v>72</v>
      </c>
      <c r="F250" s="10">
        <v>10600</v>
      </c>
      <c r="G250" s="11" t="s">
        <v>56</v>
      </c>
      <c r="H250" s="7" t="s">
        <v>44</v>
      </c>
      <c r="I250" s="12" t="s">
        <v>45</v>
      </c>
      <c r="J250" s="26">
        <v>77000</v>
      </c>
    </row>
    <row r="251" spans="1:10" x14ac:dyDescent="0.25">
      <c r="A251" s="24">
        <v>1143125470</v>
      </c>
      <c r="B251" s="13" t="s">
        <v>346</v>
      </c>
      <c r="C251" s="14">
        <v>27</v>
      </c>
      <c r="D251" s="13" t="s">
        <v>11</v>
      </c>
      <c r="E251" s="15" t="s">
        <v>40</v>
      </c>
      <c r="F251" s="16">
        <v>10600</v>
      </c>
      <c r="G251" s="17" t="s">
        <v>56</v>
      </c>
      <c r="H251" s="13" t="s">
        <v>110</v>
      </c>
      <c r="I251" s="18" t="s">
        <v>35</v>
      </c>
      <c r="J251" s="27">
        <v>62000</v>
      </c>
    </row>
    <row r="252" spans="1:10" x14ac:dyDescent="0.25">
      <c r="A252" s="23">
        <v>63485118</v>
      </c>
      <c r="B252" s="7" t="s">
        <v>347</v>
      </c>
      <c r="C252" s="8">
        <v>31</v>
      </c>
      <c r="D252" s="7" t="s">
        <v>11</v>
      </c>
      <c r="E252" s="9" t="s">
        <v>348</v>
      </c>
      <c r="F252" s="10">
        <v>10600</v>
      </c>
      <c r="G252" s="11" t="s">
        <v>56</v>
      </c>
      <c r="H252" s="7" t="s">
        <v>152</v>
      </c>
      <c r="I252" s="12" t="s">
        <v>153</v>
      </c>
      <c r="J252" s="26">
        <v>85000</v>
      </c>
    </row>
    <row r="253" spans="1:10" x14ac:dyDescent="0.25">
      <c r="A253" s="24">
        <v>46674926</v>
      </c>
      <c r="B253" s="13" t="s">
        <v>349</v>
      </c>
      <c r="C253" s="14">
        <v>21</v>
      </c>
      <c r="D253" s="13" t="s">
        <v>11</v>
      </c>
      <c r="E253" s="15" t="s">
        <v>348</v>
      </c>
      <c r="F253" s="16">
        <v>10600</v>
      </c>
      <c r="G253" s="17" t="s">
        <v>66</v>
      </c>
      <c r="H253" s="13" t="s">
        <v>140</v>
      </c>
      <c r="I253" s="18" t="s">
        <v>141</v>
      </c>
      <c r="J253" s="27">
        <v>66000</v>
      </c>
    </row>
    <row r="254" spans="1:10" x14ac:dyDescent="0.25">
      <c r="A254" s="24">
        <v>1032406751</v>
      </c>
      <c r="B254" s="13" t="s">
        <v>350</v>
      </c>
      <c r="C254" s="14">
        <v>20</v>
      </c>
      <c r="D254" s="13" t="s">
        <v>11</v>
      </c>
      <c r="E254" s="15" t="s">
        <v>338</v>
      </c>
      <c r="F254" s="16">
        <v>8642</v>
      </c>
      <c r="G254" s="17" t="s">
        <v>51</v>
      </c>
      <c r="H254" s="13" t="s">
        <v>140</v>
      </c>
      <c r="I254" s="18" t="s">
        <v>141</v>
      </c>
      <c r="J254" s="27">
        <v>60000</v>
      </c>
    </row>
    <row r="255" spans="1:10" x14ac:dyDescent="0.25">
      <c r="A255" s="23">
        <v>1098662916</v>
      </c>
      <c r="B255" s="7" t="s">
        <v>351</v>
      </c>
      <c r="C255" s="8">
        <v>40</v>
      </c>
      <c r="D255" s="7" t="s">
        <v>26</v>
      </c>
      <c r="E255" s="9" t="s">
        <v>61</v>
      </c>
      <c r="F255" s="10">
        <v>10300</v>
      </c>
      <c r="G255" s="11" t="s">
        <v>33</v>
      </c>
      <c r="H255" s="7" t="s">
        <v>34</v>
      </c>
      <c r="I255" s="12" t="s">
        <v>35</v>
      </c>
      <c r="J255" s="26">
        <v>60000</v>
      </c>
    </row>
    <row r="256" spans="1:10" x14ac:dyDescent="0.25">
      <c r="A256" s="24">
        <v>63556625</v>
      </c>
      <c r="B256" s="13" t="s">
        <v>352</v>
      </c>
      <c r="C256" s="14">
        <v>27</v>
      </c>
      <c r="D256" s="13" t="s">
        <v>11</v>
      </c>
      <c r="E256" s="15" t="s">
        <v>148</v>
      </c>
      <c r="F256" s="16">
        <v>10300</v>
      </c>
      <c r="G256" s="17" t="s">
        <v>51</v>
      </c>
      <c r="H256" s="13" t="s">
        <v>93</v>
      </c>
      <c r="I256" s="18" t="s">
        <v>20</v>
      </c>
      <c r="J256" s="27">
        <v>73000</v>
      </c>
    </row>
    <row r="257" spans="1:10" x14ac:dyDescent="0.25">
      <c r="A257" s="23">
        <v>1098713685</v>
      </c>
      <c r="B257" s="7" t="s">
        <v>353</v>
      </c>
      <c r="C257" s="8">
        <v>27</v>
      </c>
      <c r="D257" s="7" t="s">
        <v>11</v>
      </c>
      <c r="E257" s="9" t="s">
        <v>12</v>
      </c>
      <c r="F257" s="10">
        <v>10300</v>
      </c>
      <c r="G257" s="11" t="s">
        <v>18</v>
      </c>
      <c r="H257" s="7" t="s">
        <v>70</v>
      </c>
      <c r="I257" s="12" t="s">
        <v>30</v>
      </c>
      <c r="J257" s="26">
        <v>64000</v>
      </c>
    </row>
    <row r="258" spans="1:10" x14ac:dyDescent="0.25">
      <c r="A258" s="24">
        <v>91538098</v>
      </c>
      <c r="B258" s="13" t="s">
        <v>354</v>
      </c>
      <c r="C258" s="14">
        <v>33</v>
      </c>
      <c r="D258" s="13" t="s">
        <v>26</v>
      </c>
      <c r="E258" s="15" t="s">
        <v>78</v>
      </c>
      <c r="F258" s="16">
        <v>10300</v>
      </c>
      <c r="G258" s="17" t="s">
        <v>38</v>
      </c>
      <c r="H258" s="13" t="s">
        <v>19</v>
      </c>
      <c r="I258" s="18" t="s">
        <v>20</v>
      </c>
      <c r="J258" s="27">
        <v>81000</v>
      </c>
    </row>
    <row r="259" spans="1:10" x14ac:dyDescent="0.25">
      <c r="A259" s="24">
        <v>91540958</v>
      </c>
      <c r="B259" s="13" t="s">
        <v>355</v>
      </c>
      <c r="C259" s="14">
        <v>21</v>
      </c>
      <c r="D259" s="13" t="s">
        <v>26</v>
      </c>
      <c r="E259" s="15" t="s">
        <v>248</v>
      </c>
      <c r="F259" s="16">
        <v>10300</v>
      </c>
      <c r="G259" s="17" t="s">
        <v>56</v>
      </c>
      <c r="H259" s="13" t="s">
        <v>110</v>
      </c>
      <c r="I259" s="18" t="s">
        <v>35</v>
      </c>
      <c r="J259" s="27">
        <v>84000</v>
      </c>
    </row>
    <row r="260" spans="1:10" x14ac:dyDescent="0.25">
      <c r="A260" s="23">
        <v>1095909681</v>
      </c>
      <c r="B260" s="7" t="s">
        <v>356</v>
      </c>
      <c r="C260" s="8">
        <v>39</v>
      </c>
      <c r="D260" s="7" t="s">
        <v>11</v>
      </c>
      <c r="E260" s="9" t="s">
        <v>78</v>
      </c>
      <c r="F260" s="10">
        <v>10300</v>
      </c>
      <c r="G260" s="11" t="s">
        <v>13</v>
      </c>
      <c r="H260" s="7" t="s">
        <v>79</v>
      </c>
      <c r="I260" s="12" t="s">
        <v>30</v>
      </c>
      <c r="J260" s="26">
        <v>82000</v>
      </c>
    </row>
    <row r="261" spans="1:10" x14ac:dyDescent="0.25">
      <c r="A261" s="24">
        <v>63545104</v>
      </c>
      <c r="B261" s="13" t="s">
        <v>357</v>
      </c>
      <c r="C261" s="14">
        <v>27</v>
      </c>
      <c r="D261" s="13" t="s">
        <v>11</v>
      </c>
      <c r="E261" s="15" t="s">
        <v>65</v>
      </c>
      <c r="F261" s="16">
        <v>10300</v>
      </c>
      <c r="G261" s="17" t="s">
        <v>56</v>
      </c>
      <c r="H261" s="13" t="s">
        <v>57</v>
      </c>
      <c r="I261" s="18" t="s">
        <v>15</v>
      </c>
      <c r="J261" s="27">
        <v>57000</v>
      </c>
    </row>
    <row r="262" spans="1:10" x14ac:dyDescent="0.25">
      <c r="A262" s="23">
        <v>1098676585</v>
      </c>
      <c r="B262" s="7" t="s">
        <v>358</v>
      </c>
      <c r="C262" s="8">
        <v>40</v>
      </c>
      <c r="D262" s="7" t="s">
        <v>11</v>
      </c>
      <c r="E262" s="9" t="s">
        <v>12</v>
      </c>
      <c r="F262" s="10">
        <v>10300</v>
      </c>
      <c r="G262" s="11" t="s">
        <v>38</v>
      </c>
      <c r="H262" s="7" t="s">
        <v>70</v>
      </c>
      <c r="I262" s="12" t="s">
        <v>30</v>
      </c>
      <c r="J262" s="26">
        <v>62000</v>
      </c>
    </row>
    <row r="263" spans="1:10" x14ac:dyDescent="0.25">
      <c r="A263" s="24">
        <v>1098660987</v>
      </c>
      <c r="B263" s="13" t="s">
        <v>359</v>
      </c>
      <c r="C263" s="14">
        <v>21</v>
      </c>
      <c r="D263" s="13" t="s">
        <v>11</v>
      </c>
      <c r="E263" s="15" t="s">
        <v>338</v>
      </c>
      <c r="F263" s="16">
        <v>10300</v>
      </c>
      <c r="G263" s="17" t="s">
        <v>33</v>
      </c>
      <c r="H263" s="13" t="s">
        <v>117</v>
      </c>
      <c r="I263" s="18" t="s">
        <v>53</v>
      </c>
      <c r="J263" s="27">
        <v>66000</v>
      </c>
    </row>
    <row r="264" spans="1:10" x14ac:dyDescent="0.25">
      <c r="A264" s="24">
        <v>1065983719</v>
      </c>
      <c r="B264" s="13" t="s">
        <v>360</v>
      </c>
      <c r="C264" s="14">
        <v>43</v>
      </c>
      <c r="D264" s="13" t="s">
        <v>26</v>
      </c>
      <c r="E264" s="15" t="s">
        <v>200</v>
      </c>
      <c r="F264" s="16">
        <v>15400</v>
      </c>
      <c r="G264" s="17" t="s">
        <v>76</v>
      </c>
      <c r="H264" s="13" t="s">
        <v>182</v>
      </c>
      <c r="I264" s="18" t="s">
        <v>24</v>
      </c>
      <c r="J264" s="27">
        <v>62000</v>
      </c>
    </row>
    <row r="265" spans="1:10" x14ac:dyDescent="0.25">
      <c r="A265" s="23">
        <v>1098649035</v>
      </c>
      <c r="B265" s="7" t="s">
        <v>361</v>
      </c>
      <c r="C265" s="8">
        <v>27</v>
      </c>
      <c r="D265" s="7" t="s">
        <v>11</v>
      </c>
      <c r="E265" s="9" t="s">
        <v>112</v>
      </c>
      <c r="F265" s="10">
        <v>15400</v>
      </c>
      <c r="G265" s="11" t="s">
        <v>13</v>
      </c>
      <c r="H265" s="7" t="s">
        <v>152</v>
      </c>
      <c r="I265" s="12" t="s">
        <v>153</v>
      </c>
      <c r="J265" s="26">
        <v>55000</v>
      </c>
    </row>
    <row r="266" spans="1:10" x14ac:dyDescent="0.25">
      <c r="A266" s="24">
        <v>1102361556</v>
      </c>
      <c r="B266" s="13" t="s">
        <v>362</v>
      </c>
      <c r="C266" s="14">
        <v>24</v>
      </c>
      <c r="D266" s="13" t="s">
        <v>11</v>
      </c>
      <c r="E266" s="15" t="s">
        <v>363</v>
      </c>
      <c r="F266" s="16">
        <v>15400</v>
      </c>
      <c r="G266" s="17" t="s">
        <v>66</v>
      </c>
      <c r="H266" s="13" t="s">
        <v>93</v>
      </c>
      <c r="I266" s="18" t="s">
        <v>20</v>
      </c>
      <c r="J266" s="27">
        <v>86000</v>
      </c>
    </row>
    <row r="267" spans="1:10" x14ac:dyDescent="0.25">
      <c r="A267" s="23">
        <v>1098631836</v>
      </c>
      <c r="B267" s="7" t="s">
        <v>364</v>
      </c>
      <c r="C267" s="8">
        <v>50</v>
      </c>
      <c r="D267" s="7" t="s">
        <v>11</v>
      </c>
      <c r="E267" s="9" t="s">
        <v>220</v>
      </c>
      <c r="F267" s="10">
        <v>15400</v>
      </c>
      <c r="G267" s="11" t="s">
        <v>66</v>
      </c>
      <c r="H267" s="7" t="s">
        <v>93</v>
      </c>
      <c r="I267" s="12" t="s">
        <v>20</v>
      </c>
      <c r="J267" s="26">
        <v>82000</v>
      </c>
    </row>
    <row r="268" spans="1:10" x14ac:dyDescent="0.25">
      <c r="A268" s="24">
        <v>1098671921</v>
      </c>
      <c r="B268" s="13" t="s">
        <v>365</v>
      </c>
      <c r="C268" s="14">
        <v>32</v>
      </c>
      <c r="D268" s="13" t="s">
        <v>11</v>
      </c>
      <c r="E268" s="15" t="s">
        <v>50</v>
      </c>
      <c r="F268" s="16">
        <v>15400</v>
      </c>
      <c r="G268" s="17" t="s">
        <v>66</v>
      </c>
      <c r="H268" s="13" t="s">
        <v>52</v>
      </c>
      <c r="I268" s="18" t="s">
        <v>53</v>
      </c>
      <c r="J268" s="27">
        <v>65000</v>
      </c>
    </row>
    <row r="269" spans="1:10" x14ac:dyDescent="0.25">
      <c r="A269" s="24">
        <v>1095805718</v>
      </c>
      <c r="B269" s="13" t="s">
        <v>366</v>
      </c>
      <c r="C269" s="14">
        <v>27</v>
      </c>
      <c r="D269" s="13" t="s">
        <v>11</v>
      </c>
      <c r="E269" s="15" t="s">
        <v>43</v>
      </c>
      <c r="F269" s="16">
        <v>15400</v>
      </c>
      <c r="G269" s="17" t="s">
        <v>56</v>
      </c>
      <c r="H269" s="13" t="s">
        <v>152</v>
      </c>
      <c r="I269" s="18" t="s">
        <v>153</v>
      </c>
      <c r="J269" s="27">
        <v>56000</v>
      </c>
    </row>
    <row r="270" spans="1:10" x14ac:dyDescent="0.25">
      <c r="A270" s="23">
        <v>1098668361</v>
      </c>
      <c r="B270" s="7" t="s">
        <v>70</v>
      </c>
      <c r="C270" s="8">
        <v>45</v>
      </c>
      <c r="D270" s="7" t="s">
        <v>26</v>
      </c>
      <c r="E270" s="9" t="s">
        <v>43</v>
      </c>
      <c r="F270" s="10">
        <v>15400</v>
      </c>
      <c r="G270" s="11" t="s">
        <v>38</v>
      </c>
      <c r="H270" s="7" t="s">
        <v>162</v>
      </c>
      <c r="I270" s="12" t="s">
        <v>35</v>
      </c>
      <c r="J270" s="26">
        <v>78000</v>
      </c>
    </row>
    <row r="271" spans="1:10" x14ac:dyDescent="0.25">
      <c r="A271" s="24">
        <v>63543415</v>
      </c>
      <c r="B271" s="13" t="s">
        <v>367</v>
      </c>
      <c r="C271" s="14">
        <v>50</v>
      </c>
      <c r="D271" s="13" t="s">
        <v>11</v>
      </c>
      <c r="E271" s="15" t="s">
        <v>234</v>
      </c>
      <c r="F271" s="16">
        <v>15400</v>
      </c>
      <c r="G271" s="17" t="s">
        <v>13</v>
      </c>
      <c r="H271" s="13" t="s">
        <v>105</v>
      </c>
      <c r="I271" s="18" t="s">
        <v>106</v>
      </c>
      <c r="J271" s="27">
        <v>55000</v>
      </c>
    </row>
    <row r="272" spans="1:10" x14ac:dyDescent="0.25">
      <c r="A272" s="23">
        <v>88223032</v>
      </c>
      <c r="B272" s="7" t="s">
        <v>368</v>
      </c>
      <c r="C272" s="8">
        <v>43</v>
      </c>
      <c r="D272" s="7" t="s">
        <v>26</v>
      </c>
      <c r="E272" s="9" t="s">
        <v>50</v>
      </c>
      <c r="F272" s="10">
        <v>15400</v>
      </c>
      <c r="G272" s="11" t="s">
        <v>56</v>
      </c>
      <c r="H272" s="7" t="s">
        <v>174</v>
      </c>
      <c r="I272" s="12" t="s">
        <v>87</v>
      </c>
      <c r="J272" s="26">
        <v>76000</v>
      </c>
    </row>
    <row r="273" spans="1:10" x14ac:dyDescent="0.25">
      <c r="A273" s="24">
        <v>37747804</v>
      </c>
      <c r="B273" s="13" t="s">
        <v>369</v>
      </c>
      <c r="C273" s="14">
        <v>24</v>
      </c>
      <c r="D273" s="13" t="s">
        <v>11</v>
      </c>
      <c r="E273" s="15" t="s">
        <v>69</v>
      </c>
      <c r="F273" s="16">
        <v>15400</v>
      </c>
      <c r="G273" s="17" t="s">
        <v>18</v>
      </c>
      <c r="H273" s="13" t="s">
        <v>70</v>
      </c>
      <c r="I273" s="18" t="s">
        <v>30</v>
      </c>
      <c r="J273" s="27">
        <v>58000</v>
      </c>
    </row>
    <row r="274" spans="1:10" x14ac:dyDescent="0.25">
      <c r="A274" s="24">
        <v>1098697972</v>
      </c>
      <c r="B274" s="13" t="s">
        <v>370</v>
      </c>
      <c r="C274" s="14">
        <v>50</v>
      </c>
      <c r="D274" s="13" t="s">
        <v>176</v>
      </c>
      <c r="E274" s="15" t="s">
        <v>65</v>
      </c>
      <c r="F274" s="16">
        <v>11400</v>
      </c>
      <c r="G274" s="17" t="s">
        <v>28</v>
      </c>
      <c r="H274" s="13" t="s">
        <v>29</v>
      </c>
      <c r="I274" s="18" t="s">
        <v>30</v>
      </c>
      <c r="J274" s="27">
        <v>62000</v>
      </c>
    </row>
    <row r="275" spans="1:10" x14ac:dyDescent="0.25">
      <c r="A275" s="23">
        <v>1098705648</v>
      </c>
      <c r="B275" s="7" t="s">
        <v>371</v>
      </c>
      <c r="C275" s="8">
        <v>45</v>
      </c>
      <c r="D275" s="7" t="s">
        <v>11</v>
      </c>
      <c r="E275" s="9" t="s">
        <v>61</v>
      </c>
      <c r="F275" s="10">
        <v>11400</v>
      </c>
      <c r="G275" s="11" t="s">
        <v>56</v>
      </c>
      <c r="H275" s="7" t="s">
        <v>62</v>
      </c>
      <c r="I275" s="12" t="s">
        <v>24</v>
      </c>
      <c r="J275" s="26">
        <v>69000</v>
      </c>
    </row>
    <row r="276" spans="1:10" x14ac:dyDescent="0.25">
      <c r="A276" s="24">
        <v>1095920840</v>
      </c>
      <c r="B276" s="13" t="s">
        <v>372</v>
      </c>
      <c r="C276" s="14">
        <v>27</v>
      </c>
      <c r="D276" s="13" t="s">
        <v>26</v>
      </c>
      <c r="E276" s="15" t="s">
        <v>348</v>
      </c>
      <c r="F276" s="16">
        <v>11400</v>
      </c>
      <c r="G276" s="17" t="s">
        <v>76</v>
      </c>
      <c r="H276" s="13" t="s">
        <v>57</v>
      </c>
      <c r="I276" s="18" t="s">
        <v>15</v>
      </c>
      <c r="J276" s="27">
        <v>80000</v>
      </c>
    </row>
    <row r="277" spans="1:10" x14ac:dyDescent="0.25">
      <c r="A277" s="23">
        <v>1098662740</v>
      </c>
      <c r="B277" s="7" t="s">
        <v>373</v>
      </c>
      <c r="C277" s="8">
        <v>19</v>
      </c>
      <c r="D277" s="7" t="s">
        <v>26</v>
      </c>
      <c r="E277" s="9" t="s">
        <v>131</v>
      </c>
      <c r="F277" s="10">
        <v>11400</v>
      </c>
      <c r="G277" s="11" t="s">
        <v>38</v>
      </c>
      <c r="H277" s="7" t="s">
        <v>86</v>
      </c>
      <c r="I277" s="12" t="s">
        <v>87</v>
      </c>
      <c r="J277" s="26">
        <v>79000</v>
      </c>
    </row>
    <row r="278" spans="1:10" x14ac:dyDescent="0.25">
      <c r="A278" s="24">
        <v>37514779</v>
      </c>
      <c r="B278" s="13" t="s">
        <v>374</v>
      </c>
      <c r="C278" s="14">
        <v>54</v>
      </c>
      <c r="D278" s="13" t="s">
        <v>11</v>
      </c>
      <c r="E278" s="15" t="s">
        <v>148</v>
      </c>
      <c r="F278" s="16">
        <v>11400</v>
      </c>
      <c r="G278" s="17" t="s">
        <v>56</v>
      </c>
      <c r="H278" s="13" t="s">
        <v>57</v>
      </c>
      <c r="I278" s="18" t="s">
        <v>15</v>
      </c>
      <c r="J278" s="27">
        <v>79000</v>
      </c>
    </row>
    <row r="279" spans="1:10" x14ac:dyDescent="0.25">
      <c r="A279" s="24">
        <v>91472649</v>
      </c>
      <c r="B279" s="13" t="s">
        <v>375</v>
      </c>
      <c r="C279" s="14">
        <v>50</v>
      </c>
      <c r="D279" s="13" t="s">
        <v>26</v>
      </c>
      <c r="E279" s="15" t="s">
        <v>81</v>
      </c>
      <c r="F279" s="16">
        <v>11400</v>
      </c>
      <c r="G279" s="17" t="s">
        <v>76</v>
      </c>
      <c r="H279" s="13" t="s">
        <v>110</v>
      </c>
      <c r="I279" s="18" t="s">
        <v>35</v>
      </c>
      <c r="J279" s="27">
        <v>57000</v>
      </c>
    </row>
    <row r="280" spans="1:10" x14ac:dyDescent="0.25">
      <c r="A280" s="23">
        <v>1102353635</v>
      </c>
      <c r="B280" s="7" t="s">
        <v>376</v>
      </c>
      <c r="C280" s="8">
        <v>27</v>
      </c>
      <c r="D280" s="7" t="s">
        <v>26</v>
      </c>
      <c r="E280" s="9" t="s">
        <v>81</v>
      </c>
      <c r="F280" s="10">
        <v>11400</v>
      </c>
      <c r="G280" s="11" t="s">
        <v>66</v>
      </c>
      <c r="H280" s="7" t="s">
        <v>93</v>
      </c>
      <c r="I280" s="12" t="s">
        <v>20</v>
      </c>
      <c r="J280" s="26">
        <v>87000</v>
      </c>
    </row>
    <row r="281" spans="1:10" x14ac:dyDescent="0.25">
      <c r="A281" s="24">
        <v>1098640354</v>
      </c>
      <c r="B281" s="13" t="s">
        <v>377</v>
      </c>
      <c r="C281" s="14">
        <v>20</v>
      </c>
      <c r="D281" s="13" t="s">
        <v>11</v>
      </c>
      <c r="E281" s="15" t="s">
        <v>32</v>
      </c>
      <c r="F281" s="16">
        <v>9400</v>
      </c>
      <c r="G281" s="17" t="s">
        <v>13</v>
      </c>
      <c r="H281" s="13" t="s">
        <v>73</v>
      </c>
      <c r="I281" s="18" t="s">
        <v>30</v>
      </c>
      <c r="J281" s="27">
        <v>84000</v>
      </c>
    </row>
    <row r="282" spans="1:10" x14ac:dyDescent="0.25">
      <c r="A282" s="23">
        <v>1098675565</v>
      </c>
      <c r="B282" s="7" t="s">
        <v>378</v>
      </c>
      <c r="C282" s="8">
        <v>35</v>
      </c>
      <c r="D282" s="7" t="s">
        <v>26</v>
      </c>
      <c r="E282" s="9" t="s">
        <v>248</v>
      </c>
      <c r="F282" s="10">
        <v>9400</v>
      </c>
      <c r="G282" s="11" t="s">
        <v>18</v>
      </c>
      <c r="H282" s="7" t="s">
        <v>41</v>
      </c>
      <c r="I282" s="12" t="s">
        <v>30</v>
      </c>
      <c r="J282" s="26">
        <v>71000</v>
      </c>
    </row>
    <row r="283" spans="1:10" x14ac:dyDescent="0.25">
      <c r="A283" s="24">
        <v>1098698603</v>
      </c>
      <c r="B283" s="13" t="s">
        <v>379</v>
      </c>
      <c r="C283" s="14">
        <v>40</v>
      </c>
      <c r="D283" s="13" t="s">
        <v>11</v>
      </c>
      <c r="E283" s="15" t="s">
        <v>50</v>
      </c>
      <c r="F283" s="16">
        <v>9400</v>
      </c>
      <c r="G283" s="17" t="s">
        <v>18</v>
      </c>
      <c r="H283" s="13" t="s">
        <v>127</v>
      </c>
      <c r="I283" s="18" t="s">
        <v>45</v>
      </c>
      <c r="J283" s="27">
        <v>51000</v>
      </c>
    </row>
    <row r="284" spans="1:10" x14ac:dyDescent="0.25">
      <c r="A284" s="24">
        <v>1095808760</v>
      </c>
      <c r="B284" s="13" t="s">
        <v>380</v>
      </c>
      <c r="C284" s="14">
        <v>39</v>
      </c>
      <c r="D284" s="13" t="s">
        <v>11</v>
      </c>
      <c r="E284" s="15" t="s">
        <v>97</v>
      </c>
      <c r="F284" s="16">
        <v>9400</v>
      </c>
      <c r="G284" s="17" t="s">
        <v>66</v>
      </c>
      <c r="H284" s="13" t="s">
        <v>252</v>
      </c>
      <c r="I284" s="18" t="s">
        <v>106</v>
      </c>
      <c r="J284" s="27">
        <v>64000</v>
      </c>
    </row>
    <row r="285" spans="1:10" x14ac:dyDescent="0.25">
      <c r="A285" s="23">
        <v>1098611581</v>
      </c>
      <c r="B285" s="7" t="s">
        <v>381</v>
      </c>
      <c r="C285" s="8">
        <v>44</v>
      </c>
      <c r="D285" s="7" t="s">
        <v>26</v>
      </c>
      <c r="E285" s="9" t="s">
        <v>78</v>
      </c>
      <c r="F285" s="10">
        <v>9400</v>
      </c>
      <c r="G285" s="11" t="s">
        <v>13</v>
      </c>
      <c r="H285" s="7" t="s">
        <v>79</v>
      </c>
      <c r="I285" s="12" t="s">
        <v>30</v>
      </c>
      <c r="J285" s="26">
        <v>76000</v>
      </c>
    </row>
    <row r="286" spans="1:10" x14ac:dyDescent="0.25">
      <c r="A286" s="24">
        <v>1098680918</v>
      </c>
      <c r="B286" s="13" t="s">
        <v>382</v>
      </c>
      <c r="C286" s="14">
        <v>50</v>
      </c>
      <c r="D286" s="13" t="s">
        <v>11</v>
      </c>
      <c r="E286" s="15" t="s">
        <v>50</v>
      </c>
      <c r="F286" s="16">
        <v>9400</v>
      </c>
      <c r="G286" s="17" t="s">
        <v>28</v>
      </c>
      <c r="H286" s="13" t="s">
        <v>52</v>
      </c>
      <c r="I286" s="18" t="s">
        <v>53</v>
      </c>
      <c r="J286" s="27">
        <v>78000</v>
      </c>
    </row>
    <row r="287" spans="1:10" x14ac:dyDescent="0.25">
      <c r="A287" s="23">
        <v>1102361186</v>
      </c>
      <c r="B287" s="7" t="s">
        <v>383</v>
      </c>
      <c r="C287" s="8">
        <v>26</v>
      </c>
      <c r="D287" s="7" t="s">
        <v>26</v>
      </c>
      <c r="E287" s="9" t="s">
        <v>97</v>
      </c>
      <c r="F287" s="10">
        <v>9400</v>
      </c>
      <c r="G287" s="11" t="s">
        <v>28</v>
      </c>
      <c r="H287" s="7" t="s">
        <v>67</v>
      </c>
      <c r="I287" s="12" t="s">
        <v>53</v>
      </c>
      <c r="J287" s="26">
        <v>81000</v>
      </c>
    </row>
    <row r="288" spans="1:10" x14ac:dyDescent="0.25">
      <c r="A288" s="24">
        <v>91524744</v>
      </c>
      <c r="B288" s="13" t="s">
        <v>384</v>
      </c>
      <c r="C288" s="14">
        <v>50</v>
      </c>
      <c r="D288" s="13" t="s">
        <v>26</v>
      </c>
      <c r="E288" s="15" t="s">
        <v>234</v>
      </c>
      <c r="F288" s="16">
        <v>9400</v>
      </c>
      <c r="G288" s="17" t="s">
        <v>76</v>
      </c>
      <c r="H288" s="13" t="s">
        <v>90</v>
      </c>
      <c r="I288" s="18" t="s">
        <v>15</v>
      </c>
      <c r="J288" s="27">
        <v>72000</v>
      </c>
    </row>
    <row r="289" spans="1:10" x14ac:dyDescent="0.25">
      <c r="A289" s="24">
        <v>1098668993</v>
      </c>
      <c r="B289" s="13" t="s">
        <v>385</v>
      </c>
      <c r="C289" s="14">
        <v>21</v>
      </c>
      <c r="D289" s="13" t="s">
        <v>26</v>
      </c>
      <c r="E289" s="15" t="s">
        <v>72</v>
      </c>
      <c r="F289" s="16">
        <v>14500</v>
      </c>
      <c r="G289" s="17" t="s">
        <v>13</v>
      </c>
      <c r="H289" s="13" t="s">
        <v>95</v>
      </c>
      <c r="I289" s="18" t="s">
        <v>45</v>
      </c>
      <c r="J289" s="27">
        <v>89000</v>
      </c>
    </row>
    <row r="290" spans="1:10" x14ac:dyDescent="0.25">
      <c r="A290" s="23">
        <v>1098652228</v>
      </c>
      <c r="B290" s="7" t="s">
        <v>386</v>
      </c>
      <c r="C290" s="8">
        <v>40</v>
      </c>
      <c r="D290" s="7" t="s">
        <v>11</v>
      </c>
      <c r="E290" s="9" t="s">
        <v>32</v>
      </c>
      <c r="F290" s="10">
        <v>14500</v>
      </c>
      <c r="G290" s="11" t="s">
        <v>13</v>
      </c>
      <c r="H290" s="7" t="s">
        <v>105</v>
      </c>
      <c r="I290" s="12" t="s">
        <v>106</v>
      </c>
      <c r="J290" s="26">
        <v>56000</v>
      </c>
    </row>
    <row r="291" spans="1:10" x14ac:dyDescent="0.25">
      <c r="A291" s="24">
        <v>1098635762</v>
      </c>
      <c r="B291" s="13" t="s">
        <v>387</v>
      </c>
      <c r="C291" s="14">
        <v>32</v>
      </c>
      <c r="D291" s="13" t="s">
        <v>11</v>
      </c>
      <c r="E291" s="15" t="s">
        <v>50</v>
      </c>
      <c r="F291" s="16">
        <v>14500</v>
      </c>
      <c r="G291" s="17" t="s">
        <v>18</v>
      </c>
      <c r="H291" s="13" t="s">
        <v>127</v>
      </c>
      <c r="I291" s="18" t="s">
        <v>45</v>
      </c>
      <c r="J291" s="27">
        <v>83000</v>
      </c>
    </row>
    <row r="292" spans="1:10" x14ac:dyDescent="0.25">
      <c r="A292" s="23">
        <v>1095798442</v>
      </c>
      <c r="B292" s="7" t="s">
        <v>388</v>
      </c>
      <c r="C292" s="8">
        <v>62</v>
      </c>
      <c r="D292" s="7" t="s">
        <v>26</v>
      </c>
      <c r="E292" s="9" t="s">
        <v>72</v>
      </c>
      <c r="F292" s="10">
        <v>14500</v>
      </c>
      <c r="G292" s="11" t="s">
        <v>18</v>
      </c>
      <c r="H292" s="7" t="s">
        <v>70</v>
      </c>
      <c r="I292" s="12" t="s">
        <v>30</v>
      </c>
      <c r="J292" s="26">
        <v>68000</v>
      </c>
    </row>
    <row r="293" spans="1:10" x14ac:dyDescent="0.25">
      <c r="A293" s="24">
        <v>1098612196</v>
      </c>
      <c r="B293" s="13" t="s">
        <v>389</v>
      </c>
      <c r="C293" s="14">
        <v>50</v>
      </c>
      <c r="D293" s="13" t="s">
        <v>11</v>
      </c>
      <c r="E293" s="15" t="s">
        <v>234</v>
      </c>
      <c r="F293" s="16">
        <v>14500</v>
      </c>
      <c r="G293" s="17" t="s">
        <v>13</v>
      </c>
      <c r="H293" s="13" t="s">
        <v>152</v>
      </c>
      <c r="I293" s="18" t="s">
        <v>153</v>
      </c>
      <c r="J293" s="27">
        <v>79000</v>
      </c>
    </row>
    <row r="294" spans="1:10" x14ac:dyDescent="0.25">
      <c r="A294" s="24">
        <v>1095807395</v>
      </c>
      <c r="B294" s="13" t="s">
        <v>390</v>
      </c>
      <c r="C294" s="14">
        <v>23</v>
      </c>
      <c r="D294" s="13" t="s">
        <v>11</v>
      </c>
      <c r="E294" s="15" t="s">
        <v>50</v>
      </c>
      <c r="F294" s="16">
        <v>14500</v>
      </c>
      <c r="G294" s="17" t="s">
        <v>18</v>
      </c>
      <c r="H294" s="13" t="s">
        <v>127</v>
      </c>
      <c r="I294" s="18" t="s">
        <v>45</v>
      </c>
      <c r="J294" s="27">
        <v>85000</v>
      </c>
    </row>
    <row r="295" spans="1:10" x14ac:dyDescent="0.25">
      <c r="A295" s="23">
        <v>13511344</v>
      </c>
      <c r="B295" s="7" t="s">
        <v>391</v>
      </c>
      <c r="C295" s="8">
        <v>37</v>
      </c>
      <c r="D295" s="7" t="s">
        <v>26</v>
      </c>
      <c r="E295" s="9" t="s">
        <v>50</v>
      </c>
      <c r="F295" s="10">
        <v>14500</v>
      </c>
      <c r="G295" s="11" t="s">
        <v>76</v>
      </c>
      <c r="H295" s="7" t="s">
        <v>174</v>
      </c>
      <c r="I295" s="12" t="s">
        <v>87</v>
      </c>
      <c r="J295" s="26">
        <v>54000</v>
      </c>
    </row>
    <row r="296" spans="1:10" x14ac:dyDescent="0.25">
      <c r="A296" s="24">
        <v>63532811</v>
      </c>
      <c r="B296" s="13" t="s">
        <v>392</v>
      </c>
      <c r="C296" s="14">
        <v>21</v>
      </c>
      <c r="D296" s="13" t="s">
        <v>11</v>
      </c>
      <c r="E296" s="15" t="s">
        <v>47</v>
      </c>
      <c r="F296" s="16">
        <v>14500</v>
      </c>
      <c r="G296" s="17" t="s">
        <v>76</v>
      </c>
      <c r="H296" s="13" t="s">
        <v>48</v>
      </c>
      <c r="I296" s="18" t="s">
        <v>45</v>
      </c>
      <c r="J296" s="27">
        <v>75000</v>
      </c>
    </row>
    <row r="297" spans="1:10" x14ac:dyDescent="0.25">
      <c r="A297" s="23">
        <v>1095918675</v>
      </c>
      <c r="B297" s="7" t="s">
        <v>393</v>
      </c>
      <c r="C297" s="8">
        <v>27</v>
      </c>
      <c r="D297" s="7" t="s">
        <v>11</v>
      </c>
      <c r="E297" s="9" t="s">
        <v>65</v>
      </c>
      <c r="F297" s="10">
        <v>14500</v>
      </c>
      <c r="G297" s="11" t="s">
        <v>28</v>
      </c>
      <c r="H297" s="7" t="s">
        <v>252</v>
      </c>
      <c r="I297" s="12" t="s">
        <v>106</v>
      </c>
      <c r="J297" s="26">
        <v>85000</v>
      </c>
    </row>
    <row r="298" spans="1:10" x14ac:dyDescent="0.25">
      <c r="A298" s="24">
        <v>1100890861</v>
      </c>
      <c r="B298" s="13" t="s">
        <v>394</v>
      </c>
      <c r="C298" s="14">
        <v>50</v>
      </c>
      <c r="D298" s="13" t="s">
        <v>26</v>
      </c>
      <c r="E298" s="15" t="s">
        <v>47</v>
      </c>
      <c r="F298" s="16">
        <v>11500</v>
      </c>
      <c r="G298" s="17" t="s">
        <v>76</v>
      </c>
      <c r="H298" s="13" t="s">
        <v>110</v>
      </c>
      <c r="I298" s="18" t="s">
        <v>35</v>
      </c>
      <c r="J298" s="27">
        <v>77000</v>
      </c>
    </row>
    <row r="299" spans="1:10" x14ac:dyDescent="0.25">
      <c r="A299" s="24">
        <v>1095794799</v>
      </c>
      <c r="B299" s="13" t="s">
        <v>395</v>
      </c>
      <c r="C299" s="14">
        <v>23</v>
      </c>
      <c r="D299" s="13" t="s">
        <v>11</v>
      </c>
      <c r="E299" s="15" t="s">
        <v>32</v>
      </c>
      <c r="F299" s="16">
        <v>11500</v>
      </c>
      <c r="G299" s="17" t="s">
        <v>18</v>
      </c>
      <c r="H299" s="13" t="s">
        <v>23</v>
      </c>
      <c r="I299" s="18" t="s">
        <v>24</v>
      </c>
      <c r="J299" s="27">
        <v>74000</v>
      </c>
    </row>
    <row r="300" spans="1:10" x14ac:dyDescent="0.25">
      <c r="A300" s="23">
        <v>1098633337</v>
      </c>
      <c r="B300" s="7" t="s">
        <v>110</v>
      </c>
      <c r="C300" s="8">
        <v>37</v>
      </c>
      <c r="D300" s="7" t="s">
        <v>11</v>
      </c>
      <c r="E300" s="9" t="s">
        <v>112</v>
      </c>
      <c r="F300" s="10">
        <v>11500</v>
      </c>
      <c r="G300" s="11" t="s">
        <v>76</v>
      </c>
      <c r="H300" s="7" t="s">
        <v>162</v>
      </c>
      <c r="I300" s="12" t="s">
        <v>35</v>
      </c>
      <c r="J300" s="26">
        <v>53000</v>
      </c>
    </row>
    <row r="301" spans="1:10" x14ac:dyDescent="0.25">
      <c r="A301" s="24">
        <v>63553254</v>
      </c>
      <c r="B301" s="13" t="s">
        <v>396</v>
      </c>
      <c r="C301" s="14">
        <v>60</v>
      </c>
      <c r="D301" s="13" t="s">
        <v>11</v>
      </c>
      <c r="E301" s="15" t="s">
        <v>234</v>
      </c>
      <c r="F301" s="16">
        <v>11500</v>
      </c>
      <c r="G301" s="17" t="s">
        <v>76</v>
      </c>
      <c r="H301" s="13" t="s">
        <v>162</v>
      </c>
      <c r="I301" s="18" t="s">
        <v>35</v>
      </c>
      <c r="J301" s="27">
        <v>83000</v>
      </c>
    </row>
    <row r="302" spans="1:10" x14ac:dyDescent="0.25">
      <c r="A302" s="23">
        <v>1095799085</v>
      </c>
      <c r="B302" s="7" t="s">
        <v>397</v>
      </c>
      <c r="C302" s="8">
        <v>50</v>
      </c>
      <c r="D302" s="7" t="s">
        <v>26</v>
      </c>
      <c r="E302" s="9" t="s">
        <v>81</v>
      </c>
      <c r="F302" s="10">
        <v>11500</v>
      </c>
      <c r="G302" s="11" t="s">
        <v>13</v>
      </c>
      <c r="H302" s="7" t="s">
        <v>95</v>
      </c>
      <c r="I302" s="12" t="s">
        <v>45</v>
      </c>
      <c r="J302" s="26">
        <v>64000</v>
      </c>
    </row>
    <row r="303" spans="1:10" x14ac:dyDescent="0.25">
      <c r="A303" s="24">
        <v>37549270</v>
      </c>
      <c r="B303" s="13" t="s">
        <v>398</v>
      </c>
      <c r="C303" s="14">
        <v>58</v>
      </c>
      <c r="D303" s="13" t="s">
        <v>11</v>
      </c>
      <c r="E303" s="15" t="s">
        <v>55</v>
      </c>
      <c r="F303" s="16">
        <v>11500</v>
      </c>
      <c r="G303" s="17" t="s">
        <v>18</v>
      </c>
      <c r="H303" s="13" t="s">
        <v>34</v>
      </c>
      <c r="I303" s="18" t="s">
        <v>35</v>
      </c>
      <c r="J303" s="27">
        <v>56000</v>
      </c>
    </row>
    <row r="304" spans="1:10" x14ac:dyDescent="0.25">
      <c r="A304" s="24">
        <v>1102361319</v>
      </c>
      <c r="B304" s="13" t="s">
        <v>399</v>
      </c>
      <c r="C304" s="14">
        <v>40</v>
      </c>
      <c r="D304" s="13" t="s">
        <v>176</v>
      </c>
      <c r="E304" s="15" t="s">
        <v>97</v>
      </c>
      <c r="F304" s="16">
        <v>11500</v>
      </c>
      <c r="G304" s="17" t="s">
        <v>51</v>
      </c>
      <c r="H304" s="13" t="s">
        <v>29</v>
      </c>
      <c r="I304" s="18" t="s">
        <v>30</v>
      </c>
      <c r="J304" s="27">
        <v>68000</v>
      </c>
    </row>
    <row r="305" spans="1:10" x14ac:dyDescent="0.25">
      <c r="A305" s="23">
        <v>1098654378</v>
      </c>
      <c r="B305" s="7" t="s">
        <v>400</v>
      </c>
      <c r="C305" s="8">
        <v>37</v>
      </c>
      <c r="D305" s="7" t="s">
        <v>26</v>
      </c>
      <c r="E305" s="9" t="s">
        <v>401</v>
      </c>
      <c r="F305" s="10">
        <v>11500</v>
      </c>
      <c r="G305" s="11" t="s">
        <v>13</v>
      </c>
      <c r="H305" s="7" t="s">
        <v>79</v>
      </c>
      <c r="I305" s="12" t="s">
        <v>30</v>
      </c>
      <c r="J305" s="26">
        <v>62000</v>
      </c>
    </row>
    <row r="306" spans="1:10" x14ac:dyDescent="0.25">
      <c r="A306" s="24">
        <v>1095803599</v>
      </c>
      <c r="B306" s="13" t="s">
        <v>402</v>
      </c>
      <c r="C306" s="14">
        <v>27</v>
      </c>
      <c r="D306" s="13" t="s">
        <v>26</v>
      </c>
      <c r="E306" s="15" t="s">
        <v>55</v>
      </c>
      <c r="F306" s="16">
        <v>11500</v>
      </c>
      <c r="G306" s="17" t="s">
        <v>76</v>
      </c>
      <c r="H306" s="13" t="s">
        <v>174</v>
      </c>
      <c r="I306" s="18" t="s">
        <v>87</v>
      </c>
      <c r="J306" s="27">
        <v>65000</v>
      </c>
    </row>
    <row r="307" spans="1:10" x14ac:dyDescent="0.25">
      <c r="A307" s="23">
        <v>28151659</v>
      </c>
      <c r="B307" s="7" t="s">
        <v>403</v>
      </c>
      <c r="C307" s="8">
        <v>23</v>
      </c>
      <c r="D307" s="7" t="s">
        <v>11</v>
      </c>
      <c r="E307" s="9" t="s">
        <v>40</v>
      </c>
      <c r="F307" s="10">
        <v>11500</v>
      </c>
      <c r="G307" s="11" t="s">
        <v>18</v>
      </c>
      <c r="H307" s="7" t="s">
        <v>41</v>
      </c>
      <c r="I307" s="12" t="s">
        <v>30</v>
      </c>
      <c r="J307" s="26">
        <v>55000</v>
      </c>
    </row>
    <row r="308" spans="1:10" x14ac:dyDescent="0.25">
      <c r="A308" s="24">
        <v>1098684698</v>
      </c>
      <c r="B308" s="13" t="s">
        <v>404</v>
      </c>
      <c r="C308" s="14">
        <v>45</v>
      </c>
      <c r="D308" s="13" t="s">
        <v>11</v>
      </c>
      <c r="E308" s="15" t="s">
        <v>50</v>
      </c>
      <c r="F308" s="16">
        <v>11500</v>
      </c>
      <c r="G308" s="17" t="s">
        <v>76</v>
      </c>
      <c r="H308" s="13" t="s">
        <v>174</v>
      </c>
      <c r="I308" s="18" t="s">
        <v>87</v>
      </c>
      <c r="J308" s="27">
        <v>86000</v>
      </c>
    </row>
    <row r="309" spans="1:10" x14ac:dyDescent="0.25">
      <c r="A309" s="24">
        <v>91533198</v>
      </c>
      <c r="B309" s="13" t="s">
        <v>405</v>
      </c>
      <c r="C309" s="14">
        <v>21</v>
      </c>
      <c r="D309" s="13" t="s">
        <v>26</v>
      </c>
      <c r="E309" s="15" t="s">
        <v>50</v>
      </c>
      <c r="F309" s="16">
        <v>10400</v>
      </c>
      <c r="G309" s="17" t="s">
        <v>18</v>
      </c>
      <c r="H309" s="13" t="s">
        <v>127</v>
      </c>
      <c r="I309" s="18" t="s">
        <v>45</v>
      </c>
      <c r="J309" s="27">
        <v>76000</v>
      </c>
    </row>
    <row r="310" spans="1:10" x14ac:dyDescent="0.25">
      <c r="A310" s="23">
        <v>1091052312</v>
      </c>
      <c r="B310" s="7" t="s">
        <v>406</v>
      </c>
      <c r="C310" s="8">
        <v>34</v>
      </c>
      <c r="D310" s="7" t="s">
        <v>11</v>
      </c>
      <c r="E310" s="9" t="s">
        <v>81</v>
      </c>
      <c r="F310" s="10">
        <v>10400</v>
      </c>
      <c r="G310" s="11" t="s">
        <v>13</v>
      </c>
      <c r="H310" s="7" t="s">
        <v>152</v>
      </c>
      <c r="I310" s="12" t="s">
        <v>153</v>
      </c>
      <c r="J310" s="26">
        <v>71000</v>
      </c>
    </row>
    <row r="311" spans="1:10" x14ac:dyDescent="0.25">
      <c r="A311" s="24">
        <v>91486230</v>
      </c>
      <c r="B311" s="13" t="s">
        <v>407</v>
      </c>
      <c r="C311" s="14">
        <v>43</v>
      </c>
      <c r="D311" s="13" t="s">
        <v>26</v>
      </c>
      <c r="E311" s="15" t="s">
        <v>112</v>
      </c>
      <c r="F311" s="16">
        <v>10400</v>
      </c>
      <c r="G311" s="17" t="s">
        <v>28</v>
      </c>
      <c r="H311" s="13" t="s">
        <v>252</v>
      </c>
      <c r="I311" s="18" t="s">
        <v>106</v>
      </c>
      <c r="J311" s="27">
        <v>74000</v>
      </c>
    </row>
    <row r="312" spans="1:10" x14ac:dyDescent="0.25">
      <c r="A312" s="23">
        <v>1098647957</v>
      </c>
      <c r="B312" s="7" t="s">
        <v>79</v>
      </c>
      <c r="C312" s="8">
        <v>26</v>
      </c>
      <c r="D312" s="7" t="s">
        <v>11</v>
      </c>
      <c r="E312" s="9" t="s">
        <v>234</v>
      </c>
      <c r="F312" s="10">
        <v>10400</v>
      </c>
      <c r="G312" s="11" t="s">
        <v>76</v>
      </c>
      <c r="H312" s="7" t="s">
        <v>162</v>
      </c>
      <c r="I312" s="12" t="s">
        <v>35</v>
      </c>
      <c r="J312" s="26">
        <v>66000</v>
      </c>
    </row>
    <row r="313" spans="1:10" x14ac:dyDescent="0.25">
      <c r="A313" s="24">
        <v>1130641271</v>
      </c>
      <c r="B313" s="13" t="s">
        <v>408</v>
      </c>
      <c r="C313" s="14">
        <v>40</v>
      </c>
      <c r="D313" s="13" t="s">
        <v>26</v>
      </c>
      <c r="E313" s="15" t="s">
        <v>234</v>
      </c>
      <c r="F313" s="16">
        <v>10400</v>
      </c>
      <c r="G313" s="17" t="s">
        <v>51</v>
      </c>
      <c r="H313" s="13" t="s">
        <v>252</v>
      </c>
      <c r="I313" s="18" t="s">
        <v>106</v>
      </c>
      <c r="J313" s="27">
        <v>57000</v>
      </c>
    </row>
    <row r="314" spans="1:10" x14ac:dyDescent="0.25">
      <c r="A314" s="24">
        <v>63451309</v>
      </c>
      <c r="B314" s="13" t="s">
        <v>409</v>
      </c>
      <c r="C314" s="14">
        <v>45</v>
      </c>
      <c r="D314" s="13" t="s">
        <v>11</v>
      </c>
      <c r="E314" s="15" t="s">
        <v>200</v>
      </c>
      <c r="F314" s="16">
        <v>10400</v>
      </c>
      <c r="G314" s="17" t="s">
        <v>38</v>
      </c>
      <c r="H314" s="13" t="s">
        <v>70</v>
      </c>
      <c r="I314" s="18" t="s">
        <v>30</v>
      </c>
      <c r="J314" s="27">
        <v>67000</v>
      </c>
    </row>
    <row r="315" spans="1:10" x14ac:dyDescent="0.25">
      <c r="A315" s="23">
        <v>1095800693</v>
      </c>
      <c r="B315" s="7" t="s">
        <v>410</v>
      </c>
      <c r="C315" s="8">
        <v>53</v>
      </c>
      <c r="D315" s="7" t="s">
        <v>11</v>
      </c>
      <c r="E315" s="9" t="s">
        <v>129</v>
      </c>
      <c r="F315" s="10">
        <v>10400</v>
      </c>
      <c r="G315" s="11" t="s">
        <v>66</v>
      </c>
      <c r="H315" s="7" t="s">
        <v>117</v>
      </c>
      <c r="I315" s="12" t="s">
        <v>53</v>
      </c>
      <c r="J315" s="26">
        <v>56000</v>
      </c>
    </row>
    <row r="316" spans="1:10" x14ac:dyDescent="0.25">
      <c r="A316" s="24">
        <v>1098665856</v>
      </c>
      <c r="B316" s="13" t="s">
        <v>411</v>
      </c>
      <c r="C316" s="14">
        <v>19</v>
      </c>
      <c r="D316" s="13" t="s">
        <v>26</v>
      </c>
      <c r="E316" s="15" t="s">
        <v>43</v>
      </c>
      <c r="F316" s="16">
        <v>11092</v>
      </c>
      <c r="G316" s="17" t="s">
        <v>56</v>
      </c>
      <c r="H316" s="13" t="s">
        <v>152</v>
      </c>
      <c r="I316" s="18" t="s">
        <v>153</v>
      </c>
      <c r="J316" s="27">
        <v>86000</v>
      </c>
    </row>
    <row r="317" spans="1:10" x14ac:dyDescent="0.25">
      <c r="A317" s="23">
        <v>1098663037</v>
      </c>
      <c r="B317" s="7" t="s">
        <v>412</v>
      </c>
      <c r="C317" s="8">
        <v>23</v>
      </c>
      <c r="D317" s="7" t="s">
        <v>11</v>
      </c>
      <c r="E317" s="9" t="s">
        <v>81</v>
      </c>
      <c r="F317" s="10">
        <v>15400</v>
      </c>
      <c r="G317" s="11" t="s">
        <v>66</v>
      </c>
      <c r="H317" s="7" t="s">
        <v>140</v>
      </c>
      <c r="I317" s="12" t="s">
        <v>24</v>
      </c>
      <c r="J317" s="26">
        <v>60000</v>
      </c>
    </row>
    <row r="318" spans="1:10" x14ac:dyDescent="0.25">
      <c r="A318" s="24">
        <v>34330896</v>
      </c>
      <c r="B318" s="13" t="s">
        <v>413</v>
      </c>
      <c r="C318" s="14">
        <v>41</v>
      </c>
      <c r="D318" s="13" t="s">
        <v>11</v>
      </c>
      <c r="E318" s="15" t="s">
        <v>97</v>
      </c>
      <c r="F318" s="16">
        <v>15400</v>
      </c>
      <c r="G318" s="17" t="s">
        <v>28</v>
      </c>
      <c r="H318" s="13" t="s">
        <v>252</v>
      </c>
      <c r="I318" s="18" t="s">
        <v>106</v>
      </c>
      <c r="J318" s="27">
        <v>75000</v>
      </c>
    </row>
    <row r="319" spans="1:10" x14ac:dyDescent="0.25">
      <c r="A319" s="24">
        <v>1098675742</v>
      </c>
      <c r="B319" s="13" t="s">
        <v>414</v>
      </c>
      <c r="C319" s="14">
        <v>33</v>
      </c>
      <c r="D319" s="13" t="s">
        <v>26</v>
      </c>
      <c r="E319" s="15" t="s">
        <v>12</v>
      </c>
      <c r="F319" s="16">
        <v>15400</v>
      </c>
      <c r="G319" s="17" t="s">
        <v>76</v>
      </c>
      <c r="H319" s="13" t="s">
        <v>14</v>
      </c>
      <c r="I319" s="18" t="s">
        <v>15</v>
      </c>
      <c r="J319" s="27">
        <v>57000</v>
      </c>
    </row>
    <row r="320" spans="1:10" x14ac:dyDescent="0.25">
      <c r="A320" s="23">
        <v>1098605519</v>
      </c>
      <c r="B320" s="7" t="s">
        <v>415</v>
      </c>
      <c r="C320" s="8">
        <v>25</v>
      </c>
      <c r="D320" s="7" t="s">
        <v>26</v>
      </c>
      <c r="E320" s="9" t="s">
        <v>116</v>
      </c>
      <c r="F320" s="10">
        <v>15400</v>
      </c>
      <c r="G320" s="11" t="s">
        <v>66</v>
      </c>
      <c r="H320" s="7" t="s">
        <v>93</v>
      </c>
      <c r="I320" s="12" t="s">
        <v>20</v>
      </c>
      <c r="J320" s="26">
        <v>52000</v>
      </c>
    </row>
    <row r="321" spans="1:10" x14ac:dyDescent="0.25">
      <c r="A321" s="24">
        <v>63559837</v>
      </c>
      <c r="B321" s="13" t="s">
        <v>416</v>
      </c>
      <c r="C321" s="14">
        <v>23</v>
      </c>
      <c r="D321" s="13" t="s">
        <v>11</v>
      </c>
      <c r="E321" s="15" t="s">
        <v>61</v>
      </c>
      <c r="F321" s="16">
        <v>15400</v>
      </c>
      <c r="G321" s="17" t="s">
        <v>13</v>
      </c>
      <c r="H321" s="13" t="s">
        <v>48</v>
      </c>
      <c r="I321" s="18" t="s">
        <v>45</v>
      </c>
      <c r="J321" s="27">
        <v>84000</v>
      </c>
    </row>
    <row r="322" spans="1:10" x14ac:dyDescent="0.25">
      <c r="A322" s="23">
        <v>1098623678</v>
      </c>
      <c r="B322" s="7" t="s">
        <v>417</v>
      </c>
      <c r="C322" s="8">
        <v>28</v>
      </c>
      <c r="D322" s="7" t="s">
        <v>11</v>
      </c>
      <c r="E322" s="9" t="s">
        <v>40</v>
      </c>
      <c r="F322" s="10">
        <v>15400</v>
      </c>
      <c r="G322" s="11" t="s">
        <v>56</v>
      </c>
      <c r="H322" s="7" t="s">
        <v>110</v>
      </c>
      <c r="I322" s="12" t="s">
        <v>35</v>
      </c>
      <c r="J322" s="26">
        <v>77000</v>
      </c>
    </row>
    <row r="323" spans="1:10" x14ac:dyDescent="0.25">
      <c r="A323" s="24">
        <v>1098643147</v>
      </c>
      <c r="B323" s="13" t="s">
        <v>418</v>
      </c>
      <c r="C323" s="14">
        <v>32</v>
      </c>
      <c r="D323" s="13" t="s">
        <v>11</v>
      </c>
      <c r="E323" s="15" t="s">
        <v>47</v>
      </c>
      <c r="F323" s="16">
        <v>15400</v>
      </c>
      <c r="G323" s="17" t="s">
        <v>13</v>
      </c>
      <c r="H323" s="13" t="s">
        <v>105</v>
      </c>
      <c r="I323" s="18" t="s">
        <v>106</v>
      </c>
      <c r="J323" s="27">
        <v>58000</v>
      </c>
    </row>
    <row r="324" spans="1:10" x14ac:dyDescent="0.25">
      <c r="A324" s="24">
        <v>1098692601</v>
      </c>
      <c r="B324" s="13" t="s">
        <v>419</v>
      </c>
      <c r="C324" s="14">
        <v>23</v>
      </c>
      <c r="D324" s="13" t="s">
        <v>11</v>
      </c>
      <c r="E324" s="15" t="s">
        <v>61</v>
      </c>
      <c r="F324" s="16">
        <v>15400</v>
      </c>
      <c r="G324" s="17" t="s">
        <v>76</v>
      </c>
      <c r="H324" s="13" t="s">
        <v>73</v>
      </c>
      <c r="I324" s="18" t="s">
        <v>30</v>
      </c>
      <c r="J324" s="27">
        <v>69000</v>
      </c>
    </row>
    <row r="325" spans="1:10" x14ac:dyDescent="0.25">
      <c r="A325" s="23">
        <v>13543859</v>
      </c>
      <c r="B325" s="7" t="s">
        <v>420</v>
      </c>
      <c r="C325" s="8">
        <v>53</v>
      </c>
      <c r="D325" s="7" t="s">
        <v>26</v>
      </c>
      <c r="E325" s="9" t="s">
        <v>97</v>
      </c>
      <c r="F325" s="10">
        <v>15400</v>
      </c>
      <c r="G325" s="11" t="s">
        <v>51</v>
      </c>
      <c r="H325" s="7" t="s">
        <v>67</v>
      </c>
      <c r="I325" s="12" t="s">
        <v>53</v>
      </c>
      <c r="J325" s="26">
        <v>75000</v>
      </c>
    </row>
    <row r="326" spans="1:10" x14ac:dyDescent="0.25">
      <c r="A326" s="24">
        <v>63546544</v>
      </c>
      <c r="B326" s="13" t="s">
        <v>421</v>
      </c>
      <c r="C326" s="14">
        <v>35</v>
      </c>
      <c r="D326" s="13" t="s">
        <v>11</v>
      </c>
      <c r="E326" s="15" t="s">
        <v>422</v>
      </c>
      <c r="F326" s="16">
        <v>15400</v>
      </c>
      <c r="G326" s="17" t="s">
        <v>56</v>
      </c>
      <c r="H326" s="13" t="s">
        <v>44</v>
      </c>
      <c r="I326" s="18" t="s">
        <v>45</v>
      </c>
      <c r="J326" s="27">
        <v>62000</v>
      </c>
    </row>
    <row r="327" spans="1:10" x14ac:dyDescent="0.25">
      <c r="A327" s="23">
        <v>1098669694</v>
      </c>
      <c r="B327" s="7" t="s">
        <v>423</v>
      </c>
      <c r="C327" s="8">
        <v>43</v>
      </c>
      <c r="D327" s="7" t="s">
        <v>11</v>
      </c>
      <c r="E327" s="9" t="s">
        <v>97</v>
      </c>
      <c r="F327" s="10">
        <v>15400</v>
      </c>
      <c r="G327" s="11" t="s">
        <v>28</v>
      </c>
      <c r="H327" s="7" t="s">
        <v>252</v>
      </c>
      <c r="I327" s="12" t="s">
        <v>106</v>
      </c>
      <c r="J327" s="26">
        <v>69000</v>
      </c>
    </row>
    <row r="328" spans="1:10" x14ac:dyDescent="0.25">
      <c r="A328" s="24">
        <v>1098649780</v>
      </c>
      <c r="B328" s="13" t="s">
        <v>424</v>
      </c>
      <c r="C328" s="14">
        <v>60</v>
      </c>
      <c r="D328" s="13" t="s">
        <v>11</v>
      </c>
      <c r="E328" s="15" t="s">
        <v>401</v>
      </c>
      <c r="F328" s="16">
        <v>15400</v>
      </c>
      <c r="G328" s="17" t="s">
        <v>18</v>
      </c>
      <c r="H328" s="13" t="s">
        <v>19</v>
      </c>
      <c r="I328" s="18" t="s">
        <v>20</v>
      </c>
      <c r="J328" s="27">
        <v>63000</v>
      </c>
    </row>
    <row r="329" spans="1:10" x14ac:dyDescent="0.25">
      <c r="A329" s="24">
        <v>63559551</v>
      </c>
      <c r="B329" s="13" t="s">
        <v>425</v>
      </c>
      <c r="C329" s="14">
        <v>23</v>
      </c>
      <c r="D329" s="13" t="s">
        <v>11</v>
      </c>
      <c r="E329" s="15" t="s">
        <v>248</v>
      </c>
      <c r="F329" s="16">
        <v>15400</v>
      </c>
      <c r="G329" s="17" t="s">
        <v>76</v>
      </c>
      <c r="H329" s="13" t="s">
        <v>110</v>
      </c>
      <c r="I329" s="18" t="s">
        <v>35</v>
      </c>
      <c r="J329" s="27">
        <v>72000</v>
      </c>
    </row>
    <row r="330" spans="1:10" x14ac:dyDescent="0.25">
      <c r="A330" s="23">
        <v>1098678705</v>
      </c>
      <c r="B330" s="7" t="s">
        <v>426</v>
      </c>
      <c r="C330" s="8">
        <v>27</v>
      </c>
      <c r="D330" s="7" t="s">
        <v>11</v>
      </c>
      <c r="E330" s="9" t="s">
        <v>148</v>
      </c>
      <c r="F330" s="10">
        <v>15400</v>
      </c>
      <c r="G330" s="11" t="s">
        <v>76</v>
      </c>
      <c r="H330" s="7" t="s">
        <v>29</v>
      </c>
      <c r="I330" s="12" t="s">
        <v>30</v>
      </c>
      <c r="J330" s="26">
        <v>68000</v>
      </c>
    </row>
    <row r="331" spans="1:10" x14ac:dyDescent="0.25">
      <c r="A331" s="24">
        <v>1082904130</v>
      </c>
      <c r="B331" s="13" t="s">
        <v>427</v>
      </c>
      <c r="C331" s="14">
        <v>26</v>
      </c>
      <c r="D331" s="13" t="s">
        <v>26</v>
      </c>
      <c r="E331" s="15" t="s">
        <v>47</v>
      </c>
      <c r="F331" s="16">
        <v>15400</v>
      </c>
      <c r="G331" s="17" t="s">
        <v>56</v>
      </c>
      <c r="H331" s="13" t="s">
        <v>110</v>
      </c>
      <c r="I331" s="18" t="s">
        <v>35</v>
      </c>
      <c r="J331" s="27">
        <v>54000</v>
      </c>
    </row>
    <row r="332" spans="1:10" x14ac:dyDescent="0.25">
      <c r="A332" s="23">
        <v>1095913359</v>
      </c>
      <c r="B332" s="7" t="s">
        <v>428</v>
      </c>
      <c r="C332" s="8">
        <v>35</v>
      </c>
      <c r="D332" s="7" t="s">
        <v>11</v>
      </c>
      <c r="E332" s="9" t="s">
        <v>61</v>
      </c>
      <c r="F332" s="10">
        <v>10400</v>
      </c>
      <c r="G332" s="11" t="s">
        <v>76</v>
      </c>
      <c r="H332" s="7" t="s">
        <v>48</v>
      </c>
      <c r="I332" s="12" t="s">
        <v>45</v>
      </c>
      <c r="J332" s="26">
        <v>65000</v>
      </c>
    </row>
    <row r="333" spans="1:10" x14ac:dyDescent="0.25">
      <c r="A333" s="24">
        <v>1098675668</v>
      </c>
      <c r="B333" s="13" t="s">
        <v>429</v>
      </c>
      <c r="C333" s="14">
        <v>35</v>
      </c>
      <c r="D333" s="13" t="s">
        <v>11</v>
      </c>
      <c r="E333" s="15" t="s">
        <v>32</v>
      </c>
      <c r="F333" s="16">
        <v>10400</v>
      </c>
      <c r="G333" s="17" t="s">
        <v>18</v>
      </c>
      <c r="H333" s="13" t="s">
        <v>23</v>
      </c>
      <c r="I333" s="18" t="s">
        <v>24</v>
      </c>
      <c r="J333" s="27">
        <v>53000</v>
      </c>
    </row>
    <row r="334" spans="1:10" x14ac:dyDescent="0.25">
      <c r="A334" s="24">
        <v>1098642759</v>
      </c>
      <c r="B334" s="13" t="s">
        <v>430</v>
      </c>
      <c r="C334" s="14">
        <v>21</v>
      </c>
      <c r="D334" s="13" t="s">
        <v>11</v>
      </c>
      <c r="E334" s="15" t="s">
        <v>55</v>
      </c>
      <c r="F334" s="16">
        <v>10400</v>
      </c>
      <c r="G334" s="17" t="s">
        <v>66</v>
      </c>
      <c r="H334" s="13" t="s">
        <v>67</v>
      </c>
      <c r="I334" s="18" t="s">
        <v>53</v>
      </c>
      <c r="J334" s="27">
        <v>67000</v>
      </c>
    </row>
    <row r="335" spans="1:10" x14ac:dyDescent="0.25">
      <c r="A335" s="23">
        <v>1102349983</v>
      </c>
      <c r="B335" s="7" t="s">
        <v>431</v>
      </c>
      <c r="C335" s="8">
        <v>35</v>
      </c>
      <c r="D335" s="7" t="s">
        <v>26</v>
      </c>
      <c r="E335" s="9" t="s">
        <v>61</v>
      </c>
      <c r="F335" s="10">
        <v>10400</v>
      </c>
      <c r="G335" s="11" t="s">
        <v>56</v>
      </c>
      <c r="H335" s="7" t="s">
        <v>73</v>
      </c>
      <c r="I335" s="12" t="s">
        <v>30</v>
      </c>
      <c r="J335" s="26">
        <v>56000</v>
      </c>
    </row>
    <row r="336" spans="1:10" x14ac:dyDescent="0.25">
      <c r="A336" s="24">
        <v>53008555</v>
      </c>
      <c r="B336" s="13" t="s">
        <v>34</v>
      </c>
      <c r="C336" s="14">
        <v>43</v>
      </c>
      <c r="D336" s="13" t="s">
        <v>11</v>
      </c>
      <c r="E336" s="15" t="s">
        <v>432</v>
      </c>
      <c r="F336" s="16">
        <v>10400</v>
      </c>
      <c r="G336" s="17" t="s">
        <v>18</v>
      </c>
      <c r="H336" s="13" t="s">
        <v>162</v>
      </c>
      <c r="I336" s="18" t="s">
        <v>35</v>
      </c>
      <c r="J336" s="27">
        <v>87000</v>
      </c>
    </row>
    <row r="337" spans="1:10" x14ac:dyDescent="0.25">
      <c r="A337" s="23">
        <v>1095920422</v>
      </c>
      <c r="B337" s="7" t="s">
        <v>433</v>
      </c>
      <c r="C337" s="8">
        <v>50</v>
      </c>
      <c r="D337" s="7" t="s">
        <v>11</v>
      </c>
      <c r="E337" s="9" t="s">
        <v>81</v>
      </c>
      <c r="F337" s="10">
        <v>10400</v>
      </c>
      <c r="G337" s="11" t="s">
        <v>76</v>
      </c>
      <c r="H337" s="7" t="s">
        <v>44</v>
      </c>
      <c r="I337" s="12" t="s">
        <v>45</v>
      </c>
      <c r="J337" s="26">
        <v>78000</v>
      </c>
    </row>
    <row r="338" spans="1:10" x14ac:dyDescent="0.25">
      <c r="A338" s="24">
        <v>1098664940</v>
      </c>
      <c r="B338" s="13" t="s">
        <v>127</v>
      </c>
      <c r="C338" s="14">
        <v>53</v>
      </c>
      <c r="D338" s="13" t="s">
        <v>11</v>
      </c>
      <c r="E338" s="15" t="s">
        <v>137</v>
      </c>
      <c r="F338" s="16">
        <v>10400</v>
      </c>
      <c r="G338" s="17" t="s">
        <v>18</v>
      </c>
      <c r="H338" s="13" t="s">
        <v>162</v>
      </c>
      <c r="I338" s="18" t="s">
        <v>35</v>
      </c>
      <c r="J338" s="27">
        <v>71000</v>
      </c>
    </row>
    <row r="339" spans="1:10" x14ac:dyDescent="0.25">
      <c r="A339" s="24">
        <v>1098707978</v>
      </c>
      <c r="B339" s="13" t="s">
        <v>434</v>
      </c>
      <c r="C339" s="14">
        <v>35</v>
      </c>
      <c r="D339" s="13" t="s">
        <v>11</v>
      </c>
      <c r="E339" s="15" t="s">
        <v>248</v>
      </c>
      <c r="F339" s="16">
        <v>10400</v>
      </c>
      <c r="G339" s="17" t="s">
        <v>18</v>
      </c>
      <c r="H339" s="13" t="s">
        <v>44</v>
      </c>
      <c r="I339" s="18" t="s">
        <v>45</v>
      </c>
      <c r="J339" s="27">
        <v>85000</v>
      </c>
    </row>
    <row r="340" spans="1:10" x14ac:dyDescent="0.25">
      <c r="A340" s="23">
        <v>63550243</v>
      </c>
      <c r="B340" s="7" t="s">
        <v>435</v>
      </c>
      <c r="C340" s="8">
        <v>25</v>
      </c>
      <c r="D340" s="7" t="s">
        <v>11</v>
      </c>
      <c r="E340" s="9" t="s">
        <v>436</v>
      </c>
      <c r="F340" s="10">
        <v>8500</v>
      </c>
      <c r="G340" s="11" t="s">
        <v>13</v>
      </c>
      <c r="H340" s="7" t="s">
        <v>62</v>
      </c>
      <c r="I340" s="12" t="s">
        <v>24</v>
      </c>
      <c r="J340" s="26">
        <v>83000</v>
      </c>
    </row>
    <row r="341" spans="1:10" x14ac:dyDescent="0.25">
      <c r="A341" s="24">
        <v>1098661933</v>
      </c>
      <c r="B341" s="13" t="s">
        <v>437</v>
      </c>
      <c r="C341" s="14">
        <v>35</v>
      </c>
      <c r="D341" s="13" t="s">
        <v>11</v>
      </c>
      <c r="E341" s="15" t="s">
        <v>12</v>
      </c>
      <c r="F341" s="16">
        <v>8500</v>
      </c>
      <c r="G341" s="17" t="s">
        <v>13</v>
      </c>
      <c r="H341" s="13" t="s">
        <v>14</v>
      </c>
      <c r="I341" s="18" t="s">
        <v>15</v>
      </c>
      <c r="J341" s="27">
        <v>85000</v>
      </c>
    </row>
    <row r="342" spans="1:10" x14ac:dyDescent="0.25">
      <c r="A342" s="23">
        <v>37745286</v>
      </c>
      <c r="B342" s="7" t="s">
        <v>438</v>
      </c>
      <c r="C342" s="8">
        <v>35</v>
      </c>
      <c r="D342" s="7" t="s">
        <v>11</v>
      </c>
      <c r="E342" s="9" t="s">
        <v>112</v>
      </c>
      <c r="F342" s="10">
        <v>8500</v>
      </c>
      <c r="G342" s="11" t="s">
        <v>13</v>
      </c>
      <c r="H342" s="7" t="s">
        <v>44</v>
      </c>
      <c r="I342" s="12" t="s">
        <v>45</v>
      </c>
      <c r="J342" s="26">
        <v>63000</v>
      </c>
    </row>
    <row r="343" spans="1:10" x14ac:dyDescent="0.25">
      <c r="A343" s="24">
        <v>1098655692</v>
      </c>
      <c r="B343" s="13" t="s">
        <v>73</v>
      </c>
      <c r="C343" s="14">
        <v>42</v>
      </c>
      <c r="D343" s="13" t="s">
        <v>26</v>
      </c>
      <c r="E343" s="15" t="s">
        <v>112</v>
      </c>
      <c r="F343" s="16">
        <v>8500</v>
      </c>
      <c r="G343" s="17" t="s">
        <v>13</v>
      </c>
      <c r="H343" s="13" t="s">
        <v>162</v>
      </c>
      <c r="I343" s="18" t="s">
        <v>35</v>
      </c>
      <c r="J343" s="27">
        <v>85000</v>
      </c>
    </row>
    <row r="344" spans="1:10" x14ac:dyDescent="0.25">
      <c r="A344" s="24">
        <v>1098663663</v>
      </c>
      <c r="B344" s="13" t="s">
        <v>439</v>
      </c>
      <c r="C344" s="14">
        <v>19</v>
      </c>
      <c r="D344" s="13" t="s">
        <v>26</v>
      </c>
      <c r="E344" s="15" t="s">
        <v>32</v>
      </c>
      <c r="F344" s="16">
        <v>10500</v>
      </c>
      <c r="G344" s="17" t="s">
        <v>56</v>
      </c>
      <c r="H344" s="13" t="s">
        <v>48</v>
      </c>
      <c r="I344" s="18" t="s">
        <v>45</v>
      </c>
      <c r="J344" s="27">
        <v>67000</v>
      </c>
    </row>
    <row r="345" spans="1:10" x14ac:dyDescent="0.25">
      <c r="A345" s="23">
        <v>1098674335</v>
      </c>
      <c r="B345" s="7" t="s">
        <v>440</v>
      </c>
      <c r="C345" s="8">
        <v>43</v>
      </c>
      <c r="D345" s="7" t="s">
        <v>11</v>
      </c>
      <c r="E345" s="9" t="s">
        <v>55</v>
      </c>
      <c r="F345" s="10">
        <v>10500</v>
      </c>
      <c r="G345" s="11" t="s">
        <v>76</v>
      </c>
      <c r="H345" s="7" t="s">
        <v>110</v>
      </c>
      <c r="I345" s="12" t="s">
        <v>35</v>
      </c>
      <c r="J345" s="26">
        <v>89000</v>
      </c>
    </row>
    <row r="346" spans="1:10" x14ac:dyDescent="0.25">
      <c r="A346" s="24">
        <v>63557946</v>
      </c>
      <c r="B346" s="13" t="s">
        <v>441</v>
      </c>
      <c r="C346" s="14">
        <v>21</v>
      </c>
      <c r="D346" s="13" t="s">
        <v>11</v>
      </c>
      <c r="E346" s="15" t="s">
        <v>47</v>
      </c>
      <c r="F346" s="16">
        <v>10500</v>
      </c>
      <c r="G346" s="17" t="s">
        <v>76</v>
      </c>
      <c r="H346" s="13" t="s">
        <v>105</v>
      </c>
      <c r="I346" s="18" t="s">
        <v>106</v>
      </c>
      <c r="J346" s="27">
        <v>80000</v>
      </c>
    </row>
    <row r="347" spans="1:10" x14ac:dyDescent="0.25">
      <c r="A347" s="23">
        <v>1095808388</v>
      </c>
      <c r="B347" s="7" t="s">
        <v>442</v>
      </c>
      <c r="C347" s="8">
        <v>62</v>
      </c>
      <c r="D347" s="7" t="s">
        <v>11</v>
      </c>
      <c r="E347" s="9" t="s">
        <v>40</v>
      </c>
      <c r="F347" s="10">
        <v>10500</v>
      </c>
      <c r="G347" s="11" t="s">
        <v>33</v>
      </c>
      <c r="H347" s="7" t="s">
        <v>117</v>
      </c>
      <c r="I347" s="12" t="s">
        <v>53</v>
      </c>
      <c r="J347" s="26">
        <v>79000</v>
      </c>
    </row>
    <row r="348" spans="1:10" x14ac:dyDescent="0.25">
      <c r="A348" s="24">
        <v>63563391</v>
      </c>
      <c r="B348" s="13" t="s">
        <v>443</v>
      </c>
      <c r="C348" s="14">
        <v>33</v>
      </c>
      <c r="D348" s="13" t="s">
        <v>11</v>
      </c>
      <c r="E348" s="15" t="s">
        <v>148</v>
      </c>
      <c r="F348" s="16">
        <v>15400</v>
      </c>
      <c r="G348" s="17" t="s">
        <v>51</v>
      </c>
      <c r="H348" s="13" t="s">
        <v>93</v>
      </c>
      <c r="I348" s="18" t="s">
        <v>20</v>
      </c>
      <c r="J348" s="27">
        <v>82000</v>
      </c>
    </row>
    <row r="349" spans="1:10" x14ac:dyDescent="0.25">
      <c r="A349" s="24">
        <v>1102351647</v>
      </c>
      <c r="B349" s="13" t="s">
        <v>444</v>
      </c>
      <c r="C349" s="14">
        <v>27</v>
      </c>
      <c r="D349" s="13" t="s">
        <v>11</v>
      </c>
      <c r="E349" s="15" t="s">
        <v>61</v>
      </c>
      <c r="F349" s="16">
        <v>15400</v>
      </c>
      <c r="G349" s="17" t="s">
        <v>13</v>
      </c>
      <c r="H349" s="13" t="s">
        <v>48</v>
      </c>
      <c r="I349" s="18" t="s">
        <v>45</v>
      </c>
      <c r="J349" s="27">
        <v>83000</v>
      </c>
    </row>
    <row r="350" spans="1:10" x14ac:dyDescent="0.25">
      <c r="A350" s="23">
        <v>63539377</v>
      </c>
      <c r="B350" s="7" t="s">
        <v>445</v>
      </c>
      <c r="C350" s="8">
        <v>29</v>
      </c>
      <c r="D350" s="7" t="s">
        <v>11</v>
      </c>
      <c r="E350" s="9" t="s">
        <v>32</v>
      </c>
      <c r="F350" s="10">
        <v>15400</v>
      </c>
      <c r="G350" s="11" t="s">
        <v>33</v>
      </c>
      <c r="H350" s="7" t="s">
        <v>86</v>
      </c>
      <c r="I350" s="12" t="s">
        <v>87</v>
      </c>
      <c r="J350" s="26">
        <v>52000</v>
      </c>
    </row>
    <row r="351" spans="1:10" x14ac:dyDescent="0.25">
      <c r="A351" s="24">
        <v>1095802066</v>
      </c>
      <c r="B351" s="13" t="s">
        <v>446</v>
      </c>
      <c r="C351" s="14">
        <v>40</v>
      </c>
      <c r="D351" s="13" t="s">
        <v>11</v>
      </c>
      <c r="E351" s="15" t="s">
        <v>61</v>
      </c>
      <c r="F351" s="16">
        <v>15400</v>
      </c>
      <c r="G351" s="17" t="s">
        <v>13</v>
      </c>
      <c r="H351" s="13" t="s">
        <v>48</v>
      </c>
      <c r="I351" s="18" t="s">
        <v>45</v>
      </c>
      <c r="J351" s="27">
        <v>79000</v>
      </c>
    </row>
    <row r="352" spans="1:10" x14ac:dyDescent="0.25">
      <c r="A352" s="23">
        <v>1098668111</v>
      </c>
      <c r="B352" s="7" t="s">
        <v>447</v>
      </c>
      <c r="C352" s="8">
        <v>42</v>
      </c>
      <c r="D352" s="7" t="s">
        <v>26</v>
      </c>
      <c r="E352" s="9" t="s">
        <v>112</v>
      </c>
      <c r="F352" s="10">
        <v>15400</v>
      </c>
      <c r="G352" s="11" t="s">
        <v>38</v>
      </c>
      <c r="H352" s="7" t="s">
        <v>86</v>
      </c>
      <c r="I352" s="12" t="s">
        <v>87</v>
      </c>
      <c r="J352" s="26">
        <v>57000</v>
      </c>
    </row>
    <row r="353" spans="1:10" x14ac:dyDescent="0.25">
      <c r="A353" s="24">
        <v>1098658705</v>
      </c>
      <c r="B353" s="13" t="s">
        <v>448</v>
      </c>
      <c r="C353" s="14">
        <v>39</v>
      </c>
      <c r="D353" s="13" t="s">
        <v>11</v>
      </c>
      <c r="E353" s="15" t="s">
        <v>50</v>
      </c>
      <c r="F353" s="16">
        <v>15400</v>
      </c>
      <c r="G353" s="17" t="s">
        <v>38</v>
      </c>
      <c r="H353" s="13" t="s">
        <v>127</v>
      </c>
      <c r="I353" s="18" t="s">
        <v>45</v>
      </c>
      <c r="J353" s="27">
        <v>71000</v>
      </c>
    </row>
    <row r="354" spans="1:10" x14ac:dyDescent="0.25">
      <c r="A354" s="24">
        <v>37728136</v>
      </c>
      <c r="B354" s="13" t="s">
        <v>449</v>
      </c>
      <c r="C354" s="14">
        <v>37</v>
      </c>
      <c r="D354" s="13" t="s">
        <v>11</v>
      </c>
      <c r="E354" s="15" t="s">
        <v>145</v>
      </c>
      <c r="F354" s="16">
        <v>8500</v>
      </c>
      <c r="G354" s="17" t="s">
        <v>56</v>
      </c>
      <c r="H354" s="13" t="s">
        <v>152</v>
      </c>
      <c r="I354" s="18" t="s">
        <v>153</v>
      </c>
      <c r="J354" s="27">
        <v>87000</v>
      </c>
    </row>
    <row r="355" spans="1:10" x14ac:dyDescent="0.25">
      <c r="A355" s="23">
        <v>37620760</v>
      </c>
      <c r="B355" s="7" t="s">
        <v>450</v>
      </c>
      <c r="C355" s="8">
        <v>43</v>
      </c>
      <c r="D355" s="7" t="s">
        <v>11</v>
      </c>
      <c r="E355" s="9" t="s">
        <v>220</v>
      </c>
      <c r="F355" s="10">
        <v>8500</v>
      </c>
      <c r="G355" s="11" t="s">
        <v>38</v>
      </c>
      <c r="H355" s="7" t="s">
        <v>117</v>
      </c>
      <c r="I355" s="12" t="s">
        <v>53</v>
      </c>
      <c r="J355" s="26">
        <v>67000</v>
      </c>
    </row>
    <row r="356" spans="1:10" x14ac:dyDescent="0.25">
      <c r="A356" s="24">
        <v>37840241</v>
      </c>
      <c r="B356" s="13" t="s">
        <v>451</v>
      </c>
      <c r="C356" s="14">
        <v>60</v>
      </c>
      <c r="D356" s="13" t="s">
        <v>11</v>
      </c>
      <c r="E356" s="15" t="s">
        <v>69</v>
      </c>
      <c r="F356" s="16">
        <v>8500</v>
      </c>
      <c r="G356" s="17" t="s">
        <v>18</v>
      </c>
      <c r="H356" s="13" t="s">
        <v>34</v>
      </c>
      <c r="I356" s="18" t="s">
        <v>35</v>
      </c>
      <c r="J356" s="27">
        <v>66000</v>
      </c>
    </row>
    <row r="357" spans="1:10" x14ac:dyDescent="0.25">
      <c r="A357" s="23">
        <v>5688861</v>
      </c>
      <c r="B357" s="7" t="s">
        <v>452</v>
      </c>
      <c r="C357" s="8">
        <v>35</v>
      </c>
      <c r="D357" s="7" t="s">
        <v>26</v>
      </c>
      <c r="E357" s="9" t="s">
        <v>123</v>
      </c>
      <c r="F357" s="10">
        <v>8500</v>
      </c>
      <c r="G357" s="11" t="s">
        <v>56</v>
      </c>
      <c r="H357" s="7" t="s">
        <v>110</v>
      </c>
      <c r="I357" s="12" t="s">
        <v>35</v>
      </c>
      <c r="J357" s="26">
        <v>63000</v>
      </c>
    </row>
    <row r="358" spans="1:10" x14ac:dyDescent="0.25">
      <c r="A358" s="24">
        <v>1083890241</v>
      </c>
      <c r="B358" s="13" t="s">
        <v>453</v>
      </c>
      <c r="C358" s="14">
        <v>30</v>
      </c>
      <c r="D358" s="13" t="s">
        <v>11</v>
      </c>
      <c r="E358" s="15" t="s">
        <v>55</v>
      </c>
      <c r="F358" s="16">
        <v>8500</v>
      </c>
      <c r="G358" s="17" t="s">
        <v>56</v>
      </c>
      <c r="H358" s="13" t="s">
        <v>174</v>
      </c>
      <c r="I358" s="18" t="s">
        <v>87</v>
      </c>
      <c r="J358" s="27">
        <v>52000</v>
      </c>
    </row>
    <row r="359" spans="1:10" x14ac:dyDescent="0.25">
      <c r="A359" s="24">
        <v>63454218</v>
      </c>
      <c r="B359" s="13" t="s">
        <v>454</v>
      </c>
      <c r="C359" s="14">
        <v>31</v>
      </c>
      <c r="D359" s="13" t="s">
        <v>11</v>
      </c>
      <c r="E359" s="15" t="s">
        <v>455</v>
      </c>
      <c r="F359" s="16">
        <v>8500</v>
      </c>
      <c r="G359" s="17" t="s">
        <v>38</v>
      </c>
      <c r="H359" s="13" t="s">
        <v>19</v>
      </c>
      <c r="I359" s="18" t="s">
        <v>20</v>
      </c>
      <c r="J359" s="27">
        <v>56000</v>
      </c>
    </row>
    <row r="360" spans="1:10" x14ac:dyDescent="0.25">
      <c r="A360" s="23">
        <v>1098648177</v>
      </c>
      <c r="B360" s="7" t="s">
        <v>456</v>
      </c>
      <c r="C360" s="8">
        <v>25</v>
      </c>
      <c r="D360" s="7" t="s">
        <v>11</v>
      </c>
      <c r="E360" s="9" t="s">
        <v>47</v>
      </c>
      <c r="F360" s="10">
        <v>10600</v>
      </c>
      <c r="G360" s="11" t="s">
        <v>13</v>
      </c>
      <c r="H360" s="7" t="s">
        <v>105</v>
      </c>
      <c r="I360" s="12" t="s">
        <v>106</v>
      </c>
      <c r="J360" s="26">
        <v>62000</v>
      </c>
    </row>
    <row r="361" spans="1:10" x14ac:dyDescent="0.25">
      <c r="A361" s="24">
        <v>63527108</v>
      </c>
      <c r="B361" s="13" t="s">
        <v>457</v>
      </c>
      <c r="C361" s="14">
        <v>43</v>
      </c>
      <c r="D361" s="13" t="s">
        <v>11</v>
      </c>
      <c r="E361" s="15" t="s">
        <v>32</v>
      </c>
      <c r="F361" s="16">
        <v>10600</v>
      </c>
      <c r="G361" s="17" t="s">
        <v>38</v>
      </c>
      <c r="H361" s="13" t="s">
        <v>59</v>
      </c>
      <c r="I361" s="18" t="s">
        <v>35</v>
      </c>
      <c r="J361" s="27">
        <v>81000</v>
      </c>
    </row>
    <row r="362" spans="1:10" x14ac:dyDescent="0.25">
      <c r="A362" s="23">
        <v>1098657039</v>
      </c>
      <c r="B362" s="7" t="s">
        <v>458</v>
      </c>
      <c r="C362" s="8">
        <v>28</v>
      </c>
      <c r="D362" s="7" t="s">
        <v>26</v>
      </c>
      <c r="E362" s="9" t="s">
        <v>61</v>
      </c>
      <c r="F362" s="10">
        <v>10600</v>
      </c>
      <c r="G362" s="11" t="s">
        <v>56</v>
      </c>
      <c r="H362" s="7" t="s">
        <v>152</v>
      </c>
      <c r="I362" s="12" t="s">
        <v>153</v>
      </c>
      <c r="J362" s="26">
        <v>63000</v>
      </c>
    </row>
    <row r="363" spans="1:10" x14ac:dyDescent="0.25">
      <c r="A363" s="24">
        <v>91525538</v>
      </c>
      <c r="B363" s="13" t="s">
        <v>459</v>
      </c>
      <c r="C363" s="14">
        <v>29</v>
      </c>
      <c r="D363" s="13" t="s">
        <v>26</v>
      </c>
      <c r="E363" s="15" t="s">
        <v>123</v>
      </c>
      <c r="F363" s="16">
        <v>10600</v>
      </c>
      <c r="G363" s="17" t="s">
        <v>33</v>
      </c>
      <c r="H363" s="13" t="s">
        <v>41</v>
      </c>
      <c r="I363" s="18" t="s">
        <v>30</v>
      </c>
      <c r="J363" s="27">
        <v>89000</v>
      </c>
    </row>
    <row r="364" spans="1:10" x14ac:dyDescent="0.25">
      <c r="A364" s="24">
        <v>1095913220</v>
      </c>
      <c r="B364" s="13" t="s">
        <v>460</v>
      </c>
      <c r="C364" s="14">
        <v>50</v>
      </c>
      <c r="D364" s="13" t="s">
        <v>11</v>
      </c>
      <c r="E364" s="15" t="s">
        <v>248</v>
      </c>
      <c r="F364" s="16">
        <v>10600</v>
      </c>
      <c r="G364" s="17" t="s">
        <v>76</v>
      </c>
      <c r="H364" s="13" t="s">
        <v>44</v>
      </c>
      <c r="I364" s="18" t="s">
        <v>45</v>
      </c>
      <c r="J364" s="27">
        <v>87000</v>
      </c>
    </row>
    <row r="365" spans="1:10" x14ac:dyDescent="0.25">
      <c r="A365" s="23">
        <v>63552962</v>
      </c>
      <c r="B365" s="7" t="s">
        <v>461</v>
      </c>
      <c r="C365" s="8">
        <v>35</v>
      </c>
      <c r="D365" s="7" t="s">
        <v>11</v>
      </c>
      <c r="E365" s="9" t="s">
        <v>422</v>
      </c>
      <c r="F365" s="10">
        <v>15400</v>
      </c>
      <c r="G365" s="11" t="s">
        <v>13</v>
      </c>
      <c r="H365" s="7" t="s">
        <v>105</v>
      </c>
      <c r="I365" s="12" t="s">
        <v>106</v>
      </c>
      <c r="J365" s="26">
        <v>79000</v>
      </c>
    </row>
    <row r="366" spans="1:10" x14ac:dyDescent="0.25">
      <c r="A366" s="24">
        <v>91536086</v>
      </c>
      <c r="B366" s="13" t="s">
        <v>462</v>
      </c>
      <c r="C366" s="14">
        <v>53</v>
      </c>
      <c r="D366" s="13" t="s">
        <v>26</v>
      </c>
      <c r="E366" s="15" t="s">
        <v>78</v>
      </c>
      <c r="F366" s="16">
        <v>15400</v>
      </c>
      <c r="G366" s="17" t="s">
        <v>18</v>
      </c>
      <c r="H366" s="13" t="s">
        <v>19</v>
      </c>
      <c r="I366" s="18" t="s">
        <v>20</v>
      </c>
      <c r="J366" s="27">
        <v>72000</v>
      </c>
    </row>
    <row r="367" spans="1:10" x14ac:dyDescent="0.25">
      <c r="A367" s="23">
        <v>28218650</v>
      </c>
      <c r="B367" s="7" t="s">
        <v>463</v>
      </c>
      <c r="C367" s="8">
        <v>58</v>
      </c>
      <c r="D367" s="7" t="s">
        <v>11</v>
      </c>
      <c r="E367" s="9" t="s">
        <v>81</v>
      </c>
      <c r="F367" s="10">
        <v>15400</v>
      </c>
      <c r="G367" s="11" t="s">
        <v>38</v>
      </c>
      <c r="H367" s="7" t="s">
        <v>19</v>
      </c>
      <c r="I367" s="12" t="s">
        <v>20</v>
      </c>
      <c r="J367" s="26">
        <v>85000</v>
      </c>
    </row>
    <row r="368" spans="1:10" x14ac:dyDescent="0.25">
      <c r="A368" s="24">
        <v>1098638146</v>
      </c>
      <c r="B368" s="13" t="s">
        <v>464</v>
      </c>
      <c r="C368" s="14">
        <v>61</v>
      </c>
      <c r="D368" s="13" t="s">
        <v>11</v>
      </c>
      <c r="E368" s="15" t="s">
        <v>78</v>
      </c>
      <c r="F368" s="16">
        <v>15400</v>
      </c>
      <c r="G368" s="17" t="s">
        <v>56</v>
      </c>
      <c r="H368" s="13" t="s">
        <v>79</v>
      </c>
      <c r="I368" s="18" t="s">
        <v>30</v>
      </c>
      <c r="J368" s="27">
        <v>89000</v>
      </c>
    </row>
    <row r="369" spans="1:10" x14ac:dyDescent="0.25">
      <c r="A369" s="24">
        <v>63559472</v>
      </c>
      <c r="B369" s="13" t="s">
        <v>465</v>
      </c>
      <c r="C369" s="14">
        <v>23</v>
      </c>
      <c r="D369" s="13" t="s">
        <v>11</v>
      </c>
      <c r="E369" s="15" t="s">
        <v>123</v>
      </c>
      <c r="F369" s="16">
        <v>15400</v>
      </c>
      <c r="G369" s="17" t="s">
        <v>13</v>
      </c>
      <c r="H369" s="13" t="s">
        <v>182</v>
      </c>
      <c r="I369" s="18" t="s">
        <v>24</v>
      </c>
      <c r="J369" s="27">
        <v>61000</v>
      </c>
    </row>
    <row r="370" spans="1:10" x14ac:dyDescent="0.25">
      <c r="A370" s="23">
        <v>63561203</v>
      </c>
      <c r="B370" s="7" t="s">
        <v>466</v>
      </c>
      <c r="C370" s="8">
        <v>30</v>
      </c>
      <c r="D370" s="7" t="s">
        <v>11</v>
      </c>
      <c r="E370" s="9" t="s">
        <v>234</v>
      </c>
      <c r="F370" s="10">
        <v>15400</v>
      </c>
      <c r="G370" s="11" t="s">
        <v>56</v>
      </c>
      <c r="H370" s="7" t="s">
        <v>152</v>
      </c>
      <c r="I370" s="12" t="s">
        <v>153</v>
      </c>
      <c r="J370" s="26">
        <v>70000</v>
      </c>
    </row>
    <row r="371" spans="1:10" x14ac:dyDescent="0.25">
      <c r="A371" s="24">
        <v>1095792880</v>
      </c>
      <c r="B371" s="13" t="s">
        <v>467</v>
      </c>
      <c r="C371" s="14">
        <v>43</v>
      </c>
      <c r="D371" s="13" t="s">
        <v>26</v>
      </c>
      <c r="E371" s="15" t="s">
        <v>220</v>
      </c>
      <c r="F371" s="16">
        <v>8500</v>
      </c>
      <c r="G371" s="17" t="s">
        <v>66</v>
      </c>
      <c r="H371" s="13" t="s">
        <v>67</v>
      </c>
      <c r="I371" s="18" t="s">
        <v>53</v>
      </c>
      <c r="J371" s="27">
        <v>55000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2C750-EBC4-4626-A57D-F433BD0F17C6}">
  <dimension ref="B7:C30"/>
  <sheetViews>
    <sheetView showGridLines="0" zoomScale="110" zoomScaleNormal="110" workbookViewId="0">
      <selection activeCell="J4" sqref="J4"/>
    </sheetView>
  </sheetViews>
  <sheetFormatPr baseColWidth="10" defaultRowHeight="15" x14ac:dyDescent="0.25"/>
  <cols>
    <col min="1" max="1" width="11.42578125" style="19"/>
    <col min="2" max="2" width="17.42578125" style="19" bestFit="1" customWidth="1"/>
    <col min="3" max="3" width="18.85546875" style="19" bestFit="1" customWidth="1"/>
    <col min="4" max="16384" width="11.42578125" style="19"/>
  </cols>
  <sheetData>
    <row r="7" s="20" customFormat="1" x14ac:dyDescent="0.25"/>
    <row r="8" s="20" customFormat="1" x14ac:dyDescent="0.25"/>
    <row r="9" s="20" customFormat="1" x14ac:dyDescent="0.25"/>
    <row r="10" s="20" customFormat="1" x14ac:dyDescent="0.25"/>
    <row r="11" s="20" customFormat="1" x14ac:dyDescent="0.25"/>
    <row r="12" s="20" customFormat="1" x14ac:dyDescent="0.25"/>
    <row r="13" s="20" customFormat="1" x14ac:dyDescent="0.25"/>
    <row r="14" s="20" customFormat="1" x14ac:dyDescent="0.25"/>
    <row r="18" spans="2:3" ht="18.75" x14ac:dyDescent="0.3">
      <c r="B18" s="37" t="s">
        <v>8</v>
      </c>
      <c r="C18" s="38" t="s">
        <v>474</v>
      </c>
    </row>
    <row r="19" spans="2:3" ht="18.75" x14ac:dyDescent="0.3">
      <c r="B19" s="39" t="s">
        <v>53</v>
      </c>
      <c r="C19" s="40">
        <v>2858000</v>
      </c>
    </row>
    <row r="20" spans="2:3" ht="18.75" x14ac:dyDescent="0.3">
      <c r="B20" s="39" t="s">
        <v>24</v>
      </c>
      <c r="C20" s="40">
        <v>2452000</v>
      </c>
    </row>
    <row r="21" spans="2:3" ht="18.75" x14ac:dyDescent="0.3">
      <c r="B21" s="39" t="s">
        <v>153</v>
      </c>
      <c r="C21" s="40">
        <v>927000</v>
      </c>
    </row>
    <row r="22" spans="2:3" ht="18.75" x14ac:dyDescent="0.3">
      <c r="B22" s="39" t="s">
        <v>87</v>
      </c>
      <c r="C22" s="40">
        <v>1660000</v>
      </c>
    </row>
    <row r="23" spans="2:3" ht="18.75" x14ac:dyDescent="0.3">
      <c r="B23" s="39" t="s">
        <v>15</v>
      </c>
      <c r="C23" s="40">
        <v>2088000</v>
      </c>
    </row>
    <row r="24" spans="2:3" ht="18.75" x14ac:dyDescent="0.3">
      <c r="B24" s="39" t="s">
        <v>45</v>
      </c>
      <c r="C24" s="40">
        <v>3683000</v>
      </c>
    </row>
    <row r="25" spans="2:3" ht="18.75" x14ac:dyDescent="0.3">
      <c r="B25" s="39" t="s">
        <v>35</v>
      </c>
      <c r="C25" s="40">
        <v>3617000</v>
      </c>
    </row>
    <row r="26" spans="2:3" ht="18.75" x14ac:dyDescent="0.3">
      <c r="B26" s="39" t="s">
        <v>30</v>
      </c>
      <c r="C26" s="40">
        <v>4543000</v>
      </c>
    </row>
    <row r="27" spans="2:3" ht="18.75" x14ac:dyDescent="0.3">
      <c r="B27" s="39" t="s">
        <v>106</v>
      </c>
      <c r="C27" s="40">
        <v>1604000</v>
      </c>
    </row>
    <row r="28" spans="2:3" ht="18.75" x14ac:dyDescent="0.3">
      <c r="B28" s="39" t="s">
        <v>141</v>
      </c>
      <c r="C28" s="40">
        <v>348000</v>
      </c>
    </row>
    <row r="29" spans="2:3" ht="18.75" x14ac:dyDescent="0.3">
      <c r="B29" s="39" t="s">
        <v>20</v>
      </c>
      <c r="C29" s="40">
        <v>1927000</v>
      </c>
    </row>
    <row r="30" spans="2:3" ht="18.75" x14ac:dyDescent="0.3">
      <c r="B30" s="39" t="s">
        <v>469</v>
      </c>
      <c r="C30" s="40">
        <v>25707000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ADC07-A36A-44D5-A1FE-FF3E194F990A}">
  <dimension ref="A2:B96"/>
  <sheetViews>
    <sheetView workbookViewId="0">
      <selection activeCell="B17" sqref="B17"/>
    </sheetView>
  </sheetViews>
  <sheetFormatPr baseColWidth="10" defaultRowHeight="15" x14ac:dyDescent="0.25"/>
  <cols>
    <col min="1" max="1" width="17.85546875" bestFit="1" customWidth="1"/>
    <col min="2" max="2" width="22.5703125" bestFit="1" customWidth="1"/>
  </cols>
  <sheetData>
    <row r="2" spans="1:2" x14ac:dyDescent="0.25">
      <c r="A2" s="31" t="s">
        <v>468</v>
      </c>
      <c r="B2" t="s">
        <v>471</v>
      </c>
    </row>
    <row r="3" spans="1:2" x14ac:dyDescent="0.25">
      <c r="A3" s="32" t="s">
        <v>53</v>
      </c>
      <c r="B3" s="33">
        <v>69707.317073170736</v>
      </c>
    </row>
    <row r="4" spans="1:2" x14ac:dyDescent="0.25">
      <c r="A4" s="32" t="s">
        <v>24</v>
      </c>
      <c r="B4" s="33">
        <v>66270.270270270266</v>
      </c>
    </row>
    <row r="5" spans="1:2" x14ac:dyDescent="0.25">
      <c r="A5" s="32" t="s">
        <v>153</v>
      </c>
      <c r="B5" s="33">
        <v>71307.692307692312</v>
      </c>
    </row>
    <row r="6" spans="1:2" x14ac:dyDescent="0.25">
      <c r="A6" s="32" t="s">
        <v>87</v>
      </c>
      <c r="B6" s="33">
        <v>66400</v>
      </c>
    </row>
    <row r="7" spans="1:2" x14ac:dyDescent="0.25">
      <c r="A7" s="32" t="s">
        <v>15</v>
      </c>
      <c r="B7" s="33">
        <v>69600</v>
      </c>
    </row>
    <row r="8" spans="1:2" x14ac:dyDescent="0.25">
      <c r="A8" s="32" t="s">
        <v>45</v>
      </c>
      <c r="B8" s="33">
        <v>72215.686274509804</v>
      </c>
    </row>
    <row r="9" spans="1:2" x14ac:dyDescent="0.25">
      <c r="A9" s="32" t="s">
        <v>35</v>
      </c>
      <c r="B9" s="33">
        <v>69557.692307692312</v>
      </c>
    </row>
    <row r="10" spans="1:2" x14ac:dyDescent="0.25">
      <c r="A10" s="32" t="s">
        <v>30</v>
      </c>
      <c r="B10" s="33">
        <v>68833.333333333328</v>
      </c>
    </row>
    <row r="11" spans="1:2" x14ac:dyDescent="0.25">
      <c r="A11" s="32" t="s">
        <v>106</v>
      </c>
      <c r="B11" s="33">
        <v>66833.333333333328</v>
      </c>
    </row>
    <row r="12" spans="1:2" x14ac:dyDescent="0.25">
      <c r="A12" s="32" t="s">
        <v>141</v>
      </c>
      <c r="B12" s="33">
        <v>69600</v>
      </c>
    </row>
    <row r="13" spans="1:2" x14ac:dyDescent="0.25">
      <c r="A13" s="32" t="s">
        <v>20</v>
      </c>
      <c r="B13" s="33">
        <v>74115.38461538461</v>
      </c>
    </row>
    <row r="14" spans="1:2" x14ac:dyDescent="0.25">
      <c r="A14" s="32" t="s">
        <v>469</v>
      </c>
      <c r="B14" s="33">
        <v>69478.378378378373</v>
      </c>
    </row>
    <row r="16" spans="1:2" x14ac:dyDescent="0.25">
      <c r="B16" s="36">
        <f>GETPIVOTDATA("Valor Consulta",$A$2)</f>
        <v>69478.378378378373</v>
      </c>
    </row>
    <row r="20" spans="1:2" x14ac:dyDescent="0.25">
      <c r="A20" s="31" t="s">
        <v>468</v>
      </c>
      <c r="B20" t="s">
        <v>472</v>
      </c>
    </row>
    <row r="21" spans="1:2" x14ac:dyDescent="0.25">
      <c r="A21" s="32" t="s">
        <v>11</v>
      </c>
      <c r="B21" s="35">
        <v>0.70270270270270274</v>
      </c>
    </row>
    <row r="22" spans="1:2" x14ac:dyDescent="0.25">
      <c r="A22" s="32" t="s">
        <v>26</v>
      </c>
      <c r="B22" s="35">
        <v>0.29729729729729731</v>
      </c>
    </row>
    <row r="23" spans="1:2" x14ac:dyDescent="0.25">
      <c r="A23" s="32" t="s">
        <v>469</v>
      </c>
      <c r="B23" s="35">
        <v>1</v>
      </c>
    </row>
    <row r="28" spans="1:2" x14ac:dyDescent="0.25">
      <c r="A28" s="31" t="s">
        <v>468</v>
      </c>
      <c r="B28" t="s">
        <v>473</v>
      </c>
    </row>
    <row r="29" spans="1:2" x14ac:dyDescent="0.25">
      <c r="A29" s="32" t="s">
        <v>13</v>
      </c>
      <c r="B29" s="34">
        <v>67</v>
      </c>
    </row>
    <row r="30" spans="1:2" x14ac:dyDescent="0.25">
      <c r="A30" s="32" t="s">
        <v>66</v>
      </c>
      <c r="B30" s="34">
        <v>25</v>
      </c>
    </row>
    <row r="31" spans="1:2" x14ac:dyDescent="0.25">
      <c r="A31" s="32" t="s">
        <v>33</v>
      </c>
      <c r="B31" s="34">
        <v>38</v>
      </c>
    </row>
    <row r="32" spans="1:2" x14ac:dyDescent="0.25">
      <c r="A32" s="32" t="s">
        <v>76</v>
      </c>
      <c r="B32" s="34">
        <v>49</v>
      </c>
    </row>
    <row r="33" spans="1:2" x14ac:dyDescent="0.25">
      <c r="A33" s="32" t="s">
        <v>51</v>
      </c>
      <c r="B33" s="34">
        <v>15</v>
      </c>
    </row>
    <row r="34" spans="1:2" x14ac:dyDescent="0.25">
      <c r="A34" s="32" t="s">
        <v>38</v>
      </c>
      <c r="B34" s="34">
        <v>34</v>
      </c>
    </row>
    <row r="35" spans="1:2" x14ac:dyDescent="0.25">
      <c r="A35" s="32" t="s">
        <v>56</v>
      </c>
      <c r="B35" s="34">
        <v>66</v>
      </c>
    </row>
    <row r="36" spans="1:2" x14ac:dyDescent="0.25">
      <c r="A36" s="32" t="s">
        <v>28</v>
      </c>
      <c r="B36" s="34">
        <v>24</v>
      </c>
    </row>
    <row r="37" spans="1:2" x14ac:dyDescent="0.25">
      <c r="A37" s="32" t="s">
        <v>18</v>
      </c>
      <c r="B37" s="34">
        <v>52</v>
      </c>
    </row>
    <row r="38" spans="1:2" x14ac:dyDescent="0.25">
      <c r="A38" s="32" t="s">
        <v>469</v>
      </c>
      <c r="B38" s="34">
        <v>370</v>
      </c>
    </row>
    <row r="40" spans="1:2" x14ac:dyDescent="0.25">
      <c r="B40" s="21">
        <f>GETPIVOTDATA("Sucursal-Jornada",$A$28)</f>
        <v>370</v>
      </c>
    </row>
    <row r="44" spans="1:2" x14ac:dyDescent="0.25">
      <c r="A44" s="31" t="s">
        <v>468</v>
      </c>
      <c r="B44" t="s">
        <v>472</v>
      </c>
    </row>
    <row r="45" spans="1:2" x14ac:dyDescent="0.25">
      <c r="A45" s="32" t="s">
        <v>117</v>
      </c>
      <c r="B45" s="34">
        <v>14</v>
      </c>
    </row>
    <row r="46" spans="1:2" x14ac:dyDescent="0.25">
      <c r="A46" s="32" t="s">
        <v>52</v>
      </c>
      <c r="B46" s="34">
        <v>14</v>
      </c>
    </row>
    <row r="47" spans="1:2" x14ac:dyDescent="0.25">
      <c r="A47" s="32" t="s">
        <v>73</v>
      </c>
      <c r="B47" s="34">
        <v>14</v>
      </c>
    </row>
    <row r="48" spans="1:2" x14ac:dyDescent="0.25">
      <c r="A48" s="32" t="s">
        <v>105</v>
      </c>
      <c r="B48" s="34">
        <v>14</v>
      </c>
    </row>
    <row r="49" spans="1:2" x14ac:dyDescent="0.25">
      <c r="A49" s="32" t="s">
        <v>162</v>
      </c>
      <c r="B49" s="34">
        <v>16</v>
      </c>
    </row>
    <row r="50" spans="1:2" x14ac:dyDescent="0.25">
      <c r="A50" s="32" t="s">
        <v>110</v>
      </c>
      <c r="B50" s="34">
        <v>14</v>
      </c>
    </row>
    <row r="51" spans="1:2" x14ac:dyDescent="0.25">
      <c r="A51" s="32" t="s">
        <v>19</v>
      </c>
      <c r="B51" s="34">
        <v>14</v>
      </c>
    </row>
    <row r="52" spans="1:2" x14ac:dyDescent="0.25">
      <c r="A52" s="32" t="s">
        <v>174</v>
      </c>
      <c r="B52" s="34">
        <v>14</v>
      </c>
    </row>
    <row r="53" spans="1:2" x14ac:dyDescent="0.25">
      <c r="A53" s="32" t="s">
        <v>44</v>
      </c>
      <c r="B53" s="34">
        <v>16</v>
      </c>
    </row>
    <row r="54" spans="1:2" x14ac:dyDescent="0.25">
      <c r="A54" s="32" t="s">
        <v>70</v>
      </c>
      <c r="B54" s="34">
        <v>15</v>
      </c>
    </row>
    <row r="55" spans="1:2" x14ac:dyDescent="0.25">
      <c r="A55" s="32" t="s">
        <v>469</v>
      </c>
      <c r="B55" s="34">
        <v>145</v>
      </c>
    </row>
    <row r="81" spans="1:2" x14ac:dyDescent="0.25">
      <c r="A81" s="31" t="s">
        <v>468</v>
      </c>
      <c r="B81" t="s">
        <v>470</v>
      </c>
    </row>
    <row r="82" spans="1:2" x14ac:dyDescent="0.25">
      <c r="A82" s="32" t="s">
        <v>53</v>
      </c>
      <c r="B82" s="33">
        <v>2858000</v>
      </c>
    </row>
    <row r="83" spans="1:2" x14ac:dyDescent="0.25">
      <c r="A83" s="32" t="s">
        <v>24</v>
      </c>
      <c r="B83" s="33">
        <v>2452000</v>
      </c>
    </row>
    <row r="84" spans="1:2" x14ac:dyDescent="0.25">
      <c r="A84" s="32" t="s">
        <v>153</v>
      </c>
      <c r="B84" s="33">
        <v>927000</v>
      </c>
    </row>
    <row r="85" spans="1:2" x14ac:dyDescent="0.25">
      <c r="A85" s="32" t="s">
        <v>87</v>
      </c>
      <c r="B85" s="33">
        <v>1660000</v>
      </c>
    </row>
    <row r="86" spans="1:2" x14ac:dyDescent="0.25">
      <c r="A86" s="32" t="s">
        <v>15</v>
      </c>
      <c r="B86" s="33">
        <v>2088000</v>
      </c>
    </row>
    <row r="87" spans="1:2" x14ac:dyDescent="0.25">
      <c r="A87" s="32" t="s">
        <v>45</v>
      </c>
      <c r="B87" s="33">
        <v>3683000</v>
      </c>
    </row>
    <row r="88" spans="1:2" x14ac:dyDescent="0.25">
      <c r="A88" s="32" t="s">
        <v>35</v>
      </c>
      <c r="B88" s="33">
        <v>3617000</v>
      </c>
    </row>
    <row r="89" spans="1:2" x14ac:dyDescent="0.25">
      <c r="A89" s="32" t="s">
        <v>30</v>
      </c>
      <c r="B89" s="33">
        <v>4543000</v>
      </c>
    </row>
    <row r="90" spans="1:2" x14ac:dyDescent="0.25">
      <c r="A90" s="32" t="s">
        <v>106</v>
      </c>
      <c r="B90" s="33">
        <v>1604000</v>
      </c>
    </row>
    <row r="91" spans="1:2" x14ac:dyDescent="0.25">
      <c r="A91" s="32" t="s">
        <v>141</v>
      </c>
      <c r="B91" s="33">
        <v>348000</v>
      </c>
    </row>
    <row r="92" spans="1:2" x14ac:dyDescent="0.25">
      <c r="A92" s="32" t="s">
        <v>20</v>
      </c>
      <c r="B92" s="33">
        <v>1927000</v>
      </c>
    </row>
    <row r="93" spans="1:2" x14ac:dyDescent="0.25">
      <c r="A93" s="32" t="s">
        <v>469</v>
      </c>
      <c r="B93" s="33">
        <v>25707000</v>
      </c>
    </row>
    <row r="96" spans="1:2" x14ac:dyDescent="0.25">
      <c r="B96" s="36">
        <f>GETPIVOTDATA("Valor Consulta",$A$81)</f>
        <v>25707000</v>
      </c>
    </row>
  </sheetData>
  <pageMargins left="0.7" right="0.7" top="0.75" bottom="0.75" header="0.3" footer="0.3"/>
  <drawing r:id="rId6"/>
  <extLst>
    <ext xmlns:x14="http://schemas.microsoft.com/office/spreadsheetml/2009/9/main" uri="{A8765BA9-456A-4dab-B4F3-ACF838C121DE}">
      <x14:slicerList>
        <x14:slicer r:id="rId7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IPS</vt:lpstr>
      <vt:lpstr>TABLERO DE CONTROL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Villamizar Cristancho Yaneth</dc:creator>
  <cp:lastModifiedBy>Villamizar Cristancho Yaneth</cp:lastModifiedBy>
  <dcterms:created xsi:type="dcterms:W3CDTF">2025-05-23T00:07:21Z</dcterms:created>
  <dcterms:modified xsi:type="dcterms:W3CDTF">2025-07-24T19:23:41Z</dcterms:modified>
</cp:coreProperties>
</file>